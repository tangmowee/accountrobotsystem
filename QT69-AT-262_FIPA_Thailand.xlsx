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  <sheet name="Pricin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17">
    <font>
      <name val="Calibri"/>
      <family val="2"/>
      <color theme="1"/>
      <sz val="11"/>
      <scheme val="minor"/>
    </font>
    <font>
      <name val="Arial"/>
      <b val="1"/>
      <color rgb="00E85D04"/>
      <sz val="18"/>
    </font>
    <font>
      <name val="Arial"/>
      <b val="1"/>
      <color rgb="001A1A1A"/>
      <sz val="20"/>
    </font>
    <font>
      <name val="Arial"/>
      <color rgb="00000000"/>
      <sz val="8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FFFFFF"/>
      <sz val="9"/>
    </font>
    <font>
      <name val="Arial"/>
      <color rgb="000000FF"/>
      <sz val="9"/>
    </font>
    <font>
      <name val="Arial"/>
      <i val="1"/>
      <color rgb="00595959"/>
      <sz val="8"/>
    </font>
    <font>
      <name val="Arial"/>
      <b val="1"/>
      <color rgb="00FFFFFF"/>
      <sz val="11"/>
    </font>
    <font>
      <name val="Arial"/>
      <color rgb="000000FF"/>
      <sz val="8"/>
    </font>
    <font>
      <name val="Arial"/>
      <b val="1"/>
      <color rgb="00000000"/>
      <sz val="8"/>
    </font>
    <font>
      <name val="Arial"/>
      <color rgb="00808080"/>
      <sz val="8"/>
    </font>
    <font>
      <name val="Arial"/>
      <b val="1"/>
      <color rgb="00E85D04"/>
      <sz val="14"/>
    </font>
    <font>
      <name val="Arial"/>
      <b val="1"/>
      <color rgb="00000000"/>
      <sz val="10"/>
    </font>
    <font>
      <name val="Arial"/>
      <color rgb="000000FF"/>
      <sz val="10"/>
    </font>
    <font>
      <name val="Arial"/>
      <b val="1"/>
      <color rgb="00FFFFFF"/>
      <sz val="8"/>
    </font>
  </fonts>
  <fills count="6">
    <fill>
      <patternFill/>
    </fill>
    <fill>
      <patternFill patternType="gray125"/>
    </fill>
    <fill>
      <patternFill patternType="solid">
        <fgColor rgb="00E85D04"/>
      </patternFill>
    </fill>
    <fill>
      <patternFill patternType="solid">
        <fgColor rgb="00FFFF00"/>
      </patternFill>
    </fill>
    <fill>
      <patternFill patternType="solid">
        <fgColor rgb="001A1A1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6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top" wrapText="1"/>
    </xf>
    <xf numFmtId="4" fontId="5" fillId="0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0" fillId="5" borderId="1" pivotButton="0" quotePrefix="0" xfId="0"/>
    <xf numFmtId="4" fontId="4" fillId="5" borderId="1" applyAlignment="1" pivotButton="0" quotePrefix="0" xfId="0">
      <alignment horizontal="right" vertical="center" wrapText="1"/>
    </xf>
    <xf numFmtId="0" fontId="5" fillId="5" borderId="1" applyAlignment="1" pivotButton="0" quotePrefix="0" xfId="0">
      <alignment horizontal="right" vertical="center" wrapText="1"/>
    </xf>
    <xf numFmtId="4" fontId="5" fillId="5" borderId="1" applyAlignment="1" pivotButton="0" quotePrefix="0" xfId="0">
      <alignment horizontal="right" vertical="center" wrapText="1"/>
    </xf>
    <xf numFmtId="0" fontId="9" fillId="2" borderId="1" applyAlignment="1" pivotButton="0" quotePrefix="0" xfId="0">
      <alignment horizontal="right" vertical="center" wrapText="1"/>
    </xf>
    <xf numFmtId="0" fontId="0" fillId="2" borderId="1" pivotButton="0" quotePrefix="0" xfId="0"/>
    <xf numFmtId="4" fontId="9" fillId="2" borderId="1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left" vertical="top" wrapText="1"/>
    </xf>
    <xf numFmtId="0" fontId="10" fillId="3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center" vertical="bottom"/>
    </xf>
    <xf numFmtId="0" fontId="1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left" vertical="center" wrapText="1"/>
    </xf>
    <xf numFmtId="0" fontId="14" fillId="0" borderId="0" pivotButton="0" quotePrefix="0" xfId="0"/>
    <xf numFmtId="164" fontId="15" fillId="3" borderId="1" pivotButton="0" quotePrefix="0" xfId="0"/>
    <xf numFmtId="0" fontId="8" fillId="0" borderId="0" pivotButton="0" quotePrefix="0" xfId="0"/>
    <xf numFmtId="0" fontId="16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4" fontId="7" fillId="3" borderId="1" pivotButton="0" quotePrefix="0" xfId="0"/>
    <xf numFmtId="9" fontId="7" fillId="3" borderId="1" pivotButton="0" quotePrefix="0" xfId="0"/>
    <xf numFmtId="164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4" fontId="0" fillId="0" borderId="1" pivotButton="0" quotePrefix="0" xfId="0"/>
    <xf numFmtId="0" fontId="14" fillId="5" borderId="1" applyAlignment="1" pivotButton="0" quotePrefix="0" xfId="0">
      <alignment horizontal="right" vertical="center" wrapText="1"/>
    </xf>
    <xf numFmtId="4" fontId="14" fillId="5" borderId="1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 vertical="center" wrapText="1"/>
    </xf>
    <xf numFmtId="4" fontId="4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36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6" customWidth="1" min="3" max="3"/>
    <col width="8" customWidth="1" min="4" max="4"/>
    <col width="7" customWidth="1" min="5" max="5"/>
    <col width="15" customWidth="1" min="6" max="6"/>
    <col width="16" customWidth="1" min="7" max="7"/>
  </cols>
  <sheetData>
    <row r="1" ht="26" customHeight="1">
      <c r="A1" s="1" t="inlineStr">
        <is>
          <t>ROBOT SYSTEM CO., LTD.</t>
        </is>
      </c>
      <c r="E1" s="2" t="inlineStr">
        <is>
          <t>QUOTATION</t>
        </is>
      </c>
    </row>
    <row r="2" ht="24" customHeight="1">
      <c r="A2" s="3" t="inlineStr">
        <is>
          <t>899/23 Moo 21, Soi Teedinthai, Klong A Zeer Rd., Bangpleeyai, Bangplee, Samutprakarn 10540 Thailand</t>
        </is>
      </c>
      <c r="E2" s="4" t="inlineStr">
        <is>
          <t>Quotation No.</t>
        </is>
      </c>
      <c r="F2" s="5" t="inlineStr">
        <is>
          <t>QT69-AT-262</t>
        </is>
      </c>
      <c r="G2" s="6" t="n"/>
    </row>
    <row r="3">
      <c r="A3" s="3" t="inlineStr">
        <is>
          <t>Tel. 0-2173-4367-69   Fax. 0-2173-4370   Tax ID: 0105553001667</t>
        </is>
      </c>
      <c r="E3" s="4" t="inlineStr">
        <is>
          <t>Date</t>
        </is>
      </c>
      <c r="F3" s="5" t="inlineStr">
        <is>
          <t>19/08/2026</t>
        </is>
      </c>
      <c r="G3" s="6" t="n"/>
    </row>
    <row r="4">
      <c r="E4" s="4" t="inlineStr">
        <is>
          <t>Valid Until</t>
        </is>
      </c>
      <c r="F4" s="5" t="inlineStr">
        <is>
          <t>18/09/2026</t>
        </is>
      </c>
      <c r="G4" s="6" t="n"/>
    </row>
    <row r="5" ht="4" customHeight="1"/>
    <row r="6">
      <c r="A6" s="7" t="inlineStr">
        <is>
          <t>To / เรียน (Customer)</t>
        </is>
      </c>
    </row>
    <row r="7">
      <c r="A7" s="8" t="inlineStr">
        <is>
          <t>Company</t>
        </is>
      </c>
      <c r="B7" s="9" t="inlineStr">
        <is>
          <t>FIPA (Thailand) Ltd.</t>
        </is>
      </c>
    </row>
    <row r="8">
      <c r="A8" s="8" t="inlineStr">
        <is>
          <t>Address</t>
        </is>
      </c>
      <c r="B8" s="10" t="inlineStr">
        <is>
          <t>[ กรอกที่อยู่ FIPA (Thailand) Ltd. ]</t>
        </is>
      </c>
    </row>
    <row r="9">
      <c r="A9" s="8" t="inlineStr">
        <is>
          <t>Attn.</t>
        </is>
      </c>
      <c r="B9" s="10" t="inlineStr">
        <is>
          <t>[ กรอกชื่อผู้ติดต่อ ]</t>
        </is>
      </c>
    </row>
    <row r="10">
      <c r="A10" s="8" t="inlineStr">
        <is>
          <t>Tel. / E-mail</t>
        </is>
      </c>
      <c r="B10" s="10" t="inlineStr">
        <is>
          <t>[ กรอกเบอร์โทร / อีเมล ]</t>
        </is>
      </c>
    </row>
    <row r="11">
      <c r="A11" s="8" t="inlineStr">
        <is>
          <t>Tax ID</t>
        </is>
      </c>
      <c r="B11" s="10" t="inlineStr">
        <is>
          <t>[ กรอกเลขผู้เสียภาษี ]</t>
        </is>
      </c>
    </row>
    <row r="12">
      <c r="A12" s="11" t="inlineStr">
        <is>
          <t>Reference: FIPA GmbH Invoice No. 2026-907407 dated 21.07.2026 (FIPA Cust. No. D57256)</t>
        </is>
      </c>
    </row>
    <row r="13" ht="4" customHeight="1"/>
    <row r="14" ht="30" customHeight="1">
      <c r="A14" s="12" t="inlineStr">
        <is>
          <t>No.</t>
        </is>
      </c>
      <c r="B14" s="12" t="inlineStr">
        <is>
          <t>Description</t>
        </is>
      </c>
      <c r="C14" s="12" t="inlineStr">
        <is>
          <t>Part No. (FIPA)</t>
        </is>
      </c>
      <c r="D14" s="12" t="inlineStr">
        <is>
          <t>Qty</t>
        </is>
      </c>
      <c r="E14" s="12" t="inlineStr">
        <is>
          <t>Unit</t>
        </is>
      </c>
      <c r="F14" s="12" t="inlineStr">
        <is>
          <t>Unit Price (THB)</t>
        </is>
      </c>
      <c r="G14" s="12" t="inlineStr">
        <is>
          <t>Amount (THB)</t>
        </is>
      </c>
    </row>
    <row r="15" ht="30" customHeight="1">
      <c r="A15" s="13" t="n">
        <v>1</v>
      </c>
      <c r="B15" s="14" t="inlineStr">
        <is>
          <t>Bellows Vacuum Suction Cup Ø42 mm (2.5 folds), NBR black, 55° Shore</t>
        </is>
      </c>
      <c r="C15" s="13" t="inlineStr">
        <is>
          <t>21.043.049.1/4</t>
        </is>
      </c>
      <c r="D15" s="13" t="n">
        <v>127</v>
      </c>
      <c r="E15" s="13" t="inlineStr">
        <is>
          <t>PCS</t>
        </is>
      </c>
      <c r="F15" s="15">
        <f>Pricing!K8</f>
        <v/>
      </c>
      <c r="G15" s="15">
        <f>D15*F15</f>
        <v/>
      </c>
    </row>
    <row r="16" ht="30" customHeight="1">
      <c r="A16" s="13" t="n">
        <v>2</v>
      </c>
      <c r="B16" s="14" t="inlineStr">
        <is>
          <t>Connection Fitting / Nipple, G1/4" male thread (G1/4-AG)</t>
        </is>
      </c>
      <c r="C16" s="13" t="inlineStr">
        <is>
          <t>270.190</t>
        </is>
      </c>
      <c r="D16" s="13" t="n">
        <v>28</v>
      </c>
      <c r="E16" s="13" t="inlineStr">
        <is>
          <t>PCS</t>
        </is>
      </c>
      <c r="F16" s="15">
        <f>Pricing!K9</f>
        <v/>
      </c>
      <c r="G16" s="15">
        <f>D16*F16</f>
        <v/>
      </c>
    </row>
    <row r="17" ht="30" customHeight="1">
      <c r="A17" s="13" t="n">
        <v>3</v>
      </c>
      <c r="B17" s="14" t="inlineStr">
        <is>
          <t>Packing charge</t>
        </is>
      </c>
      <c r="C17" s="13" t="inlineStr">
        <is>
          <t>9991-3</t>
        </is>
      </c>
      <c r="D17" s="13" t="n">
        <v>1</v>
      </c>
      <c r="E17" s="13" t="inlineStr">
        <is>
          <t>PCS</t>
        </is>
      </c>
      <c r="F17" s="15">
        <f>Pricing!K10</f>
        <v/>
      </c>
      <c r="G17" s="15">
        <f>D17*F17</f>
        <v/>
      </c>
    </row>
    <row r="18" ht="30" customHeight="1">
      <c r="A18" s="13" t="n">
        <v>4</v>
      </c>
      <c r="B18" s="14" t="inlineStr">
        <is>
          <t>Freight (UPS)</t>
        </is>
      </c>
      <c r="C18" s="13" t="inlineStr">
        <is>
          <t>9999</t>
        </is>
      </c>
      <c r="D18" s="13" t="n">
        <v>1</v>
      </c>
      <c r="E18" s="13" t="inlineStr">
        <is>
          <t>PCS</t>
        </is>
      </c>
      <c r="F18" s="15">
        <f>Pricing!K11</f>
        <v/>
      </c>
      <c r="G18" s="15">
        <f>D18*F18</f>
        <v/>
      </c>
    </row>
    <row r="19">
      <c r="A19" s="16" t="inlineStr">
        <is>
          <t>Subtotal (THB)</t>
        </is>
      </c>
      <c r="B19" s="17" t="n"/>
      <c r="C19" s="17" t="n"/>
      <c r="D19" s="17" t="n"/>
      <c r="E19" s="17" t="n"/>
      <c r="F19" s="17" t="n"/>
      <c r="G19" s="18">
        <f>SUM(G15:G18)</f>
        <v/>
      </c>
    </row>
    <row r="20">
      <c r="A20" s="19" t="inlineStr">
        <is>
          <t>VAT 7%</t>
        </is>
      </c>
      <c r="B20" s="17" t="n"/>
      <c r="C20" s="17" t="n"/>
      <c r="D20" s="17" t="n"/>
      <c r="E20" s="17" t="n"/>
      <c r="F20" s="17" t="n"/>
      <c r="G20" s="20">
        <f>ROUND(G19*0.07,2)</f>
        <v/>
      </c>
    </row>
    <row r="21" ht="22" customHeight="1">
      <c r="A21" s="21" t="inlineStr">
        <is>
          <t>Grand Total (THB)</t>
        </is>
      </c>
      <c r="B21" s="22" t="n"/>
      <c r="C21" s="22" t="n"/>
      <c r="D21" s="22" t="n"/>
      <c r="E21" s="22" t="n"/>
      <c r="F21" s="22" t="n"/>
      <c r="G21" s="23">
        <f>G19+G20</f>
        <v/>
      </c>
    </row>
    <row r="23">
      <c r="A23" s="7" t="inlineStr">
        <is>
          <t>Remarks / Terms &amp; Conditions</t>
        </is>
      </c>
    </row>
    <row r="24" ht="24" customHeight="1">
      <c r="A24" s="24" t="inlineStr">
        <is>
          <t>1. Currency: Thai Baht (THB). Prices converted from FIPA EUR quotation at exchange rate 39.50 THB/EUR (see 'Pricing' sheet).</t>
        </is>
      </c>
    </row>
    <row r="25" ht="24" customHeight="1">
      <c r="A25" s="24" t="inlineStr">
        <is>
          <t>2. Exchange-rate clause: If the exchange rate at the order date differs by more than ±2%, Robot System Co., Ltd. reserves the right to revise the price.</t>
        </is>
      </c>
    </row>
    <row r="26" ht="24" customHeight="1">
      <c r="A26" s="24" t="inlineStr">
        <is>
          <t>3. Prices are quoted at landed cost (goods + packing + freight per FIPA invoice); local delivery within Thailand is excluded unless stated.</t>
        </is>
      </c>
    </row>
    <row r="27" ht="24" customHeight="1">
      <c r="A27" s="24" t="inlineStr">
        <is>
          <t>4. Term of Delivery: Subject to FIPA stock availability / factory lead time (to be confirmed on order).</t>
        </is>
      </c>
    </row>
    <row r="28" ht="24" customHeight="1">
      <c r="A28" s="25" t="inlineStr">
        <is>
          <t>5. Term of Payment: [ ระบุเงื่อนไขการชำระเงิน ]</t>
        </is>
      </c>
    </row>
    <row r="29" ht="24" customHeight="1">
      <c r="A29" s="24" t="inlineStr">
        <is>
          <t>6. Warranty: Per FIPA manufacturer's standard terms.</t>
        </is>
      </c>
    </row>
    <row r="30" ht="24" customHeight="1">
      <c r="A30" s="24" t="inlineStr">
        <is>
          <t>7. Validity: 30 days from quotation date.</t>
        </is>
      </c>
    </row>
    <row r="32" ht="34" customHeight="1">
      <c r="A32" s="26" t="inlineStr">
        <is>
          <t>________________________</t>
        </is>
      </c>
      <c r="C32" s="26" t="inlineStr">
        <is>
          <t>________________________</t>
        </is>
      </c>
      <c r="E32" s="26" t="inlineStr">
        <is>
          <t>________________________</t>
        </is>
      </c>
    </row>
    <row r="33" ht="26" customHeight="1">
      <c r="A33" s="27" t="inlineStr">
        <is>
          <t>Accepted &amp; Confirmed by
(Customer)</t>
        </is>
      </c>
      <c r="C33" s="27" t="inlineStr">
        <is>
          <t>Prepared by
Robot System Co., Ltd.</t>
        </is>
      </c>
      <c r="E33" s="27" t="inlineStr">
        <is>
          <t>Approved by
Robot System Co., Ltd.</t>
        </is>
      </c>
    </row>
    <row r="34" ht="24" customHeight="1">
      <c r="A34" s="28" t="inlineStr"/>
      <c r="C34" s="28" t="inlineStr">
        <is>
          <t>Weeraya Banluesap
Asst. Director</t>
        </is>
      </c>
      <c r="E34" s="28" t="inlineStr">
        <is>
          <t>Nik Aziz Yusoff
Manager Sale Department</t>
        </is>
      </c>
    </row>
    <row r="36">
      <c r="A36" s="3" t="inlineStr">
        <is>
          <t>Sales Person: Weeraya Banluesap   E-mail: weeraya@robotsystem.co.th</t>
        </is>
      </c>
      <c r="E36" s="29" t="inlineStr">
        <is>
          <t>FM-SM-01 Rev.00 15/08/2566</t>
        </is>
      </c>
    </row>
  </sheetData>
  <mergeCells count="39">
    <mergeCell ref="F4:G4"/>
    <mergeCell ref="C34:D34"/>
    <mergeCell ref="C33:D33"/>
    <mergeCell ref="B8:G8"/>
    <mergeCell ref="E34:G34"/>
    <mergeCell ref="A29:G29"/>
    <mergeCell ref="A28:G28"/>
    <mergeCell ref="F3:G3"/>
    <mergeCell ref="B10:G10"/>
    <mergeCell ref="E36:G36"/>
    <mergeCell ref="B9:G9"/>
    <mergeCell ref="A24:G24"/>
    <mergeCell ref="A30:G30"/>
    <mergeCell ref="F19"/>
    <mergeCell ref="A36:D36"/>
    <mergeCell ref="E1:G1"/>
    <mergeCell ref="A34:B34"/>
    <mergeCell ref="A21:E21"/>
    <mergeCell ref="A1:D1"/>
    <mergeCell ref="F2:G2"/>
    <mergeCell ref="E32:G32"/>
    <mergeCell ref="A6:G6"/>
    <mergeCell ref="A33:B33"/>
    <mergeCell ref="F21"/>
    <mergeCell ref="A32:B32"/>
    <mergeCell ref="F20"/>
    <mergeCell ref="A25:G25"/>
    <mergeCell ref="B7:G7"/>
    <mergeCell ref="C32:D32"/>
    <mergeCell ref="A20:E20"/>
    <mergeCell ref="E33:G33"/>
    <mergeCell ref="A27:G27"/>
    <mergeCell ref="A3:D3"/>
    <mergeCell ref="A12:G12"/>
    <mergeCell ref="A19:E19"/>
    <mergeCell ref="A26:G26"/>
    <mergeCell ref="A2:D2"/>
    <mergeCell ref="B11:G11"/>
    <mergeCell ref="A23:G23"/>
  </mergeCells>
  <printOptions horizontalCentered="1"/>
  <pageMargins left="0.4" right="0.4" top="0.5" bottom="0.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16" customWidth="1" min="3" max="3"/>
    <col width="7" customWidth="1" min="4" max="4"/>
    <col width="13" customWidth="1" min="5" max="5"/>
    <col width="8" customWidth="1" min="6" max="6"/>
    <col width="13" customWidth="1" min="7" max="7"/>
    <col width="8" customWidth="1" min="8" max="8"/>
    <col width="14" customWidth="1" min="9" max="9"/>
    <col width="15" customWidth="1" min="10" max="10"/>
    <col width="15" customWidth="1" min="11" max="11"/>
    <col width="14" customWidth="1" min="12" max="12"/>
  </cols>
  <sheetData>
    <row r="1" ht="22" customHeight="1">
      <c r="A1" s="30" t="inlineStr">
        <is>
          <t>PRICING BASIS — INTERNAL (QT69-AT-262 / FIPA Thailand)</t>
        </is>
      </c>
    </row>
    <row r="2">
      <c r="A2" s="11" t="inlineStr">
        <is>
          <t>Source: FIPA GmbH Invoice 2026-907407 (21.07.2026). German MwSt 19% excluded (export). Line discount 20% &amp; project discount 5% (items 1-2) already applied as net cost.</t>
        </is>
      </c>
    </row>
    <row r="4">
      <c r="A4" s="31" t="inlineStr">
        <is>
          <t>EUR→THB mid rate (18/08/2026)</t>
        </is>
      </c>
      <c r="C4" s="32" t="n">
        <v>38.28</v>
      </c>
      <c r="D4" s="33" t="inlineStr">
        <is>
          <t>THB/EUR  (mid-market, source: exchange-rates.org)</t>
        </is>
      </c>
    </row>
    <row r="5">
      <c r="A5" s="31" t="inlineStr">
        <is>
          <t>EUR→THB quote rate (with buffer)</t>
        </is>
      </c>
      <c r="C5" s="32" t="n">
        <v>39.5</v>
      </c>
      <c r="D5" s="33" t="inlineStr">
        <is>
          <t>THB/EUR  (mid + ~1.22 buffer for bank spread / FX risk)</t>
        </is>
      </c>
    </row>
    <row r="7" ht="28" customHeight="1">
      <c r="A7" s="34" t="inlineStr">
        <is>
          <t>No.</t>
        </is>
      </c>
      <c r="B7" s="34" t="inlineStr">
        <is>
          <t>Description</t>
        </is>
      </c>
      <c r="C7" s="34" t="inlineStr">
        <is>
          <t>Part No.</t>
        </is>
      </c>
      <c r="D7" s="34" t="inlineStr">
        <is>
          <t>Qty</t>
        </is>
      </c>
      <c r="E7" s="34" t="inlineStr">
        <is>
          <t>EUR list/unit</t>
        </is>
      </c>
      <c r="F7" s="34" t="inlineStr">
        <is>
          <t>Disc %</t>
        </is>
      </c>
      <c r="G7" s="34" t="inlineStr">
        <is>
          <t>Net EUR/unit</t>
        </is>
      </c>
      <c r="H7" s="34" t="inlineStr">
        <is>
          <t>Proj %</t>
        </is>
      </c>
      <c r="I7" s="34" t="inlineStr">
        <is>
          <t>Cost EUR/unit</t>
        </is>
      </c>
      <c r="J7" s="34" t="inlineStr">
        <is>
          <t>Cost EUR line</t>
        </is>
      </c>
      <c r="K7" s="34" t="inlineStr">
        <is>
          <t>Sell THB/unit</t>
        </is>
      </c>
      <c r="L7" s="34" t="inlineStr">
        <is>
          <t>Sell THB line</t>
        </is>
      </c>
    </row>
    <row r="8" ht="26" customHeight="1">
      <c r="A8" s="35" t="n">
        <v>1</v>
      </c>
      <c r="B8" s="36" t="inlineStr">
        <is>
          <t>Bellows Vacuum Suction Cup Ø42 mm (2.5 folds), NBR black, 55° Shore</t>
        </is>
      </c>
      <c r="C8" s="35" t="inlineStr">
        <is>
          <t>21.043.049.1/4</t>
        </is>
      </c>
      <c r="D8" s="35" t="n">
        <v>127</v>
      </c>
      <c r="E8" s="37" t="n">
        <v>6.77</v>
      </c>
      <c r="F8" s="38" t="n">
        <v>0.2</v>
      </c>
      <c r="G8" s="39">
        <f>E8*(1-F8)</f>
        <v/>
      </c>
      <c r="H8" s="38" t="n">
        <v>0.05</v>
      </c>
      <c r="I8" s="39">
        <f>G8*(1-H8)</f>
        <v/>
      </c>
      <c r="J8" s="40">
        <f>ROUND(I8*D8,2)</f>
        <v/>
      </c>
      <c r="K8" s="41">
        <f>ROUND(I8*$C$5,2)</f>
        <v/>
      </c>
      <c r="L8" s="40">
        <f>K8*D8</f>
        <v/>
      </c>
    </row>
    <row r="9" ht="26" customHeight="1">
      <c r="A9" s="35" t="n">
        <v>2</v>
      </c>
      <c r="B9" s="36" t="inlineStr">
        <is>
          <t>Connection Fitting / Nipple G1/4-AG</t>
        </is>
      </c>
      <c r="C9" s="35" t="inlineStr">
        <is>
          <t>270.190</t>
        </is>
      </c>
      <c r="D9" s="35" t="n">
        <v>28</v>
      </c>
      <c r="E9" s="37" t="n">
        <v>3.7</v>
      </c>
      <c r="F9" s="38" t="n">
        <v>0.2</v>
      </c>
      <c r="G9" s="39">
        <f>E9*(1-F9)</f>
        <v/>
      </c>
      <c r="H9" s="38" t="n">
        <v>0.05</v>
      </c>
      <c r="I9" s="39">
        <f>G9*(1-H9)</f>
        <v/>
      </c>
      <c r="J9" s="40">
        <f>ROUND(I9*D9,2)</f>
        <v/>
      </c>
      <c r="K9" s="41">
        <f>ROUND(I9*$C$5,2)</f>
        <v/>
      </c>
      <c r="L9" s="40">
        <f>K9*D9</f>
        <v/>
      </c>
    </row>
    <row r="10" ht="26" customHeight="1">
      <c r="A10" s="35" t="n">
        <v>3</v>
      </c>
      <c r="B10" s="36" t="inlineStr">
        <is>
          <t>Packing charge</t>
        </is>
      </c>
      <c r="C10" s="35" t="inlineStr">
        <is>
          <t>9991-3</t>
        </is>
      </c>
      <c r="D10" s="35" t="n">
        <v>1</v>
      </c>
      <c r="E10" s="37" t="n">
        <v>6.1</v>
      </c>
      <c r="F10" s="38" t="n">
        <v>0</v>
      </c>
      <c r="G10" s="39">
        <f>E10*(1-F10)</f>
        <v/>
      </c>
      <c r="H10" s="38" t="n">
        <v>0</v>
      </c>
      <c r="I10" s="39">
        <f>G10*(1-H10)</f>
        <v/>
      </c>
      <c r="J10" s="40">
        <f>ROUND(I10*D10,2)</f>
        <v/>
      </c>
      <c r="K10" s="41">
        <f>ROUND(I10*$C$5,2)</f>
        <v/>
      </c>
      <c r="L10" s="40">
        <f>K10*D10</f>
        <v/>
      </c>
    </row>
    <row r="11" ht="26" customHeight="1">
      <c r="A11" s="35" t="n">
        <v>4</v>
      </c>
      <c r="B11" s="36" t="inlineStr">
        <is>
          <t>Freight (UPS)</t>
        </is>
      </c>
      <c r="C11" s="35" t="inlineStr">
        <is>
          <t>9999</t>
        </is>
      </c>
      <c r="D11" s="35" t="n">
        <v>1</v>
      </c>
      <c r="E11" s="37" t="n">
        <v>16.28</v>
      </c>
      <c r="F11" s="38" t="n">
        <v>0</v>
      </c>
      <c r="G11" s="39">
        <f>E11*(1-F11)</f>
        <v/>
      </c>
      <c r="H11" s="38" t="n">
        <v>0</v>
      </c>
      <c r="I11" s="39">
        <f>G11*(1-H11)</f>
        <v/>
      </c>
      <c r="J11" s="40">
        <f>ROUND(I11*D11,2)</f>
        <v/>
      </c>
      <c r="K11" s="41">
        <f>ROUND(I11*$C$5,2)</f>
        <v/>
      </c>
      <c r="L11" s="40">
        <f>K11*D11</f>
        <v/>
      </c>
    </row>
    <row r="12">
      <c r="A12" s="17" t="n"/>
      <c r="B12" s="42" t="inlineStr">
        <is>
          <t>TOTAL</t>
        </is>
      </c>
      <c r="C12" s="17" t="n"/>
      <c r="D12" s="17" t="n"/>
      <c r="E12" s="17" t="n"/>
      <c r="F12" s="17" t="n"/>
      <c r="G12" s="17" t="n"/>
      <c r="H12" s="17" t="n"/>
      <c r="I12" s="17" t="n"/>
      <c r="J12" s="43">
        <f>SUM(J8:J11)</f>
        <v/>
      </c>
      <c r="K12" s="17" t="n"/>
      <c r="L12" s="43">
        <f>SUM(L8:L11)</f>
        <v/>
      </c>
    </row>
    <row r="14">
      <c r="B14" s="44" t="inlineStr">
        <is>
          <t>Total cost (EUR, ex-VAT)</t>
        </is>
      </c>
      <c r="J14" s="45">
        <f>I8*D8+I9*D9+I10*D10+I11*D11</f>
        <v/>
      </c>
      <c r="K14" s="11" t="inlineStr">
        <is>
          <t>EUR</t>
        </is>
      </c>
    </row>
    <row r="15">
      <c r="B15" s="44" t="inlineStr">
        <is>
          <t>Total cost (THB @ mid rate)</t>
        </is>
      </c>
      <c r="J15" s="45">
        <f>ROUND(J12*$C$4,2)</f>
        <v/>
      </c>
      <c r="K15" s="11" t="inlineStr">
        <is>
          <t>THB (approx landed cost)</t>
        </is>
      </c>
    </row>
    <row r="16">
      <c r="B16" s="44" t="inlineStr">
        <is>
          <t>Subtotal — sell (THB)</t>
        </is>
      </c>
      <c r="J16" s="45">
        <f>L12</f>
        <v/>
      </c>
      <c r="K16" s="11" t="inlineStr">
        <is>
          <t>THB (= Quotation subtotal)</t>
        </is>
      </c>
    </row>
    <row r="17">
      <c r="B17" s="44" t="inlineStr">
        <is>
          <t>VAT 7% (THB)</t>
        </is>
      </c>
      <c r="J17" s="45">
        <f>ROUND(L12*0.07,2)</f>
        <v/>
      </c>
      <c r="K17" s="11" t="inlineStr">
        <is>
          <t>THB</t>
        </is>
      </c>
    </row>
    <row r="18">
      <c r="B18" s="44" t="inlineStr">
        <is>
          <t>Grand Total (THB, incl. VAT)</t>
        </is>
      </c>
      <c r="J18" s="45">
        <f>L12+ROUND(L12*0.07,2)</f>
        <v/>
      </c>
      <c r="K18" s="11" t="inlineStr">
        <is>
          <t>THB</t>
        </is>
      </c>
    </row>
    <row r="19">
      <c r="B19" s="44" t="inlineStr">
        <is>
          <t>FX buffer gain (THB)</t>
        </is>
      </c>
      <c r="J19" s="45">
        <f>L12-ROUND(J12*$C$4,2)</f>
        <v/>
      </c>
      <c r="K19" s="11" t="inlineStr">
        <is>
          <t>THB (buffer only; ~cost sale)</t>
        </is>
      </c>
    </row>
  </sheetData>
  <mergeCells count="8">
    <mergeCell ref="K16:L16"/>
    <mergeCell ref="A2:L2"/>
    <mergeCell ref="A1:L1"/>
    <mergeCell ref="K15:L15"/>
    <mergeCell ref="K19:L19"/>
    <mergeCell ref="K14:L14"/>
    <mergeCell ref="K18:L18"/>
    <mergeCell ref="K17:L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2026-08-19T07:25:45Z</dcterms:created>
  <dcterms:modified xsi:type="dcterms:W3CDTF">2026-08-19T07:25:45Z</dcterms:modified>
</cp:coreProperties>
</file>