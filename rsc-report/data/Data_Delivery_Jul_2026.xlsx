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KPI-PURCHASING\2026\7.Jul\"/>
    </mc:Choice>
  </mc:AlternateContent>
  <xr:revisionPtr revIDLastSave="0" documentId="13_ncr:1_{F2284088-D2B0-4EAF-A84F-147F7396E716}" xr6:coauthVersionLast="47" xr6:coauthVersionMax="47" xr10:uidLastSave="{00000000-0000-0000-0000-000000000000}"/>
  <bookViews>
    <workbookView xWindow="-120" yWindow="-120" windowWidth="29040" windowHeight="15720" xr2:uid="{9A2A11FA-1C88-426C-931E-8184845A5F56}"/>
  </bookViews>
  <sheets>
    <sheet name="PO-KPI-Jul" sheetId="1" r:id="rId1"/>
  </sheets>
  <definedNames>
    <definedName name="_xlnm._FilterDatabase" localSheetId="0" hidden="1">'PO-KPI-Jul'!$B$1:$Q$1</definedName>
    <definedName name="_xlnm.Print_Area" localSheetId="0">'PO-KPI-Jul'!$A$1:$Q$1</definedName>
    <definedName name="_xlnm.Print_Titles" localSheetId="0">'PO-KPI-Jul'!$1:$1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17" i="1" l="1"/>
  <c r="Q517" i="1"/>
  <c r="P518" i="1"/>
  <c r="Q518" i="1"/>
  <c r="P519" i="1"/>
  <c r="Q519" i="1"/>
  <c r="P520" i="1"/>
  <c r="Q520" i="1"/>
  <c r="P521" i="1"/>
  <c r="Q521" i="1"/>
  <c r="G524" i="1"/>
  <c r="G525" i="1" s="1"/>
  <c r="Q516" i="1"/>
  <c r="P516" i="1"/>
  <c r="Q515" i="1"/>
  <c r="P515" i="1"/>
  <c r="Q514" i="1"/>
  <c r="P514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Q493" i="1"/>
  <c r="P493" i="1"/>
  <c r="Q492" i="1"/>
  <c r="P492" i="1"/>
  <c r="Q491" i="1"/>
  <c r="P491" i="1"/>
  <c r="Q490" i="1"/>
  <c r="P490" i="1"/>
  <c r="Q489" i="1"/>
  <c r="P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6" i="1"/>
  <c r="P476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K447" i="1"/>
  <c r="Q446" i="1"/>
  <c r="P446" i="1"/>
  <c r="K446" i="1"/>
  <c r="Q445" i="1"/>
  <c r="P445" i="1"/>
  <c r="K445" i="1"/>
  <c r="Q444" i="1"/>
  <c r="P444" i="1"/>
  <c r="K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Q417" i="1"/>
  <c r="P417" i="1"/>
  <c r="Q416" i="1"/>
  <c r="P416" i="1"/>
  <c r="Q415" i="1"/>
  <c r="P415" i="1"/>
  <c r="Q414" i="1"/>
  <c r="P414" i="1"/>
  <c r="Q413" i="1"/>
  <c r="P413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K168" i="1"/>
  <c r="Q167" i="1"/>
  <c r="P167" i="1"/>
  <c r="K167" i="1"/>
  <c r="Q166" i="1"/>
  <c r="P166" i="1"/>
  <c r="K166" i="1"/>
  <c r="Q165" i="1"/>
  <c r="P165" i="1"/>
  <c r="K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K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K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</calcChain>
</file>

<file path=xl/sharedStrings.xml><?xml version="1.0" encoding="utf-8"?>
<sst xmlns="http://schemas.openxmlformats.org/spreadsheetml/2006/main" count="2682" uniqueCount="923">
  <si>
    <t>No.</t>
  </si>
  <si>
    <t>JOB NO.</t>
  </si>
  <si>
    <t>PR NO.</t>
  </si>
  <si>
    <t>Suppliers-Name</t>
  </si>
  <si>
    <t>Code</t>
  </si>
  <si>
    <t>Details</t>
  </si>
  <si>
    <t>Qty.</t>
  </si>
  <si>
    <t>Unit</t>
  </si>
  <si>
    <t>Price</t>
  </si>
  <si>
    <t>Discount</t>
  </si>
  <si>
    <t>Totals Price</t>
  </si>
  <si>
    <t>PO NO.</t>
  </si>
  <si>
    <t>PO Date</t>
  </si>
  <si>
    <t>Expected date</t>
  </si>
  <si>
    <t>Received date</t>
  </si>
  <si>
    <t>Ability</t>
  </si>
  <si>
    <t>Diff</t>
  </si>
  <si>
    <t>JR-26-05-053/PR69-412/Betagen</t>
  </si>
  <si>
    <t>ยาสกาว่า อิเล็คทริก (ประเทศไทย) จำกัด</t>
  </si>
  <si>
    <t xml:space="preserve">  1 ) SVP-INS-0001 PRIMARY INSPECTION ROBOT GP180/YRC1000</t>
  </si>
  <si>
    <t>Au</t>
  </si>
  <si>
    <t>PO69-629</t>
  </si>
  <si>
    <t>JR-25-12-140/PR69-451/T.C.UNION</t>
  </si>
  <si>
    <t>ซิกม่าแอคท์ จำกัด</t>
  </si>
  <si>
    <t xml:space="preserve">  2 ) ELS-COV-0012 COVER HDG 100x3000mm. T1.2 mm (ฝาแบบกดล็อค)</t>
  </si>
  <si>
    <t>PCS.</t>
  </si>
  <si>
    <t>PO69-681</t>
  </si>
  <si>
    <t>JR-26-05-058/PR69-442/DSM</t>
  </si>
  <si>
    <t>ไทยโพลิเมอร์ ซัพพลาย จำกัด</t>
  </si>
  <si>
    <t xml:space="preserve">  1 ) MES-BEL-0047 BELT PVC 2 MM. WHITE THK2xW485xL2,318mm.ต่อกลม</t>
  </si>
  <si>
    <t>Ea.</t>
  </si>
  <si>
    <t>PO69-675</t>
  </si>
  <si>
    <t xml:space="preserve">  2 ) MES-BEL-0048 BELT PVC 3 MM. WHITE THK3xW485xL2,192mm.OPEN</t>
  </si>
  <si>
    <t>JR-OFFICE/PR69-491/Asset</t>
  </si>
  <si>
    <t>เอ็ม โปรเกรส เทรดดิ้ง จำกัด</t>
  </si>
  <si>
    <t xml:space="preserve">  1 ) 14-1008- HELI รถลากพาเลท พิกัด 3T หน้ากว้าง 685mm (HL30-HELI-685)</t>
  </si>
  <si>
    <t>คัน</t>
  </si>
  <si>
    <t>PO69-739</t>
  </si>
  <si>
    <t>JR-26-06-071/PR69-506/BETAGEN</t>
  </si>
  <si>
    <t xml:space="preserve">  1 ) SVP-ENG-0001 ENGINEERING FEE WEEKDAY PRICE</t>
  </si>
  <si>
    <t>Hrs.</t>
  </si>
  <si>
    <t>PO69-814</t>
  </si>
  <si>
    <t xml:space="preserve">  2 ) SVP-TRV-0001 TRAVELLING TIME 1,000 THB/HRS/PERSON</t>
  </si>
  <si>
    <t xml:space="preserve">  3 ) SVP-TRV-0001 TRAVELLING FEE EXPENSE 10 THB/KM</t>
  </si>
  <si>
    <t>Kms.</t>
  </si>
  <si>
    <t>JR-26-06-073/PR69-513/PRIME BOX</t>
  </si>
  <si>
    <t xml:space="preserve">  1 ) ELS-POW-0037 POWER CHARGE-UNIT PARTS JZRCR-YUP01C-1</t>
  </si>
  <si>
    <t>PO69-777</t>
  </si>
  <si>
    <t xml:space="preserve">  1 ) SVP-ENG-0001 ENGINEERING FEE</t>
  </si>
  <si>
    <t>PO69-778</t>
  </si>
  <si>
    <t>JR-25-12-140/PR69-582/T.C.UNION</t>
  </si>
  <si>
    <t>ซิสเต็มเทค เอ็นจิเนียริ่ง จำกัด</t>
  </si>
  <si>
    <t xml:space="preserve">  1 ) MEM-FAB-0002 ADDITIONAL PLATFORM FOR SCREW CONVEYOR</t>
  </si>
  <si>
    <t>SET</t>
  </si>
  <si>
    <t>PO69-876</t>
  </si>
  <si>
    <t xml:space="preserve">  2 ) SVP-TRA-0001 TRANSPORTATION &amp; INSTALLATION ONSITE (T.C.UNION)</t>
  </si>
  <si>
    <t>Job.</t>
  </si>
  <si>
    <t>JR-24-04-021/PR69-570/TEI (Palletizing)</t>
  </si>
  <si>
    <t xml:space="preserve">MISUMI (THAILAND) CO.,LTD </t>
  </si>
  <si>
    <t xml:space="preserve"> 16 ) MES-ROL-0038 ROLLER FOR CONVEYOR HROB38-313 (MISUMI)</t>
  </si>
  <si>
    <t>PO69-873</t>
  </si>
  <si>
    <t xml:space="preserve"> 13 ) MES-ROT-0010 ROTARY SHAFT FXFA30-17-F38 (MISUMI)</t>
  </si>
  <si>
    <t>JR-STORE,OFFICE</t>
  </si>
  <si>
    <t>PR69-601</t>
  </si>
  <si>
    <t xml:space="preserve">อินเตอร์ ซัพพลาย (1992) จำกัด </t>
  </si>
  <si>
    <t xml:space="preserve">SUP-WEL-0002 </t>
  </si>
  <si>
    <t>WELDING WIRE MG-51T 1.2mm. (CO2) KOBE</t>
  </si>
  <si>
    <t>ROLL</t>
  </si>
  <si>
    <t>PO69-904</t>
  </si>
  <si>
    <t>JR-26-05-057/PR69-561/LERTVILAI</t>
  </si>
  <si>
    <t>เซ็นทรัลโบลท จำกัด</t>
  </si>
  <si>
    <t xml:space="preserve">  1 ) MES-SCR-0239 SCREW สกรูหัวจม (ชุบขาว) M16x45</t>
  </si>
  <si>
    <t>PO69-871</t>
  </si>
  <si>
    <t xml:space="preserve">  2 ) MES-SCR-0094 SCREW สกรูหัวจม (ชุบขาว) M5x16</t>
  </si>
  <si>
    <t xml:space="preserve">  3 ) MES-SCR-0240 SCREW สกรูหัวจมเตเปอร์ (ชุบขาว) M8x30</t>
  </si>
  <si>
    <t xml:space="preserve">  4 ) MES-SCR-0241 SCREW สกรูหัวจมเตเปอร์ (ชุบขาว) M16x45</t>
  </si>
  <si>
    <t xml:space="preserve">  5 ) MES-PIN-0005 PINS (SUS) 10x30</t>
  </si>
  <si>
    <t xml:space="preserve">  6 ) MES-SCR-0242 SCREW สกรูหัวจม (ชุบขาว) M4x15</t>
  </si>
  <si>
    <t xml:space="preserve">  7 ) MES-SCR-0053 SCREW สกรูหัวจมกลม (SUS) M3x12</t>
  </si>
  <si>
    <t xml:space="preserve"> 10 ) MES-TIM-0022 TIMING BELTS PARTS C-TBCR-T10300 (MISUMI)</t>
  </si>
  <si>
    <t xml:space="preserve">  9 ) MES-ADA-0006 ADAPTOR APMTS-T1-T1 (MISUMI)</t>
  </si>
  <si>
    <t xml:space="preserve">  2 ) MES-HIN-0034 HINGE PINS PCLBGNU12-40 (MISUMI)</t>
  </si>
  <si>
    <t xml:space="preserve">  3 ) MES-HIN-0035 HINGE PINS PCLBGNU12-30 (MISUMI)</t>
  </si>
  <si>
    <t xml:space="preserve"> 12 ) MES-TIM-0020 TIMING PULLYE TTPM40T10300-A-Y40-Q55-R55-S13-T13</t>
  </si>
  <si>
    <t xml:space="preserve"> 14 ) MES-SPR-0079 SPROCKET SP40B18-N-22 (MISUMI)</t>
  </si>
  <si>
    <t>JR-STORE/PR69-572</t>
  </si>
  <si>
    <t>ไทย ออล ทูลส์ จำกัด</t>
  </si>
  <si>
    <t xml:space="preserve">  1 ) 14-1008- ชุดเครื่องมือช่าง 147 ชิ้น  TOTAL THKTHP21476</t>
  </si>
  <si>
    <t>PO69-863</t>
  </si>
  <si>
    <t>JR-24-04-021/PR69-568/TEI (Palletizing)</t>
  </si>
  <si>
    <t>เซเกียว คิไซ (ประเทศไทย) จำกัด</t>
  </si>
  <si>
    <t xml:space="preserve">  1 ) MES-AIR-0204 AIR CYLINDER MDBL80-75NZ-M9BZ (SMC)</t>
  </si>
  <si>
    <t>PO69-861</t>
  </si>
  <si>
    <t xml:space="preserve"> 19 ) MES-AIR-0239 AIR CYLINDER CDQ2B25-40DZ-M9BL (SMC)</t>
  </si>
  <si>
    <t xml:space="preserve"> 15 ) MES-HOL-0012 HOLDER FOR SHAFT C-SHA12 (MISUMI)</t>
  </si>
  <si>
    <t>JR-26-05-057/PR69-518/LERTVILAI</t>
  </si>
  <si>
    <t>เอ็ม.ซี.เค.สตีล เซ็นเตอร์ จำกัด</t>
  </si>
  <si>
    <t xml:space="preserve">  1 ) MEP-SSS-0046 STEEL SS400 (เหล็กเพลากลม) 60MM.x500MM.</t>
  </si>
  <si>
    <t>PO69-784</t>
  </si>
  <si>
    <t>JR-25-09-101/PR69-540/AUTO DOOR</t>
  </si>
  <si>
    <t>เจ.เค.เอส.กรุ๊ป (2002) จำกัด</t>
  </si>
  <si>
    <t xml:space="preserve">  1 ) MES-NBR-0001 NBR ปะเก็นยางทนน้ำมัน กว้าง 1mหนา 3mm.(10ม./ม้วน)</t>
  </si>
  <si>
    <t>PO69-819</t>
  </si>
  <si>
    <t>JR-26-04-042/PR69-499/NS BLUESCOPE</t>
  </si>
  <si>
    <t>ที.เอ็ม.ที.พรีซิชั่น เวิร์ค จำกัด</t>
  </si>
  <si>
    <t xml:space="preserve">  1 ) MEM-SSS-0120 JR-26-04-042-010-008-B (rev.1)  (SS400)</t>
  </si>
  <si>
    <t>PO69-762</t>
  </si>
  <si>
    <t xml:space="preserve">  2 ) MEM-SSS-0121 JR-26-04-042-010-009-A (SS400)</t>
  </si>
  <si>
    <t>JR-24-04-018/PR69-508/EQ (Pick &amp; Place)</t>
  </si>
  <si>
    <t>ซีเคดี ไทย คอร์ปอเรชั่น จำกัด</t>
  </si>
  <si>
    <t xml:space="preserve">  1 ) MES-AIR-0280 AIR CYLINDER SSD2-L-63-125-T1V3-D-N (CKD)</t>
  </si>
  <si>
    <t>PO69-775</t>
  </si>
  <si>
    <t xml:space="preserve">  1 ) MES-OIL-0027 OIL FREE BUSH MDZF12-6 (MISUMI)</t>
  </si>
  <si>
    <t xml:space="preserve">  4 ) MES-MAN-0053 MANIFOLDS BMSN4-12 (MISUMI)</t>
  </si>
  <si>
    <t xml:space="preserve">  6 ) MES-DOW-0045 DOWEL PIN MSTP10-25 MISUMI</t>
  </si>
  <si>
    <t xml:space="preserve">  7 ) MES-NUT-0052 NUTS EG_NUTS E-GLNUTS10 MISUMI</t>
  </si>
  <si>
    <t xml:space="preserve">  8 ) MES-COP-0001 COPPER THREADED JOINT E-SJSPB46 (MISUMI)</t>
  </si>
  <si>
    <t>JR-26-05-057/PR69-599/LERTVILAI</t>
  </si>
  <si>
    <t xml:space="preserve">  1 ) ELS-SIG-0007 SIGNAL TOWER BUZZER PILOTLAMP NE-24A-G PATLITE</t>
  </si>
  <si>
    <t>PO69-895</t>
  </si>
  <si>
    <t xml:space="preserve">  2 ) ELS-SIG-0008 SIGNAL TOWER BUZZER PILOTLAMP NE-24A-R PATLITE</t>
  </si>
  <si>
    <t xml:space="preserve">  3 ) ELS-POW-0019 POWER SUPPLY S8VK-S24024 OMRON</t>
  </si>
  <si>
    <t>JR-26-05-057/PR69-597/LERTVILAI</t>
  </si>
  <si>
    <t xml:space="preserve">  1 ) ELS-CON-0032 CONTROL CONSOLE ACCESSORIES EBA-25-20E (SHINO)</t>
  </si>
  <si>
    <t>PO69-896</t>
  </si>
  <si>
    <t xml:space="preserve">  2 ) ELS-SWI-0074 INDUSTRIAL SWITCH MES-M8RJ-ST (MISUMI)</t>
  </si>
  <si>
    <t xml:space="preserve">  3 ) ELS-COV-0013 COVER BREAKER TCS-05SV3 (MITSUBISHI)</t>
  </si>
  <si>
    <t xml:space="preserve">  4 ) ELS-COV-0014 COVER BREAKER TCS-05SV2 (MITSUBISHI)</t>
  </si>
  <si>
    <t>JR-26-05-057/pR69-599/LERTVILAI</t>
  </si>
  <si>
    <t>ต.ธีรกิจ อินโนเวชั่น จำกัด</t>
  </si>
  <si>
    <t xml:space="preserve">  1 ) ELS-CPU-0012 CPU Q03UDVCPU (MITSUBISHI)</t>
  </si>
  <si>
    <t>PO69-892</t>
  </si>
  <si>
    <t xml:space="preserve">  2 ) ELS-PLC-0039 PLC QJ61BT11N (MITSUBISHI)</t>
  </si>
  <si>
    <t xml:space="preserve">  3 ) ELS-PLC-0036 PLC Q35B (MISUBISHI)</t>
  </si>
  <si>
    <t xml:space="preserve">  4 ) ELS-PLC-0037 PLC Q61P (MISUBISHI)</t>
  </si>
  <si>
    <t xml:space="preserve">  5 ) ELS-PLC-0001 PLC MITSUBISHI IO QH42P  (MISUBISHI)</t>
  </si>
  <si>
    <t xml:space="preserve">  6 ) ELS-CON-0144 CONNECTOR CABLE A6TBXY36 (MISUBISHI)</t>
  </si>
  <si>
    <t xml:space="preserve">  7 ) ELS-INV-0023 INVERTER FR-E820-1.5K-1 (MITSUBISHI)</t>
  </si>
  <si>
    <t xml:space="preserve">  8 ) ELS-INV-0016 INVERTER FR-E820-0.4K-1 (MITSUBISHI)</t>
  </si>
  <si>
    <t>JR-26-05-057/PR69-654/LERTVILAI</t>
  </si>
  <si>
    <t>ต.วิชชุกรณ์ จำกัด</t>
  </si>
  <si>
    <t xml:space="preserve">  1 ) ELS-BOX-0102 CONTROL BOX WNP ตู้เหล็ก 800x1900x400mm.(CX0340)</t>
  </si>
  <si>
    <t>PO69-854</t>
  </si>
  <si>
    <t>แลปป์ เคเบิ้ล (ประเทศไทย)จำกัด</t>
  </si>
  <si>
    <t xml:space="preserve">  1 ) ELS-CAB-0317 CABLE OFLEX CLASSIC 110 4X0,5 P/N 1119754</t>
  </si>
  <si>
    <t>m.</t>
  </si>
  <si>
    <t>PO69-893</t>
  </si>
  <si>
    <t xml:space="preserve">  2 ) ELS-CAB-0115 CABLE OLFLEX CLASSIC 110 10G0,5 P/N 1119010</t>
  </si>
  <si>
    <t>เมตร</t>
  </si>
  <si>
    <t xml:space="preserve">  3 ) ELS-CAB-0152 CABLE OLFLEX CLASSIC 110 21G0,5 P/N 1119021</t>
  </si>
  <si>
    <t xml:space="preserve">  4 ) ELS-CAB-0284 CABLE H07V-K 1X2.5 VDE WH RAL 9010 P/N 8120052</t>
  </si>
  <si>
    <t xml:space="preserve">  5 ) ELS-CAB-0318 CABLE X07V-K 1X2.5 YE RAL 1003 P/N 3801331</t>
  </si>
  <si>
    <t xml:space="preserve">  6 ) ELS-CAB-0226 CABLE H07V-K 1X6 VDE BK RAL 9005 P/N 8120014</t>
  </si>
  <si>
    <t xml:space="preserve">ปิยะพจน์อีเลคทริค จำกัด </t>
  </si>
  <si>
    <t xml:space="preserve">  1 ) ELS-BRE-0023 BREAKER NF32-SV 3P 10A (MITSUBISHI)</t>
  </si>
  <si>
    <t>PO69-906</t>
  </si>
  <si>
    <t xml:space="preserve">  2 ) ELS-PUS-0069 PUSHBUTTON ABN 111 BK 30mm. (IDEC)</t>
  </si>
  <si>
    <t xml:space="preserve">  3 ) ELS-PUS-0070 PUSHBUTTON ABN 111 W 30mm. (IDEC)</t>
  </si>
  <si>
    <t xml:space="preserve">  4 ) ELS-EME-0019 EMERGENCY STOP SWITCH AVN 322NR (IDEC)</t>
  </si>
  <si>
    <t xml:space="preserve">  5 ) ELS-WIR-0143 WIREDUCT WD-6080-8 (BANDEX)</t>
  </si>
  <si>
    <t xml:space="preserve">  6 ) ELS-WIR-0144 WIREDUCT WD-4080-8 (BANDEX)</t>
  </si>
  <si>
    <t xml:space="preserve">  7 ) ELS-TER-0044 TERMINAL BNDE15W (IDEC)</t>
  </si>
  <si>
    <t xml:space="preserve">  8 ) ELS-CAB-0228 CABLE VCT-GRD-YAZAKI 3x2.5/2.5 SQMM.</t>
  </si>
  <si>
    <t xml:space="preserve">  9 ) ELS-CON-0020 คอนเนตเตอร์ท่ออ่อนกันน้ำ-TIGER 1/2^</t>
  </si>
  <si>
    <t xml:space="preserve"> 10 ) ELS-FLE-0009 FLEXIBLE ท่ออ่อนกันน้ำ-สีดำ.BLISS 1/2^ (1/50)</t>
  </si>
  <si>
    <t xml:space="preserve"> 11 ) ELS-CAB-0108 CABLE VCT-GRD-YAZAKI 3x1.5/1.5 SQMM.</t>
  </si>
  <si>
    <t xml:space="preserve"> 12 ) ELS-CAB-0320 CABLE VCT-GRD-YAZAKI 3x6/6 SQMM.</t>
  </si>
  <si>
    <t>JR-26-04-042/PR69-610/NS BLUESCOPE</t>
  </si>
  <si>
    <t>นาสป้า เอเซีย จำกัด</t>
  </si>
  <si>
    <t xml:space="preserve">  1 ) MEP-SSS-0064 STEEL SS400 (เหล็ก-Finishing plate) 950x50xT40mm.</t>
  </si>
  <si>
    <t>PO69-925</t>
  </si>
  <si>
    <t>JR-25-12-137/PR69-538/RICOH</t>
  </si>
  <si>
    <t>MISUMI (THAILAND) CO.,LTD</t>
  </si>
  <si>
    <t xml:space="preserve">  1 ) MES-ALU-0316 ALUMINUM FRAME NEFS8-4040-420</t>
  </si>
  <si>
    <t>PO69-812</t>
  </si>
  <si>
    <t xml:space="preserve">  2 ) MES-ALU-0317 ALUMINUM FRAME NEFS8-4040-830</t>
  </si>
  <si>
    <t xml:space="preserve">  3 ) MES-ALU-0318 ALUMINUM FRAME NEFS8-4040-810</t>
  </si>
  <si>
    <t xml:space="preserve">  4 ) MES-ALU-0319 ALUMINUM FRAME NEFS8-4040-750</t>
  </si>
  <si>
    <t xml:space="preserve">  5 ) MES-CAP-0001 CAP FOR ALUMINUM FRAME HFC8-4040-B</t>
  </si>
  <si>
    <t xml:space="preserve">  6 ) MES-BRA-0094 ALUMINUM BRACKETS HBLFSNF8-C-SET</t>
  </si>
  <si>
    <t xml:space="preserve">  7 ) MES-FOO-0009 FOOTBASE FOR ALUMINUM FRAME HLFC8-4040</t>
  </si>
  <si>
    <t xml:space="preserve">  8 ) MES-ADJ-0061 ADJUSTER PADS ECONOMY C-CFJFN10-100</t>
  </si>
  <si>
    <t>JR-26-04-042/PR69-494/NS BLUESCOPE</t>
  </si>
  <si>
    <t>เพาเวอร์ เพนแนล บอร์ด จำกัด</t>
  </si>
  <si>
    <t xml:space="preserve">  2 ) ELS-BOX-0099 CONTROL PANEL BASE (ฐานตู้) W700xH700xD370 mm.</t>
  </si>
  <si>
    <t>PO69-745</t>
  </si>
  <si>
    <t>JR-26-04-042/PR69-527/NS BLUESCOPE</t>
  </si>
  <si>
    <t>สยาม เอส.ซี. สตีล เพลท จำกัด</t>
  </si>
  <si>
    <t xml:space="preserve">  1 ) MEM-SSS-0128 DWG No : JR-26-04-042-050-020 (SUS304-Hairline)</t>
  </si>
  <si>
    <t>PO69-797</t>
  </si>
  <si>
    <t>เจดับบลิวเทค จำกัด</t>
  </si>
  <si>
    <t xml:space="preserve">  1 ) ELS-BRE-0009 BREAKER CP30-BA 2P 1-M 10A (MITSUBISHI)</t>
  </si>
  <si>
    <t>PO69-907</t>
  </si>
  <si>
    <t xml:space="preserve">  2 ) ELS-TOU-0001 TOUCH SCREEN GS2110-WTBD-N (MITSUBISHI)</t>
  </si>
  <si>
    <t xml:space="preserve">  3 ) ELS-MAG-0014 MAGNETICCONTACTOR SD-Q11 DC24V (MITSUBISHI)</t>
  </si>
  <si>
    <t xml:space="preserve">  4 ) ELS-TOW-0013 TOWER LIGHT LR6-502LJBW-RYGBC (PATLITE)</t>
  </si>
  <si>
    <t xml:space="preserve">  5 ) ELS-BRE-0013 BREAKER NF32-SV 3P 16A (MITSUBISHI)</t>
  </si>
  <si>
    <t xml:space="preserve">  6 ) ELS-BRE-0022 BREAKER NF32-SV 2P 10A (MITSUBISHI)</t>
  </si>
  <si>
    <t xml:space="preserve">  7 ) ELS-EME-0008 EMERGEMCY STOP NAME PLATE HNAV-27 (30MM)</t>
  </si>
  <si>
    <t xml:space="preserve">  8 ) ELS-TER-0001 TERMINAL BNDH15W (IDEC)</t>
  </si>
  <si>
    <t xml:space="preserve">  9 ) ELS-TER-0004 TERMINAL BNH30W (IDEC)</t>
  </si>
  <si>
    <t xml:space="preserve"> 10 ) ELS-TER-0015 TERMINAL COVER BNC 230 (IDEC)</t>
  </si>
  <si>
    <t xml:space="preserve"> 11 ) ELS-DIN-0002 DIN RAIL BAA1000 (IDEC)</t>
  </si>
  <si>
    <t xml:space="preserve"> 12 ) ELS-REL-0022 RELAY MY4N-GS-R 24VDC (OMRON)</t>
  </si>
  <si>
    <t xml:space="preserve"> 13 ) ELS-SOC-0010 SOCKET RELAY PYFZ-14-E (OMRON)</t>
  </si>
  <si>
    <t xml:space="preserve"> 14 ) ELS-BRE-0063 BREAKER NF-32SV 3P 25A (MITSUBISHI)</t>
  </si>
  <si>
    <t>แพลน เนท ที แอนด์ เอส จำกัด</t>
  </si>
  <si>
    <t xml:space="preserve">  1 ) ELS-CAB-0319 CABLE KDF (5P)10C x 0.3 sqmm (KURAMO)</t>
  </si>
  <si>
    <t>PO69-894</t>
  </si>
  <si>
    <t>JR-26-04-042/PR69-495/NS BLUESCOPE</t>
  </si>
  <si>
    <t xml:space="preserve">  1 ) ELS-BRE-0060 BREAKER BH-D6 3P 10A (MITSUBISHI)</t>
  </si>
  <si>
    <t>PO69-753</t>
  </si>
  <si>
    <t xml:space="preserve">  2 ) ELS-BRE-0062 BREAKER BH-D6 3P 40A (MITSUBISHI)</t>
  </si>
  <si>
    <t xml:space="preserve">  1 ) MEP-SSS-0044 STEEL SS400 (เหล็กแผ่น) T20x260x400MM.</t>
  </si>
  <si>
    <t>แผ่น</t>
  </si>
  <si>
    <t>PO69-783</t>
  </si>
  <si>
    <t xml:space="preserve">  2 ) MEP-SSS-0045 STEEL SS400 (เหล็กแผ่น) T20x300x400MM.</t>
  </si>
  <si>
    <t>JR-26-04-045/PR69-522/MODIFY (SVS 1)</t>
  </si>
  <si>
    <t xml:space="preserve">  1 ) MES-COU-0020 COUPLINGS GCPW ECONOMY GCPW26-6-10 (MISUMI)</t>
  </si>
  <si>
    <t>PO69-792</t>
  </si>
  <si>
    <t xml:space="preserve">  2 ) MES-ROT-0017 ROTARY ENCODERS E6C2-CWZ6C 720P/R 2M (OMRON)</t>
  </si>
  <si>
    <t>JR-26-04-042/PR69-520/NS BLUESCOPE</t>
  </si>
  <si>
    <t>ทวีธนลาภสตีล จำกัด</t>
  </si>
  <si>
    <t xml:space="preserve">  2 ) MEP-SSS-0047 STEEL SS400 (เหล็กฉาก) 40X40X4MM.X6M.</t>
  </si>
  <si>
    <t>เส้น</t>
  </si>
  <si>
    <t>PO69-787</t>
  </si>
  <si>
    <t xml:space="preserve">  3 ) MEP-SSS-0048 STEEL SS400 (เหล็กเพลากลม) 12MM.x6M.</t>
  </si>
  <si>
    <t xml:space="preserve">  4 ) MEP-SSS-0019 STEEL SS400 (เหล็กแผ่น) T10mmx4'x8'</t>
  </si>
  <si>
    <t xml:space="preserve">  5 ) MEP-SSS-0007 STEEL SS400 (เหล็กแผ่น) T5mmx4'x8'</t>
  </si>
  <si>
    <t xml:space="preserve">  6 ) MEP-SSS-0009 STEEL SS400 (เหล็กแผ่น) T3mmx4'x8'</t>
  </si>
  <si>
    <t xml:space="preserve">  1 ) MEP-SSS-0006 STEEL (เหล็กกล่อง) 50x50x4mmx6m</t>
  </si>
  <si>
    <t>JR-OFFICE/PR69-545</t>
  </si>
  <si>
    <t>บางพลีสเตชั่นเนอรี่ จำกัด</t>
  </si>
  <si>
    <t xml:space="preserve">  1 ) SUF-STA-0317 กรวยน้ำ 5000 ลังเขียว*BP</t>
  </si>
  <si>
    <t>PO69-831</t>
  </si>
  <si>
    <t xml:space="preserve">  2 ) SUP-TAP-0014 TAPE เทป OPP 2 x 45y น้ำตาล Unitape</t>
  </si>
  <si>
    <t>คงกิจเชิดชู อิเล็คทริค แอนด์ แมชชีนทูล จำกัด</t>
  </si>
  <si>
    <t xml:space="preserve">  1 ) SUP-TER-0003 TERMINAL CORD END SELLVER CE-0.50-8 (สีส้ม)</t>
  </si>
  <si>
    <t>ถุง</t>
  </si>
  <si>
    <t>PO69-834</t>
  </si>
  <si>
    <t xml:space="preserve">  2 ) SUP-TER-0012 TERMINAL SPADE Y-1.5-4S</t>
  </si>
  <si>
    <t xml:space="preserve">  3 ) SUP-BEN-0001 แป้นกาวยึดสาย (ตีนตุ๊กแก ใหญ่ ขาว) 28x28 BANDEX</t>
  </si>
  <si>
    <t xml:space="preserve">  4 ) SUP-SAD-0002 SADDLE TIE TM-02</t>
  </si>
  <si>
    <t xml:space="preserve">  5 ) MES-SPE-0040 SPEED CONTROLLER AS3201F-03-10A (SMC)</t>
  </si>
  <si>
    <t xml:space="preserve"> 29 ) MES-SPE-0001 SPEED CONTROLLER AS2201F-01-08SA (SMC)</t>
  </si>
  <si>
    <t xml:space="preserve"> 34 ) MES-SPE-0001 SPEED CONTROLLER AS2201F-01-08SA (SMC)</t>
  </si>
  <si>
    <t>JR-26-07-078/PR69-596/SSL</t>
  </si>
  <si>
    <t>เดอะ วินเนอร์ พาร์ท แอนด์ เซอร์วิส จำกัด</t>
  </si>
  <si>
    <t xml:space="preserve">  1 ) MES-MOT-0094 WORM GEAR MOTOR MODEL: MRV050 (MOTOVARIO)</t>
  </si>
  <si>
    <t>PO69-889</t>
  </si>
  <si>
    <t xml:space="preserve">  2 ) MES-CHA-0034 CHAIN NO.35-1R HKH</t>
  </si>
  <si>
    <t>กล่อง</t>
  </si>
  <si>
    <t xml:space="preserve">  3 ) MES-CHA-0035 ข้อต่อโซ่ NO.35-1R (CL)</t>
  </si>
  <si>
    <t xml:space="preserve">  4 ) SVP-DEL-0001 ค่าบริการ-ส่งของ-DELIVERY</t>
  </si>
  <si>
    <t>JR-STORE,OFFICE/PR69-601</t>
  </si>
  <si>
    <t xml:space="preserve">  1 ) SUP-STA-0370 เศษผ้าเย็บวนหลากสี (25kg/กระสอบ)</t>
  </si>
  <si>
    <t>กิโลกรัม</t>
  </si>
  <si>
    <t>PO69-919</t>
  </si>
  <si>
    <t>พีทูเอ็น ออฟฟิศซัพพลายส์ จำกัด</t>
  </si>
  <si>
    <t xml:space="preserve">  1 ) SUF-STA-0437 ผ้าหมึก BROTHER TN-1000</t>
  </si>
  <si>
    <t>PO69-900</t>
  </si>
  <si>
    <t xml:space="preserve">  1 ) MEP-SSS-0040 STEEL SS400 (เหล็กแผ่น) T20x20x130MM.</t>
  </si>
  <si>
    <t>PO69-759</t>
  </si>
  <si>
    <t xml:space="preserve">  2 ) MEP-SSS-0041 STEEL SS400 (เหล็กแผ่น) T16x20x62MM.</t>
  </si>
  <si>
    <t xml:space="preserve">  3 ) MEP-SSS-0042 STEEL SS400 (เหล็กแผ่น) T10x60x350MM.</t>
  </si>
  <si>
    <t xml:space="preserve">  4 ) MEP-SSS-0043 STEEL SS400 (เหล็กแผ่น) T10x80x350MM.</t>
  </si>
  <si>
    <t xml:space="preserve">  1 ) ELS-HMI-0012 HMI 7^ PROFACE ^PFXGP4402WADW^ (SCHNEIDER)</t>
  </si>
  <si>
    <t>PO69-748</t>
  </si>
  <si>
    <t xml:space="preserve">  1 ) ELS-SWI-0056 INDUSTRIAL SWITCH MES-G5RJ-ST ECONOMY (MISUMI)</t>
  </si>
  <si>
    <t>PO69-749</t>
  </si>
  <si>
    <t xml:space="preserve">  1 ) ELS-FLE-0065 FLEXISOFT BUNDLE MICRO (8 SDI, 4 SDO) #1058113</t>
  </si>
  <si>
    <t>PO69-750</t>
  </si>
  <si>
    <t xml:space="preserve">  2 ) ELS-FLE-0066 FLEXISOFT I/O EXPANSION FX3-XTIO84002 #1044125</t>
  </si>
  <si>
    <t xml:space="preserve">  3 ) ELS-PRO-0035 PROTECTION DEVICE VPU AC II 3+1 300/50 #2591080000</t>
  </si>
  <si>
    <t>ทริปเปิ้ล อี เทรดดิ้ง จำกัด</t>
  </si>
  <si>
    <t xml:space="preserve">  1 ) ELS-REL-0022 RELAY MY4N-GS-R 24VDC (OMRON)</t>
  </si>
  <si>
    <t>PO69-751</t>
  </si>
  <si>
    <t xml:space="preserve">  2 ) ELS-SOC-0010 SOCKET RELAY PYFZ-14-E (OMRON)</t>
  </si>
  <si>
    <t xml:space="preserve">  3 ) ELS-BRE-0009 BREAKER CP30-BA 2P 10A (MITSUBISHI)</t>
  </si>
  <si>
    <t>เจเจ-แลปป์ (ที) จำกัด</t>
  </si>
  <si>
    <t xml:space="preserve">  1 ) ELS-CAB-0266 CABLE H07V-K 1X2.5 VDE BN RAL 8003 P/N 8120032</t>
  </si>
  <si>
    <t>PO69-744</t>
  </si>
  <si>
    <t xml:space="preserve">  2 ) ELS-CAB-0265 CABLE H07V-K 1X2.5 VDE BK RAL 9005 P/N 8120012</t>
  </si>
  <si>
    <t xml:space="preserve">  3 ) ELS-CAB-0267 CABLE H07V-K 1X2.5 VDE GY RAL 7000 P/N 8120062</t>
  </si>
  <si>
    <t xml:space="preserve">  4 ) ELS-CAB-0248 CABLE H07V-K 1X2.5 VDE GNYE P/N 8120002</t>
  </si>
  <si>
    <t xml:space="preserve">  5 ) ELS-CAB-0263 CABLE H07V-K 1X2.5 VDE BU RAL 5010 P/N 8120022</t>
  </si>
  <si>
    <t xml:space="preserve">  6 ) ELS-CAB-0223 CABLE H05V-K 1X1.0 VDE RD RAL 3000 P/N 8110043</t>
  </si>
  <si>
    <t xml:space="preserve">  7 ) ELS-CAB-0146 CABLE H05V-K 1X1.0 VDE BK RAL 9005 P/N 8110013</t>
  </si>
  <si>
    <t xml:space="preserve">  8 ) ELS-CAB-0250 CABLE H05V-K 1X0.5 VDE LBU RAL 5015 P/N 8100548</t>
  </si>
  <si>
    <t xml:space="preserve">  9 ) ELS-CAB-0278 CABLE H05V-K 1X0.5 VDE GY RAL 7000 P/N 8110061</t>
  </si>
  <si>
    <t xml:space="preserve"> 10 ) ELS-CAB-0251 CABLE H05V-K 1X0.5 VDE OG RAL 2003 P/N 8110091</t>
  </si>
  <si>
    <t xml:space="preserve"> 11 ) ELS-CAB-0152 CABLE OLFLEX CLASSIC 110 21G0,5 P/N 1119021</t>
  </si>
  <si>
    <t xml:space="preserve"> 12 ) ELS-CAB-0097 CABLE OLFLEX CLASSIC 110 4G0.5 P/N 1119004</t>
  </si>
  <si>
    <t>JR-25-12-140/PR69-493/TC.UNION</t>
  </si>
  <si>
    <t>บุญทัน ขนส่ง จำกัด</t>
  </si>
  <si>
    <t xml:space="preserve">  1 ) 5150-43 ค่าบริการรถ 6 ล้อเฮี๊ยบจาก Robot ไป T.C.UNION</t>
  </si>
  <si>
    <t>เที่ยว</t>
  </si>
  <si>
    <t>PO69-740</t>
  </si>
  <si>
    <t>JR-25-12-140/PR69-083/T.C.UNION</t>
  </si>
  <si>
    <t>อีสเทิร์น เทค แมชชีนเนอรี่ จำกัด</t>
  </si>
  <si>
    <t xml:space="preserve">  1 ) MES-CON-0108 SLOP LOADING CONVEYOR W600xL2250xH1300mm</t>
  </si>
  <si>
    <t>PO69-145</t>
  </si>
  <si>
    <t xml:space="preserve">  2 ) MES-ROL-0023 ROLLER เพลาเหลี่ยม W615 x L1500 x H1300mm</t>
  </si>
  <si>
    <t xml:space="preserve">  3 ) MES-PAL-0005 FIGGER SUPPORT PALLET W3700xL6000xH500mm</t>
  </si>
  <si>
    <t xml:space="preserve">  4 ) MES-RAI-0005 GUIDE RAIL FOR PALLET TRANSFER</t>
  </si>
  <si>
    <t xml:space="preserve">  5 ) MES-STA-0009 LOAD IN STATION X-LIFT TRANSFER W980xL1750xH450mm</t>
  </si>
  <si>
    <t xml:space="preserve">  6 ) MES-STA-0010 ROBOT STATION X-LIFT TRANSFER W980xL3650xH450mm</t>
  </si>
  <si>
    <t xml:space="preserve">  7 ) MES-STA-0011 LOAD OUT STATION X-LIFT TRANSFER W980xL1750xH450mm</t>
  </si>
  <si>
    <t xml:space="preserve">  8 ) MES-AIR-0254 AIR BOWER UNIT</t>
  </si>
  <si>
    <t xml:space="preserve">  1 ) SVP-INS-0001 INSTALLATION COST</t>
  </si>
  <si>
    <t>PO69-151</t>
  </si>
  <si>
    <t xml:space="preserve">  2 ) SVP-TRA-0001 TRANSPORTATION COST</t>
  </si>
  <si>
    <t xml:space="preserve">  3 ) SVP-INP-0001 MICELLANEOUSLY COST</t>
  </si>
  <si>
    <t xml:space="preserve">  4 ) SVP-INP-0001 OVER HEAD COST</t>
  </si>
  <si>
    <t>JR-STORE</t>
  </si>
  <si>
    <t>โลตัสอ็อกซิเย่นแก๊ส (2012) จำกัด</t>
  </si>
  <si>
    <t xml:space="preserve">  1 ) SUP-GAS-0002 GAS OXYGEN (O2) ออกซิเจน 6.0 คิว</t>
  </si>
  <si>
    <t>PO69-822</t>
  </si>
  <si>
    <t xml:space="preserve">  2 ) SUP-GAS-0003 GAS CARBON DIOXIDE (CO2) คาร์บอนไดออกไซด์ 6.0 คิว</t>
  </si>
  <si>
    <t xml:space="preserve">  1 ) MEM-SSS-0117 JR-26-04-042-020-001-A (SS400)(ผิวดิบ/ตัดแก็ส)</t>
  </si>
  <si>
    <t>PO69-761</t>
  </si>
  <si>
    <t xml:space="preserve">  2 ) MEM-SSS-0118 JR-26-04-042-010-001-A (SS400)</t>
  </si>
  <si>
    <t xml:space="preserve">  3 ) MEM-SSS-0119 JR-26-04-042-010-002-A (SS400)</t>
  </si>
  <si>
    <t>JR-25-12-137/PR69-543/RICOH</t>
  </si>
  <si>
    <t xml:space="preserve">  1 ) MES-ADJ-0062 ADJUSTER PADS ECONOMY E-CFJFNVD65-12-150</t>
  </si>
  <si>
    <t>PO69-823</t>
  </si>
  <si>
    <t>JR-25-10-111/PR69-529/SUMITOMO</t>
  </si>
  <si>
    <t>วี เอ อาร์ คอร์ปอเรชั่น กรุ๊ป จำกัด</t>
  </si>
  <si>
    <t xml:space="preserve">  1 ) SVP-WAG-0001 ค่าจ้างทำสี Powder Coat :Matte Black Steel Part</t>
  </si>
  <si>
    <t>PO69-808</t>
  </si>
  <si>
    <t>JR-25-10-108/PR69-530/FCC</t>
  </si>
  <si>
    <t xml:space="preserve">  1 ) SVP-WAG-0001 ค่าจ้างทำสี Powder Coat : Matte Black Steel Part</t>
  </si>
  <si>
    <t>PO69-809</t>
  </si>
  <si>
    <t>JR-25-12-140/PR69-531/T.C.UNION</t>
  </si>
  <si>
    <t xml:space="preserve">  1 ) SVP-WAG-0001 ค่าจ้างทำสี Painting : Chugoku CS672</t>
  </si>
  <si>
    <t>PO69-810</t>
  </si>
  <si>
    <t xml:space="preserve">  2 ) SVP-WAG-0001 ค่าจ้างทำสี Primer JOTUN ( Grey )</t>
  </si>
  <si>
    <t xml:space="preserve">  3 ) SVP-WAG-0001 ค่าจ้างทำสี Chugoku CS672 Green</t>
  </si>
  <si>
    <t xml:space="preserve">  4 ) SVP-WAG-0001 ค่าจ้างทำสี Painting : Chugoku CS672 Green</t>
  </si>
  <si>
    <t>JR-24-04-018/PR69-521/EQ (Pick &amp; Place)</t>
  </si>
  <si>
    <t xml:space="preserve">  1 ) MES-SEA-0008 SEAL KIT STG-63K (CKD)</t>
  </si>
  <si>
    <t>PO69-785</t>
  </si>
  <si>
    <t>JR-25-12-137/PR69-546/RICOH</t>
  </si>
  <si>
    <t>ลีออง จิน สเปเชียล สตีล (ประเทศไทย) จำกัด</t>
  </si>
  <si>
    <t xml:space="preserve">  1 ) MEP-SSS-0049 STEEL SS400 (FINISHING PLATE) 460x380xT15 mm.</t>
  </si>
  <si>
    <t>PO69-824</t>
  </si>
  <si>
    <t>กรุงเทพ ไวร์เวิร์ค จำกัด</t>
  </si>
  <si>
    <t xml:space="preserve">  1 ) MES-WIC-0109 ตะแกรงอาร์คลวดดำ ปล่อยปลาย(50x50x4mm.) 680x1530mm</t>
  </si>
  <si>
    <t>PO69-786</t>
  </si>
  <si>
    <t xml:space="preserve">  2 ) MES-WIC-0110 ตะแกรงอาร์คลวดดำ ปล่อยปลาย(50x50x4mm.) 970x1530mm</t>
  </si>
  <si>
    <t xml:space="preserve">  3 ) MES-WIC-0111 ตะแกรงอาร์คลวดดำ ปล่อยปลาย(50x50x4mm.) 960x1610mm</t>
  </si>
  <si>
    <t xml:space="preserve">  4 ) MES-WIC-0112 ตะแกรงอาร์คลวดดำ ปล่อยปลาย(50x50x4mm.) 710x1610mm</t>
  </si>
  <si>
    <t xml:space="preserve">  5 ) MES-WIC-0113 ตะแกรงอาร์คลวดดำ ปล่อยปลาย(50x50x4mm.) 460x1610mm</t>
  </si>
  <si>
    <t xml:space="preserve">  6 ) MES-WIC-0114 ตะแกรงอาร์คลวดดำ ปล่อยปลาย(50x50x4mm.) 210x1610mm</t>
  </si>
  <si>
    <t xml:space="preserve">  7 ) MES-WIC-0115 ตะแกรงอาร์คลวดดำ ปล่อยปลาย(50x50x4mm.) 915x1530mm</t>
  </si>
  <si>
    <t xml:space="preserve">  8 ) SVP-DEL-0001 ค่าบริการ-ส่งของ-DELIVERY</t>
  </si>
  <si>
    <t>JR-26-04-037/PR69-406/NS-SIAM</t>
  </si>
  <si>
    <t>บีแทค อินดัสเตรียล ออโตเมชั่น จำกัด</t>
  </si>
  <si>
    <t xml:space="preserve">  1 ) FGD-BRA-SEA-01 Sealing plate type DI-PL 442-5R18 O10O10 F FXP-FMP</t>
  </si>
  <si>
    <t>PO69-623</t>
  </si>
  <si>
    <t>JR-26-05-057/PR69-549/LERTVILAI</t>
  </si>
  <si>
    <t>ยูเอ แมททีเรียล จำกัด</t>
  </si>
  <si>
    <t xml:space="preserve">  1 ) MEP-ALU-0054 ALUMINUM AL6061 T50x75x90MM.</t>
  </si>
  <si>
    <t>PO69-830</t>
  </si>
  <si>
    <t xml:space="preserve">  1 ) MEM-SSS-0122 DWG No : JR-24-04-018-001-301 (SS400)</t>
  </si>
  <si>
    <t>PO69-774</t>
  </si>
  <si>
    <t xml:space="preserve">  2 ) MEM-SSS-0123 DWG No : JR-24-04-018-001-302 (SS400)</t>
  </si>
  <si>
    <t xml:space="preserve">  3 ) MEM-SSS-0124 DWG No : JR-24-04-018-001-303 (SS400)</t>
  </si>
  <si>
    <t xml:space="preserve">  4 ) MEM-SSS-0125 DWG No : JR-24-04-018-001-304 (SS400)</t>
  </si>
  <si>
    <t xml:space="preserve">  5 ) MEM-SSS-0126 DWG No : JR-24-04-018-001-305 (SS400)</t>
  </si>
  <si>
    <t xml:space="preserve">  6 ) MEM-SSS-0127 DWG No : JR-24-04-018-001-306 (SS400)</t>
  </si>
  <si>
    <t xml:space="preserve">เอ็ม.ซี.เค.สตีล เซ็นเตอร์ จำกัด </t>
  </si>
  <si>
    <t xml:space="preserve">  1 ) SUP-SPL-0011 สเเตนเลสแผ่น (SUS304)-2B 2x1220x2440mm.</t>
  </si>
  <si>
    <t>PO69-833</t>
  </si>
  <si>
    <t xml:space="preserve">  2 ) SUP-SPL-0013 สแตนเลสแผ่น (SUS304)-2B 3x1220x2440mm.</t>
  </si>
  <si>
    <t>JR-OFFICE/PR69-551</t>
  </si>
  <si>
    <t>อัสคา อิเล็คโทรนิคส์ จำกัด</t>
  </si>
  <si>
    <t xml:space="preserve">  1 ) SUP-DRI-0227 ต๊าปเกลียว NPT 1^x11.1/2 (2ตัว/ชุด) KEIBA</t>
  </si>
  <si>
    <t>PO69-835</t>
  </si>
  <si>
    <t>JR-26-04-042/PR69-544/NS BLUESCOPE</t>
  </si>
  <si>
    <t>เคพีที1993 จำกัด</t>
  </si>
  <si>
    <t xml:space="preserve">  2 ) ELS-BOX-0100 CONTROL BOX S-ENCLOSURE CL16-34 (NITTO)</t>
  </si>
  <si>
    <t>PO69-828</t>
  </si>
  <si>
    <t xml:space="preserve">  1 ) ELS-BOX-0098 CONTROL BOX (ตู้เหล็ก SPCC) W700xH1200xD400 mm.</t>
  </si>
  <si>
    <t>JR-STORE/PR69-562/PRODUCTION</t>
  </si>
  <si>
    <t xml:space="preserve">  1 ) SUP-DRI-0228 ดอกต๊าปเกลียวตราคนป่า ขนาด 10 x 1.0 มม. (3ตัว/ชุด)</t>
  </si>
  <si>
    <t>PO69-852</t>
  </si>
  <si>
    <t>JR-25-12-140/PR69-563/T.C.UNION</t>
  </si>
  <si>
    <t xml:space="preserve">บุญทัน ขนส่ง จำกัด </t>
  </si>
  <si>
    <t xml:space="preserve">  1 ) 5150-43 ค่าขนส่ง 12ล้อ(ยาว9M.) ขนงานจาก ROBOT ไป T.C.UNION</t>
  </si>
  <si>
    <t>PO69-851</t>
  </si>
  <si>
    <t>JR-25-10-111/PR69-567/SUMITOMO</t>
  </si>
  <si>
    <t xml:space="preserve">  1 ) MES-ADJ-0063 ADJUSTER PADS AJCP12-B (MISUMI)</t>
  </si>
  <si>
    <t>Pack.</t>
  </si>
  <si>
    <t>PO69-858</t>
  </si>
  <si>
    <t>JR-25-12-140/PR69-573/T.C.UNION</t>
  </si>
  <si>
    <t xml:space="preserve">  1 ) MES-HOL-0019 HOLDER FOR SHAFT C-ALKDE12 (MISUMI)</t>
  </si>
  <si>
    <t>PO69-862</t>
  </si>
  <si>
    <t>JR-26-05-057/PR69-542/LERTVILAI</t>
  </si>
  <si>
    <t xml:space="preserve">  1 ) MEM-SSS-0129 DWG No : M23015-01-08-00 (SUJ2-60-65 HRC)</t>
  </si>
  <si>
    <t>PO69-817</t>
  </si>
  <si>
    <t xml:space="preserve">  2 ) MEM-SSS-0130 DWG No : M23015-01-09-00 (SUJ2-60-65 HRC)</t>
  </si>
  <si>
    <t xml:space="preserve">  3 ) MEM-SSS-0131 DWG No : M23015-01-10-00 (SS400)</t>
  </si>
  <si>
    <t xml:space="preserve">  4 ) MEM-SSS-0132 DWG No : M23015-01-12-00 (SS400)</t>
  </si>
  <si>
    <t>JR-25-10-108/PR69-554/FCC</t>
  </si>
  <si>
    <t xml:space="preserve">  1 ) MEM-BRA-0008 DWG No:JR-25-10-108-006-304_R1 (BRASS)</t>
  </si>
  <si>
    <t>PO69-844</t>
  </si>
  <si>
    <t>JR-26-05-057/PR69-535/LERTVILAI</t>
  </si>
  <si>
    <t xml:space="preserve">  1 ) ELS-CON-0158 I/O CONTACTOR XS2F-D422-G80-F (OMRON)</t>
  </si>
  <si>
    <t>PO69-815</t>
  </si>
  <si>
    <t>JR-26-05-057/PR69-526/LERTVILAI</t>
  </si>
  <si>
    <t xml:space="preserve">  1 ) MES-LIN-0171 LINEAR BUSHING LMF30M (MISUMI)</t>
  </si>
  <si>
    <t>PO69-816</t>
  </si>
  <si>
    <t>PO69-887</t>
  </si>
  <si>
    <t xml:space="preserve">  3 ) SUP-GAS-0004 GAS ARGON อาร์กอน 6.0 คิว</t>
  </si>
  <si>
    <t>JR-26-05-057/PR69-537/LERTVILAI</t>
  </si>
  <si>
    <t xml:space="preserve">  1 ) MES-SOL-0094 SOLENOID VALVE CHG-V2-25-0C2-DC24V (CKD)</t>
  </si>
  <si>
    <t>PO69-818</t>
  </si>
  <si>
    <t xml:space="preserve">  2 ) MES-SIL-0027 SILENCER SL-25A (CKD)</t>
  </si>
  <si>
    <t xml:space="preserve">  3 ) MES-VAL-0035 CHECK VALVE CHV2-25 (CKD)</t>
  </si>
  <si>
    <t xml:space="preserve">  3 ) MES-PLU-0001 PLUG PT1/4-PTC16 (SMC)</t>
  </si>
  <si>
    <t xml:space="preserve">  4 ) MES-FIT-0004 FITTING KQ2H08-01AS (SMC)</t>
  </si>
  <si>
    <t xml:space="preserve">  6 ) MES-FIT-0048 FITTING KQ2L10-02AS (SMC)</t>
  </si>
  <si>
    <t xml:space="preserve">  7 ) MES-MAN-0011 MANIFOLD BASE SS5Y7-20-04 (SMC)</t>
  </si>
  <si>
    <t xml:space="preserve"> 10 ) MES-FIT-0002 FITTING KQ2H08-10A (SMC)</t>
  </si>
  <si>
    <t xml:space="preserve"> 11 ) MES-FIT-0075 FITTING KQ2H10-02AS (SMC)</t>
  </si>
  <si>
    <t xml:space="preserve"> 12 ) MES-FIT-0076 FITTING KQ2H10-04AS (SMC)</t>
  </si>
  <si>
    <t xml:space="preserve"> 13 ) MES-PLU-0002 PLUG PT 1/8-PTC16 (SMC)</t>
  </si>
  <si>
    <t xml:space="preserve"> 15 ) MES-SIL-0007 SILENCER AN20-02 (SMC)</t>
  </si>
  <si>
    <t xml:space="preserve"> 16 ) MES-CON-0099 CONNECTOR ASSY SY7000-26-22A (SMC)</t>
  </si>
  <si>
    <t xml:space="preserve"> 17 ) MES-MAN-0011 MANIFOLD BASE SS5Y7-20-04  (SMC)</t>
  </si>
  <si>
    <t xml:space="preserve"> 18 ) MES-DIR-0028 DIRECTIONAL CONTROL VALVE SY7220-5DZ-02 (SMC)</t>
  </si>
  <si>
    <t xml:space="preserve"> 20 ) MES-SIL-0007 SILENCER AN20-02 (SMC)</t>
  </si>
  <si>
    <t xml:space="preserve"> 21 ) MES-FIT-0006 FITTING KQ2H08-02AS (SMC)</t>
  </si>
  <si>
    <t xml:space="preserve"> 22 ) MES-FIT-0073 FITTING KQ2T08-00A (SMC)</t>
  </si>
  <si>
    <t xml:space="preserve"> 23 ) MES-FIT-0229 FITTING KQ2U08-00A (SMC)</t>
  </si>
  <si>
    <t xml:space="preserve"> 24 ) MES-FIT-0194 FITTING KQ2T06-08A (SMC)</t>
  </si>
  <si>
    <t xml:space="preserve"> 25 ) MES-PRE-0032 PRESSURE REGULATOR AC30-03DG-V-D (SMC)</t>
  </si>
  <si>
    <t xml:space="preserve"> 26 ) MES-SPA-0011 SPACER Y300-D (SMC)</t>
  </si>
  <si>
    <t xml:space="preserve"> 27 ) MES-PRE-0033 PRESSURE SWITCH IS10M-30-16L-D (SMC)</t>
  </si>
  <si>
    <t xml:space="preserve"> 28 ) MES-FLO-0024 FLOW CONTROL VALVE AS2201F-01-06SA (SMC)</t>
  </si>
  <si>
    <t xml:space="preserve"> 30 ) MES-FLO-0016 FLOW CONTROL VALVE AS1201F-M5-06A (SMC)</t>
  </si>
  <si>
    <t xml:space="preserve"> 31 ) MES-PLU-0001 PLUG PT1/4-PTC16 (SMC)</t>
  </si>
  <si>
    <t xml:space="preserve"> 32 ) MES-AIR-0282 AIR CYLINDER MGPM32-75Z-M9BL (SMC)</t>
  </si>
  <si>
    <t xml:space="preserve"> 33 ) MES-FLO-0036 FLOW CONTROL VALVE AS2201F-02-10SA (SMC)</t>
  </si>
  <si>
    <t xml:space="preserve"> 35 ) MES-AIR-0225 AIR CYLINDER MGPM63-100Z-M9BL (SMC)</t>
  </si>
  <si>
    <t xml:space="preserve">  1 ) ELS-WIR-0141 WIRE WAY (รางวายเวย์) Size W100xH100xL2440 mm.</t>
  </si>
  <si>
    <t>PO69-826</t>
  </si>
  <si>
    <t xml:space="preserve">  2 ) ELS-WIR-0123 ข้องอเปิดในวายเวย์ W100xH100 mm.</t>
  </si>
  <si>
    <t xml:space="preserve">  3 ) ELS-WIR-0124 ข้องอเปิดนอกวายเวย์ W100xH100 mm.</t>
  </si>
  <si>
    <t xml:space="preserve">  4 ) ELS-WIR-0129 สามทางวายเวย์ 90องศา W100xH100 mm.</t>
  </si>
  <si>
    <t xml:space="preserve">  5 ) ELS-WIR-0130 ข้องอเปิดบนวายเวย์ 90องศา W100xH100 mm.</t>
  </si>
  <si>
    <t xml:space="preserve">  6 ) ELS-WIR-0128 แผ่นปิดหัว-ท้าย W100xH100 mm.</t>
  </si>
  <si>
    <t xml:space="preserve">  7 ) ELS-WIR-0126 ข้อต่อตรง W100xH100 mm.</t>
  </si>
  <si>
    <t xml:space="preserve">  8 ) ELS-WIR-0142 Flang End (ข้อต่อลงตู้วายเวย์) Size 100 mm.</t>
  </si>
  <si>
    <t>JR-26-04-042/PR69-566/NS BLUESCOPE</t>
  </si>
  <si>
    <t xml:space="preserve">  1 ) MES-WAS-0023 PLAIN WASHER แหวนอีแปะ (ชุบขาว) M8</t>
  </si>
  <si>
    <t>PO69-857</t>
  </si>
  <si>
    <t xml:space="preserve">  2 ) MES-WAS-0022 SPRING WASHER แหวนสปริง (ชุบขาว) M8</t>
  </si>
  <si>
    <t xml:space="preserve">  6 ) MES-SCR-0064 SCREW สกรูหัวจม (ชุบขาว) M8x20</t>
  </si>
  <si>
    <t xml:space="preserve">  7 ) MES-SCR-0128 SCREW (สกรูหัวจม) ชุบขาว M8x15</t>
  </si>
  <si>
    <t xml:space="preserve"> 13 ) MES-WAS-0045 SPRING WASHER แหวนสปริง (ชุบขาว) M12</t>
  </si>
  <si>
    <t xml:space="preserve"> 15 ) MES-WAS-0047 PLAIN WASHER แหวนอีแปะ (ชุบขาว) M24</t>
  </si>
  <si>
    <t xml:space="preserve"> 16 ) MES-WAS-0048 SPRING WASHER แหวนสปริง (ชุบขาว) M24</t>
  </si>
  <si>
    <t>JR-23-11-106/PR69-595/KING PAC</t>
  </si>
  <si>
    <t xml:space="preserve">  1 ) MES-PRE-0051 PRESSURE REGULATOR AW40-04E1-2 (SMC)</t>
  </si>
  <si>
    <t>PO69-890</t>
  </si>
  <si>
    <t xml:space="preserve">  1 ) MES-VAL-0036 CHECK VALVE AKB03A-03S (SMC)</t>
  </si>
  <si>
    <t>PO69-872</t>
  </si>
  <si>
    <t>JR-STORE/PR69-580/Asset</t>
  </si>
  <si>
    <t>ยูโรป้า ฮาร์ดแวร์ กรุ๊ป จำกัด</t>
  </si>
  <si>
    <t xml:space="preserve">  1 ) 14-1008- KENDO 90702 (01.68) ชุดเครื่องมือช่าง 124 ชิ้น</t>
  </si>
  <si>
    <t>ชุด</t>
  </si>
  <si>
    <t>PO69-866</t>
  </si>
  <si>
    <t>JR-26-07-078/ADVANCE/SSL</t>
  </si>
  <si>
    <t>CASH -SHOPEE</t>
  </si>
  <si>
    <t xml:space="preserve">  1 ) ELS-LIG-0020 INDIE LIGHT LED 350MM-24V-36V-10W</t>
  </si>
  <si>
    <t>PO69-931</t>
  </si>
  <si>
    <t>JR-24-04-018/PR69-452/EQ (Pick &amp; Place)</t>
  </si>
  <si>
    <t>ทีเอ็นกรุ๊ป คอร์ปอเรชั่น จำกัด (มหาชน)</t>
  </si>
  <si>
    <t xml:space="preserve">  1 ) ELS-INV-0017 INVERTER TAUAB-ACS180-04S-04A0-4 (ABB) 1.5kW</t>
  </si>
  <si>
    <t>PO69-920</t>
  </si>
  <si>
    <t xml:space="preserve">  2 ) ELS-INV-0014 INVERTER TAUAB-ACS180-04S-02A6-4 (ABB) 0.75kW</t>
  </si>
  <si>
    <t xml:space="preserve">  2 ) ELS-END-0004 END PLATE TERMINAL BNE30W (IDEC)</t>
  </si>
  <si>
    <t>PO69-905</t>
  </si>
  <si>
    <t>ภากรธนสาร จำกัด</t>
  </si>
  <si>
    <t xml:space="preserve">  1 ) MEP-SSS-0008 STEEL SS400 (เหล็กแผ่น) T2mmx4'x8'</t>
  </si>
  <si>
    <t>PO69-924</t>
  </si>
  <si>
    <t xml:space="preserve">  2 ) MEP-SSS-0011 STEEL SS400 (เหล็กแผ่น) T6mmx4'x8'</t>
  </si>
  <si>
    <t xml:space="preserve">  3 ) MEP-SSS-0056 STEEL SS400 (เหล็กแผ่น) T15mmx4'x8'</t>
  </si>
  <si>
    <t xml:space="preserve">ที.เอ็ม.ที.พรีซิชั่น เวิร์ค จำกัด </t>
  </si>
  <si>
    <t xml:space="preserve">  1 ) MEM-SSS-0134 DWG No : JR-26-04-042-040-021-A (SS400)</t>
  </si>
  <si>
    <t>PO69-938</t>
  </si>
  <si>
    <t>JR-26-07-078/PR69-609/SSL</t>
  </si>
  <si>
    <t xml:space="preserve">  1 ) MES-AIR-0287 AIR CYLINDER MGPM20-50Z (SMC)</t>
  </si>
  <si>
    <t>PO69-922</t>
  </si>
  <si>
    <t xml:space="preserve">อัสคา อิเล็คโทรนิคส์ จำกัด </t>
  </si>
  <si>
    <t xml:space="preserve">  1 ) SUP-WAT-0001 น้ำกลั่นบริสุทธิ์ 20 ลิตร</t>
  </si>
  <si>
    <t>ถัง</t>
  </si>
  <si>
    <t>PO69-908</t>
  </si>
  <si>
    <t>ฮันชิน เนจิ (ประเทศไทย) จำกัด</t>
  </si>
  <si>
    <t xml:space="preserve">  1 ) MES-PAR-0129 PARALLEL KEY BOTH ROUND S45C 6x6x150</t>
  </si>
  <si>
    <t>PO69-921</t>
  </si>
  <si>
    <t xml:space="preserve">  2 ) MES-PAR-0130 PARALLEL KEY BOTH ROUND S45C 4x4x13 (MOQ=5)</t>
  </si>
  <si>
    <t xml:space="preserve">  3 ) MES-PAR-0131 PARALLEL KEY BOTH ROUND S45C 8x7x88</t>
  </si>
  <si>
    <t xml:space="preserve">  9 ) MES-FIT-0141 FITTING KQ2U10-12A (SMC)</t>
  </si>
  <si>
    <t xml:space="preserve"> 14 ) MES-VAC-0053 VACUUM EJECTOR ZL3H06-K15LZ-EBMG (SMC)</t>
  </si>
  <si>
    <t xml:space="preserve">  1 ) MEP-SSS-0057 STEEL SS400 (เหล็ก-Finishing plate) 150x75xT50mm.</t>
  </si>
  <si>
    <t>PO69-926</t>
  </si>
  <si>
    <t xml:space="preserve">  2 ) MEP-SSS-0058 STEEL SS400 (เหล็ก-Finishing plate) 350x220xT18mm.</t>
  </si>
  <si>
    <t xml:space="preserve">  3 ) MEP-SSS-0059 STEEL SS400 (เหล็ก-Finishing plate) 350x40xT25mm.</t>
  </si>
  <si>
    <t xml:space="preserve">  4 ) MEP-SSS-0060 STEEL SS400 (เหล็ก-Finishing plate) 62x45xT30mm.</t>
  </si>
  <si>
    <t xml:space="preserve">  5 ) MEP-SSS-0061 STEEL SS400 (เหล็ก-Finishing plate) 350x25xT25mm.</t>
  </si>
  <si>
    <t xml:space="preserve">  6 ) MEP-SSS-0062 STEEL SS400 (เหล็ก-Finishing plate) 350x305xT20mm.</t>
  </si>
  <si>
    <t xml:space="preserve">  7 ) MEP-SSS-0063 STEEL SS400 (เหล็ก-Finishing plate) 70x45xT15mm.</t>
  </si>
  <si>
    <t xml:space="preserve">  8 ) MEP-SSS-0065 STEEL SS400 (เหล็ก-Finishing plate) 350x50xT40mm.</t>
  </si>
  <si>
    <t xml:space="preserve">  9 ) MEP-SSS-0066 STEEL SS400 (เหล็ก-Finishing plate) 55x50xT20mm.</t>
  </si>
  <si>
    <t xml:space="preserve"> 10 ) MEP-SSS-0067 STEEL SS400 (เหล็ก-Finishing plate) 460x400xT50mm.</t>
  </si>
  <si>
    <t>SUP-GAS-0005</t>
  </si>
  <si>
    <t xml:space="preserve">  1 ) GAS NITROGEN ไนโตรเจน 6.0 คิว</t>
  </si>
  <si>
    <t>PO69-957</t>
  </si>
  <si>
    <t xml:space="preserve">SUP-GAS-0002 </t>
  </si>
  <si>
    <t xml:space="preserve">  2 ) GAS OXYGEN (O2) ออกซิเจน 6.0 คิว</t>
  </si>
  <si>
    <t xml:space="preserve">SUP-GAS-0004 </t>
  </si>
  <si>
    <t xml:space="preserve">  3 ) GAS ARGON อาร์กอน 6.0 คิว</t>
  </si>
  <si>
    <t xml:space="preserve">สยาม เอส.ซี. สตีล เพลท จำกัด </t>
  </si>
  <si>
    <t xml:space="preserve">  1 ) MEM-SSS-0133 DWG No : JR-26-04-042-040-019-A (S45C+Black Oxide)</t>
  </si>
  <si>
    <t>PO69-927</t>
  </si>
  <si>
    <t xml:space="preserve">  5 ) MES-SCR-0043 SCREW CONBERSION JOINTS APMFSL-T1-T1-L26 (MISUMI)</t>
  </si>
  <si>
    <t xml:space="preserve"> 11 ) MES-TIM-0019 TIMING PULLYE TTPM40T10300-A-N30 (MISUMI)</t>
  </si>
  <si>
    <t>JR-26-05-057/LERTVILAI</t>
  </si>
  <si>
    <t>PR69-597</t>
  </si>
  <si>
    <t xml:space="preserve">ELS-STO-0001 </t>
  </si>
  <si>
    <t>STOPPER BNL5 (IDEC)</t>
  </si>
  <si>
    <t>Pcs.</t>
  </si>
  <si>
    <t>JR-25-12-137/RICOH</t>
  </si>
  <si>
    <t>ฮาร์ดแวร์เฮาส์ คอร์ปอเรชั่น จำกัด (สาขาศรีราชา)</t>
  </si>
  <si>
    <t xml:space="preserve">  1 ) ELS-BLO-0015 BLOCK บล็อกยาง 2 ที่1สว 3*1.0 5m S265 SOKAWA</t>
  </si>
  <si>
    <t>PO69-803</t>
  </si>
  <si>
    <t xml:space="preserve">  1 ) SUP-SAF-0009 กรวยมินิ 52cm+ช่องร้อยท่อ 710652 SF</t>
  </si>
  <si>
    <t>PO69-804</t>
  </si>
  <si>
    <t xml:space="preserve">  2 ) SUP-SAF-0010 ถุงคลุมรองเท้า CPE สีฟ้า (50 คู่)</t>
  </si>
  <si>
    <t xml:space="preserve">  3 ) SUP-TAP-0021 TAPE เทปตีเส้น/กันเขต ขาว/แดง 70mm*100m PILOT</t>
  </si>
  <si>
    <t xml:space="preserve">  1 ) ELS-POW-0024 POWER SUPPLY S8VK-G24024 OMRON</t>
  </si>
  <si>
    <t>PO69-752</t>
  </si>
  <si>
    <t>ธีรกิจ อิเล็คทริค โซลูชั่น จำกัด</t>
  </si>
  <si>
    <t xml:space="preserve">  1 ) ELS-INV-0022 INVERTER FR-D840-0.75K-22 (MITSUBISHI)</t>
  </si>
  <si>
    <t>PO69-754</t>
  </si>
  <si>
    <t xml:space="preserve">  2 ) ELS-CON-0157 CONTACTOR  S-T12 220V (MITSUBISHI)</t>
  </si>
  <si>
    <t xml:space="preserve">  3 ) ELS-POW-0018 POWER SUPPLY Q61P MITSUBISHI</t>
  </si>
  <si>
    <t xml:space="preserve">  4 ) ELS-PLC-0036 PLC Q35B MITSUBISHI</t>
  </si>
  <si>
    <t xml:space="preserve">  5 ) ELS-PLC-0003 PLC MITSUBISHI Q03UDVCPU</t>
  </si>
  <si>
    <t xml:space="preserve">  6 ) ELS-PLC-0001 PLC MITSUBISHI IO QH42P</t>
  </si>
  <si>
    <t xml:space="preserve">  7 ) ELS-INP-0001 INPUT DC QX40 MITSUBISHI</t>
  </si>
  <si>
    <t xml:space="preserve">  8 ) ELS-OUT-0003 OUTPUT TRANSISTOR QY40P (MITSUBISHI)</t>
  </si>
  <si>
    <t xml:space="preserve">  9 ) ELS-PLC-0039 PLC QJ61BT11N MITSUBISHI</t>
  </si>
  <si>
    <t xml:space="preserve"> 10 ) ELS-CON-0144 CONNECTOR CABLE A6TBXY36 (MISUBISHI)</t>
  </si>
  <si>
    <t>JR-26-04-042/PR69-496/NS BLUESCOPE</t>
  </si>
  <si>
    <t>พีเอชเอ ออโตเมชั่น จำกัด</t>
  </si>
  <si>
    <t xml:space="preserve">  1 ) ELS-PIL-0032 PILOT LAMP AH164-ZTGE3 (FUJI)</t>
  </si>
  <si>
    <t>PO69-766</t>
  </si>
  <si>
    <t xml:space="preserve">  2 ) ELS-PIL-0033 PILOT LAMP AH164-ZTYE3 (FUJI)</t>
  </si>
  <si>
    <t xml:space="preserve">  3 ) ELS-PIL-0034 PILOT LAMP AH164-ZTRE3 (FUJI)</t>
  </si>
  <si>
    <t>JR-26-04-045/PR69-365/MODIFY (SVS 1)</t>
  </si>
  <si>
    <t xml:space="preserve">CASH </t>
  </si>
  <si>
    <t xml:space="preserve">  1 ) ELS-CAB-0310 CABLE CB-RCA-SIO050+USB adapter RCB-CV-USB (SET)</t>
  </si>
  <si>
    <t>PO69-795</t>
  </si>
  <si>
    <t xml:space="preserve">  1 ) ELS-CON-0159 CONTROL CONSOLE ACCESSORIES EBA-20-5E SHINOHARA</t>
  </si>
  <si>
    <t>PO69-827</t>
  </si>
  <si>
    <t xml:space="preserve">  1 ) ELS-TER-0036 TERMINAL BOX BOXTM-2001 (TOYOGIKEN)</t>
  </si>
  <si>
    <t xml:space="preserve">  1 ) SUP-CUT-0001 ใบตัดเหล็กและสแตนเลส 4^X1MM.สีดํา-ทอง ^SUMO^</t>
  </si>
  <si>
    <t>PO69-832</t>
  </si>
  <si>
    <t>JR-25-12-140/PR69-557/T.C.UNION</t>
  </si>
  <si>
    <t xml:space="preserve">  1 ) MES-HIN-0036 HINGE ECONOMY C-HHSN100A MISUMI</t>
  </si>
  <si>
    <t>PO69-842</t>
  </si>
  <si>
    <t>JR-26-07-075/PR69-558/SYNGENTA</t>
  </si>
  <si>
    <t xml:space="preserve">  1 ) MES-SCR-0224 SCREW THREAD MTSFR40 (MISUMI)</t>
  </si>
  <si>
    <t>PO69-843</t>
  </si>
  <si>
    <t>PO69-859</t>
  </si>
  <si>
    <t>JR-25-12-140&amp;JR-OFFICE/T.C.UNION&amp;OFFICE</t>
  </si>
  <si>
    <t>ฮาร์ดแวร์เฮาส์ จำกัด (สาขาเทพารักษ์)</t>
  </si>
  <si>
    <t xml:space="preserve">  1 ) SUF-OFF-0002 หลอดไฟ LED Buld 11W DL SHINING (PK6)</t>
  </si>
  <si>
    <t>PO69-860</t>
  </si>
  <si>
    <t xml:space="preserve">  2 ) MES-TUB-0024 TUBE สายลมเดี่ยว 3/4^x20m (19mm) TOYOX</t>
  </si>
  <si>
    <t xml:space="preserve">  3 ) MES-TAP-0004 TAPE (เทปันเกลียว หนาเหนี่ยว) เกรด A SHOWA</t>
  </si>
  <si>
    <t xml:space="preserve">  4 ) MES-FIT-0245 ข้อต่อเกลียวนอก 1/2^ เสียบสาย 3/4^ TOYOX</t>
  </si>
  <si>
    <t xml:space="preserve">  5 ) MES-SCR-0238 SCREW สกรูหัวจมเตเปอร์ (ดำ) M12x25</t>
  </si>
  <si>
    <t xml:space="preserve">  6 ) MES-CLP-0002 เข็มขัดรัดสายยาง (สแตนเลส) 22–30mm(1A) ORBIT</t>
  </si>
  <si>
    <t xml:space="preserve">  7 ) MES-FIT-0246 FITTING ข้องอเหล็ก 90 1/2^</t>
  </si>
  <si>
    <t xml:space="preserve">  8 ) MES-FIT-0247 FITTING ข้อตอเหล็ก 1/2^</t>
  </si>
  <si>
    <t xml:space="preserve">  9 ) MES-FIT-0248 FITTING ข้องอเกลียวนอก 12/04</t>
  </si>
  <si>
    <t xml:space="preserve"> 10 ) MES-TEE-0004 STEEL TEE (สามทางเหล็ก) 1/2^</t>
  </si>
  <si>
    <t xml:space="preserve"> 11 ) MES-NIP-0004 STEEL HEX NIPPLE (นิปเปิ้ลเหล็ก) 1/2^</t>
  </si>
  <si>
    <t>JR-25-12-140/PR69-571/T.CUNION</t>
  </si>
  <si>
    <t xml:space="preserve">  1 ) MEP-PIP-0002 ท่อเหล็กอาบสังกะสี CLASS-M (คาดน้ำเงิน) ขนาด 1/2^</t>
  </si>
  <si>
    <t>PO69-855</t>
  </si>
  <si>
    <t>JR-25-12-137/PR69-550/RICOH</t>
  </si>
  <si>
    <t>โซดา วิชั่น (ประเทศไทย) จำกัด</t>
  </si>
  <si>
    <t xml:space="preserve">  1 ) ELS-CAM-0017 CAMERA 5MP,acA2500-60um (DEMO SN: 21912231)</t>
  </si>
  <si>
    <t>PO69-837</t>
  </si>
  <si>
    <t xml:space="preserve">  2 ) ELS-HAN-0001 OPERATION HANDLE BREAKERS F-05SV LF DR MITSUBISHI</t>
  </si>
  <si>
    <t>JR-26-04-042/PR69-511/NS BLUESCOPE</t>
  </si>
  <si>
    <t xml:space="preserve">  2 ) MES-PRE-0050 PRECISION LINEAR SHAFT E-PSFJW20-285-M10-N10</t>
  </si>
  <si>
    <t>PO69-790</t>
  </si>
  <si>
    <t>ทูเดย์ ไอที แอนด์ คอมพิวเตอร์ จำกัด</t>
  </si>
  <si>
    <t xml:space="preserve">  1 ) SUF-STA-0453 เมาส์ไร้สาย LOGITECH M331 SILENT PLUS (สีเทา)</t>
  </si>
  <si>
    <t>PO69-903</t>
  </si>
  <si>
    <t xml:space="preserve">  1 ) MEP-SSS-0053 STEEL SS400 (เหล็กรางน้ำ) 75X40X5X7MM.X6M.</t>
  </si>
  <si>
    <t>PO69-923</t>
  </si>
  <si>
    <t>JR-23-11-106/KING PAC</t>
  </si>
  <si>
    <t>MES-FIT-0231</t>
  </si>
  <si>
    <t>FITTING 12/04 (ข้อต่อเกลียวนอก)</t>
  </si>
  <si>
    <t>PO69-951</t>
  </si>
  <si>
    <t>MES-TUB-0023</t>
  </si>
  <si>
    <t>TUBE สายลมโพลียูรีเทน 8x12 mm สีดำ For warranty</t>
  </si>
  <si>
    <t>MES-FIT-0208</t>
  </si>
  <si>
    <t>FITTING 12/02 (ข้อต่อเกลียวนอก)</t>
  </si>
  <si>
    <t>PO69-952</t>
  </si>
  <si>
    <t>MES-SCR-0250</t>
  </si>
  <si>
    <t>SCREW (สกรูหัวจม) SUS 3x30-0.5 For warranty</t>
  </si>
  <si>
    <t>JR-25-12-140/T.C.UNION</t>
  </si>
  <si>
    <t>PR69-616</t>
  </si>
  <si>
    <t>SVP-WAG-0001</t>
  </si>
  <si>
    <t>ค่าจ้างทำสี Painting : Chugoku CS672 Green</t>
  </si>
  <si>
    <t>PO69-939</t>
  </si>
  <si>
    <t>SUP-PAN-0068</t>
  </si>
  <si>
    <t>Chugoku CS672 Green (สีชูโกกุ)</t>
  </si>
  <si>
    <t>JR-24-04-018/EQ (Pick &amp; Place)</t>
  </si>
  <si>
    <t>PR69-620</t>
  </si>
  <si>
    <t>MES-AIR-0288</t>
  </si>
  <si>
    <t>AIR CYLINDER CDG1UA63-50Z-NW-M9BL (SMC) *For warranty</t>
  </si>
  <si>
    <t>PO69-944</t>
  </si>
  <si>
    <t>JR-26-04-042/PR69-600/NS BLUESCOPE</t>
  </si>
  <si>
    <t xml:space="preserve">  1 ) ELS-SAF-0076 SAFETY RELAYS RLY3-OSSD100 # 1085343 (SICK)</t>
  </si>
  <si>
    <t>PO69-917</t>
  </si>
  <si>
    <t xml:space="preserve">  2 ) ELS-SAF-0077 SAFETY CONTROLLERS FX3-XTI084002 #1044125 (SICK)</t>
  </si>
  <si>
    <t xml:space="preserve">JR-26-05-057/LERTVILAI (MCP)    </t>
  </si>
  <si>
    <t>PR69-628</t>
  </si>
  <si>
    <t>MES-CLA-0014</t>
  </si>
  <si>
    <t xml:space="preserve">STAINLESS STEEL HOSE CLAMP ORBIT 25–35mm.        </t>
  </si>
  <si>
    <t>PO69-959</t>
  </si>
  <si>
    <t>MES-BOL-0034</t>
  </si>
  <si>
    <t xml:space="preserve">STAINLESS STEEL U-BOLT 1"        </t>
  </si>
  <si>
    <t xml:space="preserve">STAINLESS STEEL U-BOLT 2"    </t>
  </si>
  <si>
    <t xml:space="preserve">  1 ) ELS-WIR-0014 WIRE DUCT WD-6060-8 (BANDEX)</t>
  </si>
  <si>
    <t>PO69-756</t>
  </si>
  <si>
    <t xml:space="preserve">  2 ) ELS-STO-0001 STOPPER BNL5 (IDEC)</t>
  </si>
  <si>
    <t xml:space="preserve">  3 ) ELS-TER-0001 TERMINAL BNDH15W (IDEC)</t>
  </si>
  <si>
    <t xml:space="preserve">  4 ) ELS-TER-0044 TERMINAL BNDE15W (IDEC)</t>
  </si>
  <si>
    <t xml:space="preserve">  5 ) ELS-TER-0004 TERMINAL BNH30W (IDEC)</t>
  </si>
  <si>
    <t xml:space="preserve">  6 ) ELS-END-0004 END PLATE TERMINAL BNE30W (IDEC)</t>
  </si>
  <si>
    <t xml:space="preserve">  7 ) ELS-TER-0015 TERMINAL COVER BNC230 (IDEC)</t>
  </si>
  <si>
    <t xml:space="preserve">  8 ) ELS-DIN-0002 DIN RAIL BAA1000 (IDEC)</t>
  </si>
  <si>
    <t xml:space="preserve">  9 ) ELS-TER-0058 TERMINAL BLOCK Jumper BNJ26FWB (IDEC)</t>
  </si>
  <si>
    <t xml:space="preserve"> 10 ) ELS-PIL-0008 PILOT LAMP YW1P-1UQM3 PW (IDEC)</t>
  </si>
  <si>
    <t xml:space="preserve"> 11 ) ELS-SEL-0001 SELECTOR SWITCHES 22mm. ASW211 (IDEC)</t>
  </si>
  <si>
    <t xml:space="preserve"> 12 ) ELS-SWI-0009 SWITCH  YW1B-V4E12 R (IDEC)</t>
  </si>
  <si>
    <t xml:space="preserve"> 13 ) ELS-FLE-0012 CONNECTOR ท่ออ่อนกันน้ำ-TIGER 3/4^</t>
  </si>
  <si>
    <t xml:space="preserve"> 14 ) ELS-FLE-0011 CONNECTOR ท่ออ่อนกันน้ำ-TIGER 1/2^</t>
  </si>
  <si>
    <t xml:space="preserve"> 15 ) ELS-FLE-0067 ท่ออ่อนกันน้ำ-สีดำ.TEEFLEX 3/4^ (1/50)</t>
  </si>
  <si>
    <t xml:space="preserve"> 16 ) ELS-FLE-0023 ท่ออ่อนกันน้ำ-สีดำ.TEEFLEX 1/2^ (1/50)</t>
  </si>
  <si>
    <t xml:space="preserve"> 17 ) ELS-TOW-0003 TOWER LIGHT LR6-202LJBW-RG PATLITE</t>
  </si>
  <si>
    <t xml:space="preserve">  1 ) ELS-WIR-0025 WIRE DUCT WD-4060-8  (BANDEX)</t>
  </si>
  <si>
    <t>PO69-755</t>
  </si>
  <si>
    <t xml:space="preserve">  2 ) ELS-PLU-0010 PLUG WEG 15829 (PANASONIC)</t>
  </si>
  <si>
    <t>ตัว</t>
  </si>
  <si>
    <t xml:space="preserve">  3 ) ELS-COV-0008 COVER PLATE WEG 6803WK ฝา 3 ช่อง (PANASONIC)</t>
  </si>
  <si>
    <t xml:space="preserve">  4 ) ELS-PLU-0013 บล๊อกลอย(N) 2x4^ 403-1 NANO ขอบเหลี่ยม</t>
  </si>
  <si>
    <t xml:space="preserve">  5 ) ELS-PUS-0023 PUSH BUTTON LAMP+SHROUD YW1L-MF2E11Q4 24V G(IDEC)</t>
  </si>
  <si>
    <t xml:space="preserve">  6 ) ELS-PUS-0024 PUSH BUTTON LAMP+SHROUD YW1L-MF2E11Q4 24V Y(IDEC)</t>
  </si>
  <si>
    <t xml:space="preserve">  7 ) ELS-PUS-0025 PUSH BUTTON LAMP+SHROUD YW1L-MF2E11Q4 24V R(IDEC)</t>
  </si>
  <si>
    <t xml:space="preserve">  8 ) ELS-LAN-0013 LAN Connector RJ45 LINK CAT6 Shield US-1004A</t>
  </si>
  <si>
    <t xml:space="preserve">  9 ) ELS-PLU-0009 ปลอกหุ้มแจ๊ค RJ45 CAT5E US-6004 BLUE (LINK)</t>
  </si>
  <si>
    <t xml:space="preserve"> 10 ) ELS-CAB-0074 CABLE GLAND สีดำ PG-16 (DAKO)</t>
  </si>
  <si>
    <t xml:space="preserve"> 11 ) ELS-CAB-0072 CABLE GLAND สีดำ PG-13.5 (DAKO)</t>
  </si>
  <si>
    <t xml:space="preserve">  1 ) ELS-NOI-0002 NOISE FILTER TDK RSHN-2010 10A (TDK)</t>
  </si>
  <si>
    <t>PO69-765</t>
  </si>
  <si>
    <t xml:space="preserve">  2 ) ELS-EME-0011 EMERGEMCY STOP NAME PLATE HWAV-27-Y (22MM)(IDEC)</t>
  </si>
  <si>
    <t xml:space="preserve">  1 ) ELS-BUS-0001 BUS BAR INSULATOR ลูกถ้วยบัสบาร์ SM-25(DAKO)</t>
  </si>
  <si>
    <t>PO69-829</t>
  </si>
  <si>
    <t xml:space="preserve">  2 ) ELS-SAF-0001 SAFETY PLUG SPT-11 (DAIWA)</t>
  </si>
  <si>
    <t xml:space="preserve">  3 ) ELS-BLO-0011 BLOCK KGN 111Y 30mm. (IDEC)</t>
  </si>
  <si>
    <t xml:space="preserve">  4 ) ELS-BLO-0002 BLOCK KGNW212Y 22mm. (IDEC)</t>
  </si>
  <si>
    <t xml:space="preserve">  5 ) ELS-SWI-0009 SWITCH  YW1B-V4E12 R (IDEC)</t>
  </si>
  <si>
    <t xml:space="preserve">  6 ) ELS-PUS-0023 PUSH BUTTON LAMP+SHROUD YW1L-MF2E11Q4 24V G (IDEC)</t>
  </si>
  <si>
    <t xml:space="preserve">  7 ) ELS-EME-0005 EMERGEMCY STOP PUSH BUTTON HWAV-27 (IDEC)</t>
  </si>
  <si>
    <t>JR-OFFICE</t>
  </si>
  <si>
    <t xml:space="preserve">  1 ) SUF-STA-0619 รองเท้าเซฟตี้ LFP003 Ranger 44 TRAXION</t>
  </si>
  <si>
    <t>คู่</t>
  </si>
  <si>
    <t>PO69-864</t>
  </si>
  <si>
    <t xml:space="preserve">  1 ) MES-SCR-0102 SCREW สกรูหัวจมกลม (ชุบขาว) M6x12</t>
  </si>
  <si>
    <t>PO69-850</t>
  </si>
  <si>
    <t xml:space="preserve">  2 ) MES-SCR-0230 SCREW (สกรูหัวจมกลม) ชุบขาว M10x20</t>
  </si>
  <si>
    <t xml:space="preserve">  3 ) MES-SCR-0232 SCREW (สกรูหัวจมกลม) ชุบขาว M4x12</t>
  </si>
  <si>
    <t xml:space="preserve">  4 ) MES-SCR-0233 SCREW (สกรูหัวหกเหลี่ยม) SUS M4x25</t>
  </si>
  <si>
    <t xml:space="preserve">  6 ) MES-SCR-0235 SCREW สกรูหัวจมกลม (ชุบขาว) M5x12</t>
  </si>
  <si>
    <t xml:space="preserve">  7 ) MES-SCR-0236 SCREW สกรูหัวจม (ชุบขาว) M24x100</t>
  </si>
  <si>
    <t>JR-24-04-020/PR69-593/TEI (Pick &amp; Place System)</t>
  </si>
  <si>
    <t>เน็ทต้า จำกัด</t>
  </si>
  <si>
    <t xml:space="preserve">  1 ) ELS-CAB-0315 CABLE TRAY BRIDGE TYPE TEZ45.50.100 (BH01-003-002)</t>
  </si>
  <si>
    <t>PO69-879</t>
  </si>
  <si>
    <t xml:space="preserve">  2 ) ELS-CAB-0316 CABLE TRAY CONNECTOR PLATE TEZ45.50(BH01-003-008)</t>
  </si>
  <si>
    <t xml:space="preserve">  3 ) SVP-DEL-0001 ค่าบริการ-ส่งของ-DELIVERY</t>
  </si>
  <si>
    <t>Lot</t>
  </si>
  <si>
    <t xml:space="preserve">  1 ) SUF-STA-0341 ตลับลูกดรัม Brother DR-1000</t>
  </si>
  <si>
    <t>PO69-902</t>
  </si>
  <si>
    <t xml:space="preserve">  2 ) SUF-STA-0355 ผ้าหมึก EPSON LQ310</t>
  </si>
  <si>
    <t xml:space="preserve">  3 ) SUF-STA-0043 กระดาษต่อเนื่องเคมี 3 ชั้น 9*11 TKS W/G/Y</t>
  </si>
  <si>
    <t>JR-25-10-111/SUMITOMO</t>
  </si>
  <si>
    <t>PR69-623</t>
  </si>
  <si>
    <t>MES-SCR-251</t>
  </si>
  <si>
    <t>SCREW (สกรูหัวหกเหลี่ยม)ดำ M6x75MM เกลียวตลอด</t>
  </si>
  <si>
    <t>PO69-956</t>
  </si>
  <si>
    <t>JR-26-04-042/PR69-516/NS BLUESCOPE</t>
  </si>
  <si>
    <t>อวาเน็ค คอมโพแนนซ์ จำกัด</t>
  </si>
  <si>
    <t xml:space="preserve">  1 ) MES-PLA-0006 PLASTIC END CAP PEI2P-50 PE 2^ Black</t>
  </si>
  <si>
    <t>PO69-836</t>
  </si>
  <si>
    <t>JR-26-07-074/PR69-556/LEISTIEZ</t>
  </si>
  <si>
    <t>เอบีบี โรโบติกส์ (ประเทศไทย) จำกัด</t>
  </si>
  <si>
    <t xml:space="preserve">  1 ) FGD-COM-0001 COMPUTER DSQC1024 3HAC058366-001 (ABB)</t>
  </si>
  <si>
    <t>PO69-841</t>
  </si>
  <si>
    <t>JR-25-12-140/PR69-559/T.C.UNION</t>
  </si>
  <si>
    <t xml:space="preserve">  1 ) MEP-SSS-0052 STEEL SS400 (เหล็กแผ่น) T12mmx4'x8'</t>
  </si>
  <si>
    <t>PO69-845</t>
  </si>
  <si>
    <t xml:space="preserve">  2 ) MEP-SSS-0050 STEEL SS400 (เหล็กกล่อง) 150x75x3.2MMx6M.</t>
  </si>
  <si>
    <t xml:space="preserve">  3 ) MEP-SSS-0051 STEEL SS400 (เหล็กกล่อง) 75x75x3.2MMx6M.</t>
  </si>
  <si>
    <t xml:space="preserve">  1 ) MES-WAS-0043 PLAIN WASHER แหวนอีแปะ (ชุบขาว) M12</t>
  </si>
  <si>
    <t>PO69-847</t>
  </si>
  <si>
    <t xml:space="preserve">  2 ) MES-WAS-0045 SPRING WASHER แหวนสปริง (ชุบขาว) M12</t>
  </si>
  <si>
    <t xml:space="preserve">  3 ) MES-SCR-0225 SCREW (สกรูหัวหกเหลี่ยม) M12x50 ชุบขาว(เกลียวตลอด)</t>
  </si>
  <si>
    <t xml:space="preserve">  4 ) MES-NUT-0079 NUT น็อตตัวเมีย (ชุบขาว) M12</t>
  </si>
  <si>
    <t xml:space="preserve">  5 ) MES-WAS-0022 SPRING WASHER แหวนสปริง (ชุบขาว) M8</t>
  </si>
  <si>
    <t xml:space="preserve">  6 ) MES-SCR-0191 SCREW สกรูหัวหกเหลี่ยม (ชุบขาว) M8x15</t>
  </si>
  <si>
    <t xml:space="preserve">  7 ) MES-WAS-0027 SPRING WASHER แหวนสปริง (ชุบขาว) M5</t>
  </si>
  <si>
    <t xml:space="preserve">  8 ) MES-SCR-0226 SCREW (สกรูหัวหกเหลี่ยม) M5x12 (ชุบขาว)</t>
  </si>
  <si>
    <t xml:space="preserve">  9 ) MES-WAS-0026 PLAIN WASHER แหวนอีแปะ (ชุบขาว) M5</t>
  </si>
  <si>
    <t xml:space="preserve"> 10 ) MES-SCR-0190 SCREW สกรูหัวหกเหลี่ยม (ชุบขาว) M5x15</t>
  </si>
  <si>
    <t xml:space="preserve"> 11 ) MES-NUT-0084 NUT น็อตตัวเมีย (ชุบขาว) M5</t>
  </si>
  <si>
    <t xml:space="preserve"> 12 ) MES-SCR-0227 SCREW (สกรูหัวหกเหลี่ยม) M12x25 ชุบขาว(เกลียวตลอด)</t>
  </si>
  <si>
    <t xml:space="preserve"> 13 ) MES-SCR-0229 SCREW (สกรูหัวหกเหลี่ยม) M10x20 ชุบขาว(เกลียวตลอด)</t>
  </si>
  <si>
    <t>JR-PROJECT,STORE,OFFICE</t>
  </si>
  <si>
    <t>พงษ์เจริญ ฮาร์ดแวร์ ทูล</t>
  </si>
  <si>
    <t xml:space="preserve">  1 ) SUP-END-0108 CARBIDE  6mm 4F (H2-มือสอง)</t>
  </si>
  <si>
    <t>PO69-880</t>
  </si>
  <si>
    <t xml:space="preserve">  2 ) SUP-END-0109 CARBIDE  8mm 4F (H2-มือสอง)</t>
  </si>
  <si>
    <t xml:space="preserve">  3 ) SUP-END-0101 CARBIDE 10mm 4F L75 (H2 มือสอง)</t>
  </si>
  <si>
    <t xml:space="preserve">  4 ) SUP-END-0106 CARBIDE 12mm 4F (H2 มือสอง)</t>
  </si>
  <si>
    <t xml:space="preserve">  5 ) SUP-END-0110 CARBIDE 10mm 4F L100  (H2 มือสอง)</t>
  </si>
  <si>
    <t xml:space="preserve">  6 ) SUP-TOL-0004 MACHINE BASE (ขาตั้งแม่เหล็ก) สีแดง</t>
  </si>
  <si>
    <t xml:space="preserve">  7 ) SUP-LOC-0014 V TECH VT-8436 กาวล็อกเกลียว สีน้ำเงิน 6ML.</t>
  </si>
  <si>
    <t xml:space="preserve">  8 ) SUP-LOC-0015 V TECH VT-87150 กาวล็อกเกลียว สีแดง 50ML.</t>
  </si>
  <si>
    <t xml:space="preserve">  9 ) SUP-COV-0022 กระดาษทรายน้ำ 62A NO.1000 SUMO</t>
  </si>
  <si>
    <t xml:space="preserve"> 10 ) SUP-SHE-0001 แผ่นใยสังเคราะห์ 6*9#400 (80400) สีแดงเข้ม</t>
  </si>
  <si>
    <t xml:space="preserve"> 11 ) MES-STU-0010 STUD (ชุบขาว) M8-1.25x1000</t>
  </si>
  <si>
    <t xml:space="preserve"> 12 ) SUP-KEY-0013 กุญแจคล้องรุ่น SL99 คอสั้น 30MM SOLEX</t>
  </si>
  <si>
    <t xml:space="preserve"> 13 ) SUP-COO-0003 น้ำยาลบรอยเชื่อมสแตนเลส 1000g SUMO (FAST)</t>
  </si>
  <si>
    <t xml:space="preserve"> 14 ) SUP-STA-0207 ตลับเมตร 5 เมตร  STANLEY 30496-180TH</t>
  </si>
  <si>
    <t xml:space="preserve"> 15 ) SUP-WEL-0007 หน้ากากกันแสงเชื่อม แบบสวมหัว YMD-405N</t>
  </si>
  <si>
    <t xml:space="preserve"> 16 ) SUP-SPA-0003 น้ำยาล้างหัวเชื่อมมิค ARCTECH</t>
  </si>
  <si>
    <t xml:space="preserve"> 17 ) MES-NUT-0085 NUT น็อตตัวเมีย (ดำ) M8-1.25 (13*6.5)</t>
  </si>
  <si>
    <t xml:space="preserve"> 18 ) MES-NUT-0086 NUT น็อตตัวเมีย (ดำ) M12-1.75 (19*10)</t>
  </si>
  <si>
    <t xml:space="preserve"> 19 ) SUP-WHE-0014 ลูกขัด PTX ผ้าทราย  4^ #80</t>
  </si>
  <si>
    <t xml:space="preserve">เอพีเจ (เอส) เทรดดิ้ง </t>
  </si>
  <si>
    <t xml:space="preserve">  1 ) SUF-STA-0585 กระดาษเช็ดมือสีน้ำตาล รุ่น วี-โฟลด์ 2ชั้น 250แผ่น</t>
  </si>
  <si>
    <t>ห่อ</t>
  </si>
  <si>
    <t>PO69-899</t>
  </si>
  <si>
    <t>ซินเนอร์จี เอเชีย โซลูชั่น จำกัด</t>
  </si>
  <si>
    <t xml:space="preserve">  1 ) SUP-STA-0021 ถุงมือ PU ไซส์ M GPU08-BK-1SC</t>
  </si>
  <si>
    <t>PO69-901</t>
  </si>
  <si>
    <t xml:space="preserve">  2 ) SUP-STA-0020 ถุงมือ PU ไซส์ L GPU09-BK-1SC</t>
  </si>
  <si>
    <t xml:space="preserve">  1 ) SUP-COO-0001 COOLANT OIL น้ำยาหล่อเย็น ^TRANE^ T909 18L.</t>
  </si>
  <si>
    <t>PO69-898</t>
  </si>
  <si>
    <t>JR-25-12-140/PR69-608/T.C.UNION</t>
  </si>
  <si>
    <t>Keyence(Thailand)CO.,LTD.</t>
  </si>
  <si>
    <t xml:space="preserve">  1 ) ELS-SAF-0078 SAFETY LIGHT GL-VM40LP (KEYENCE)</t>
  </si>
  <si>
    <t>PO69-935</t>
  </si>
  <si>
    <t xml:space="preserve">  2 ) ELS-SAF-0079 SAFETY LIGHT GL-VP10S (KEYENCE)</t>
  </si>
  <si>
    <t xml:space="preserve">  3 ) ELS-SAF-0080 SAFETY LIGHT GL-VB31 (KEYENCE)</t>
  </si>
  <si>
    <t xml:space="preserve">  4 ) ELS-SAF-0081 SAFETY LIGHT GL-VB01 (KEYENCE)</t>
  </si>
  <si>
    <t>JR-STORE/ADVANCE/STOCK</t>
  </si>
  <si>
    <t xml:space="preserve">  1 ) ELS-CAM-0015 CAMERA MV-CU120-10UM ขาวดำ (Hikrobot)</t>
  </si>
  <si>
    <t>PO69-807</t>
  </si>
  <si>
    <t xml:space="preserve">  2 ) ELS-CAM-0016 CAMERA MV-CU120-10UC สี (Hikrobot)</t>
  </si>
  <si>
    <t xml:space="preserve">  3 ) ELS-COM-0015 COMPUTER HIK</t>
  </si>
  <si>
    <t>JR-OFFICE/PR69-525</t>
  </si>
  <si>
    <t xml:space="preserve">นิมเบิล คอปอเรชัน จำกัด </t>
  </si>
  <si>
    <t xml:space="preserve">  1 ) 14-1004- Notebook MSI Cyborg 15 B2RWFKG-058TH(Odyssey Grey)</t>
  </si>
  <si>
    <t>PO69-825</t>
  </si>
  <si>
    <t>JR-OFFICE/PR69-583</t>
  </si>
  <si>
    <t>วิจิตรศิลป์แอร์ ซัพพลาย</t>
  </si>
  <si>
    <t xml:space="preserve">  1 ) 53-1025- ค่าบริการตรวจเช็คระบบเครื่องปรับอากาศ ออฟฟิศชั้น 2</t>
  </si>
  <si>
    <t>PO69-875</t>
  </si>
  <si>
    <t>JR-26-04-042/ADVANCE/NS BLUESCOPE</t>
  </si>
  <si>
    <t>พีซีพี พาร์ท จำกัด</t>
  </si>
  <si>
    <t>ค่าชุบซิงค์ *จ่ายแล้ว*</t>
  </si>
  <si>
    <t>PO69-953</t>
  </si>
  <si>
    <t>JR-26-04-042/NS BLUESCOPE</t>
  </si>
  <si>
    <t>PR69-618</t>
  </si>
  <si>
    <t>ค่าจ้างทำสี Powder Coat / RAL 1023 (Structure Columns)</t>
  </si>
  <si>
    <t>PO69-940</t>
  </si>
  <si>
    <t>ค่าจ้างทำสี Powder Coat / RAL 1023 (Structure For Door)</t>
  </si>
  <si>
    <t>ค่าจ้างทำสี Powder Coat / RAL 1023 (Stopper)</t>
  </si>
  <si>
    <t>ค่าจ้างทำสี Powder Coat / Black RAL 9017 (Structure Fence 1150x1850)</t>
  </si>
  <si>
    <t>ค่าจ้างทำสี Powder Coat / Black RAL 9017 (Structure Fence 1680x2006)</t>
  </si>
  <si>
    <t>ค่าจ้างทำสี Powder Coat / Black RAL 9017 (Structure Fence 250x1850)</t>
  </si>
  <si>
    <t>ค่าจ้างทำสี Powder Coat / Black RAL 9017 (Structure Fence 1630x2006)</t>
  </si>
  <si>
    <t>ค่าจ้างทำสี Powder Coat / Black RAL 9017 (Structure Fence 1450x1850)</t>
  </si>
  <si>
    <t>ค่าจ้างทำสี Powder Coat / Black RAL 9017 (Structure Fence 1780x2006)</t>
  </si>
  <si>
    <t>ค่าจ้างทำสี Powder Coat / Black RAL 9017 (Structure Fence 600x1850)</t>
  </si>
  <si>
    <t>ค่าจ้างทำสี Powder Coat / Black RAL 9017 (Structure Fence 1380x2006)</t>
  </si>
  <si>
    <t>ค่าจ้างทำสี Powder Coat / Black RAL 9017 (Structure Fence 750x1850)</t>
  </si>
  <si>
    <t>JR-24-04-018/PR69-578/EQ (Pick &amp; Place)</t>
  </si>
  <si>
    <t>ปิยะพจน์อีเลคทริค จำกัด</t>
  </si>
  <si>
    <t xml:space="preserve">  1 ) ELS-FAN-0014 FAN FP-108-C-S1B AC220/240V (COMMONWEALTH)</t>
  </si>
  <si>
    <t>PO69-937</t>
  </si>
  <si>
    <t>JR-26-04-045/MODIFY (SVS 1)</t>
  </si>
  <si>
    <t>PR69-615</t>
  </si>
  <si>
    <t>CASH</t>
  </si>
  <si>
    <t>ELS-BAT-0011</t>
  </si>
  <si>
    <t>BATTERY ER17500V (TOSHIBA)</t>
  </si>
  <si>
    <t>PO69-943</t>
  </si>
  <si>
    <t>SVP-DEL-0001</t>
  </si>
  <si>
    <t>ค่าบริการ-ส่งของ-DELIVERY Order online:SHOPEE</t>
  </si>
  <si>
    <t>ELS-BAT-0010</t>
  </si>
  <si>
    <t>BATTERY CR17335SE/3V (FDK) Order online : Shopee</t>
  </si>
  <si>
    <t>PO69-948</t>
  </si>
  <si>
    <t xml:space="preserve">  1 ) ELS-LIG-0019 LIGHT LED 24v-36v 300mm (ไฟแสดงสถานะ)</t>
  </si>
  <si>
    <t>PO69-930</t>
  </si>
  <si>
    <t xml:space="preserve">  1 ) MES-OIL-0036 OIL FREE BUSHINGS E-SHBZ25-50 ECONOMY (MISUMI)</t>
  </si>
  <si>
    <t>PO69-776</t>
  </si>
  <si>
    <t xml:space="preserve">  2 ) MES-NUT-0083 NUT ANN20-1.5 (MISUMI)</t>
  </si>
  <si>
    <t xml:space="preserve">  1 ) MES-PAR-0125 PARALLEL PIN MSH8-25</t>
  </si>
  <si>
    <t xml:space="preserve">  3 ) MES-URE-0011 URETHANE SHEET UTSHN6H15-350-60-F165-G40-Z8-XC10-Y</t>
  </si>
  <si>
    <t xml:space="preserve">  4 ) MES-URE-0012 URETHANE SHEET UTSHN2H15-60-30-F40-G15-Z8-XC10</t>
  </si>
  <si>
    <t xml:space="preserve">  5 ) MES-CAB-0054 CABLE ACCESORRY: N2BG40</t>
  </si>
  <si>
    <t xml:space="preserve">  6 ) MES-DOW-0077 HMN S45C-Q DOWEL PINS HPB-Q-12X25</t>
  </si>
  <si>
    <t xml:space="preserve">  7 ) MES-DOW-0075 DOWEL PIN THS12-25</t>
  </si>
  <si>
    <t xml:space="preserve">  8 ) MES-DOW-0076 HMN DOWEL PINS B HPB-25X90</t>
  </si>
  <si>
    <t>JR-OFFICE/PR69-548/OFFICE</t>
  </si>
  <si>
    <t>เวิลด์ไวด์ คอม เซอร์วิส จากัด</t>
  </si>
  <si>
    <t xml:space="preserve">  1 ) SUP-MTN-0001 Full Hotend Kit Printer Creality Ender-3(หัวพิมพ์)</t>
  </si>
  <si>
    <t>PO69-840</t>
  </si>
  <si>
    <t xml:space="preserve">  2 ) SUP-MTN-0002 Extruder (ชุดขับเส้น) For 3D Printer</t>
  </si>
  <si>
    <t xml:space="preserve">  3 ) 51-5038- ค่าบริการตรวจซ่อม 3D Printer Creality S/N P201I06B</t>
  </si>
  <si>
    <t xml:space="preserve">  1 ) ELS-CCL-0010 REMOTE I/O MODULE AJ65SBTB1-32DT (MITSUBISHI)</t>
  </si>
  <si>
    <t>PO69-936</t>
  </si>
  <si>
    <t xml:space="preserve">  2 ) ELS-CCL-0012 REMOTE I/O MODULE AJ65SBTB1-32T (MITSUBISH)</t>
  </si>
  <si>
    <t>JR-26-05-057/PR69-524/LERTVILAI</t>
  </si>
  <si>
    <t xml:space="preserve">  1 ) MES-PRE-0001 PRESSURE SWITCH PPX-R01N-6M-KA (CKD)</t>
  </si>
  <si>
    <t>PO69-800</t>
  </si>
  <si>
    <t xml:space="preserve">  1 ) MES-CYL-0030 ROUND MAGNETIC AIR CYLINDER F-MQS25</t>
  </si>
  <si>
    <t>PO69-932</t>
  </si>
  <si>
    <t>JR-25-12-140/PR69-607/T.C.UNION</t>
  </si>
  <si>
    <t xml:space="preserve">  1 ) ELS-PHO-0050 PHOTOELECTRIC SENSOR E3Z-R81 2M (OMRON)</t>
  </si>
  <si>
    <t>PO69-934</t>
  </si>
  <si>
    <t xml:space="preserve">  1 ) MES-SWI-0021 SWITCH SHL-W155 (OMRON)</t>
  </si>
  <si>
    <t>PO69-791</t>
  </si>
  <si>
    <t>JR-OFFICE/PR69-472</t>
  </si>
  <si>
    <t xml:space="preserve">  1 ) SUF-MTN-0001 แคปรัน (80 MFD 440V/50-60 Hz)</t>
  </si>
  <si>
    <t>PO69-769</t>
  </si>
  <si>
    <t xml:space="preserve">  2 ) SUF-MTN-0002 แผงรังผึ้งคอยล์เย็น (43T44570)</t>
  </si>
  <si>
    <t xml:space="preserve">  3 ) SUF-MTN-0003 น้ำยา R410A เต็มระบบและอุปกรณ์</t>
  </si>
  <si>
    <t xml:space="preserve">  4 ) 53-1025- ค่าบริการเปลี่ยนอะไหล่ พร้อมรันระบบเครื่อง</t>
  </si>
  <si>
    <t xml:space="preserve">  5 ) 53-1025- ค่าบริการตรวจเช็คเครื่องปรับอากาศ</t>
  </si>
  <si>
    <t>ควอลิเทค คอนโทรล จำกัด</t>
  </si>
  <si>
    <t xml:space="preserve">  1 ) ELS-SEN-0053 PROXIMITY SENSOR E2E-X3D1-M1GJ 0.3M (OMRON)</t>
  </si>
  <si>
    <t>PO69-811</t>
  </si>
  <si>
    <t>JR-26-05-057/PR69-536/LERTVILAI</t>
  </si>
  <si>
    <t xml:space="preserve">  1 ) MES-FIT-0239 ข้องอเกลียวใน สแตนเลส 90 1^</t>
  </si>
  <si>
    <t>PO69-805</t>
  </si>
  <si>
    <t xml:space="preserve">  2 ) MES-FIT-0240 สามทางเกลียวใน สแตนเลส 1^</t>
  </si>
  <si>
    <t xml:space="preserve">  3 ) MES-FIT-0241 นิปเปิ้ล สแตนเลส 1^</t>
  </si>
  <si>
    <t xml:space="preserve">  4 ) MES-FIT-0242 ข้อลดเหลี่ยม สแตนเลส 1^ x 1/4^</t>
  </si>
  <si>
    <t xml:space="preserve">  5 ) MES-FIT-0243 ข้อลดเหลี่ยม สแตนเลส 1/4^ x 1/8^</t>
  </si>
  <si>
    <t xml:space="preserve">  6 ) MES-FIT-0244 หางปลาไหล สแตนเลส สแตนเลส 1^</t>
  </si>
  <si>
    <t>JR-26-05-057/PR69-533/LERTVILAI</t>
  </si>
  <si>
    <t>อินเตอร์ ซัพพลาย (1992) จำกัด</t>
  </si>
  <si>
    <t xml:space="preserve">  1 ) MES-HOS-0004 สายใยลวด ^TOYOX^ TS-25 25X33MM. 1^ (50เมตร/ม้วน)</t>
  </si>
  <si>
    <t>PO69-806</t>
  </si>
  <si>
    <t>เอสทูอินโนเวชั่น จำกัด</t>
  </si>
  <si>
    <t xml:space="preserve">  1 ) ELS-SWI-0073 SWITCH DISCONNECTOR 3LD2003-0TK53 (SIEMENS)</t>
  </si>
  <si>
    <t>PO69-746</t>
  </si>
  <si>
    <t xml:space="preserve">  1 ) ELS-HAN-0004 OPERATION HANDLE FOR BREAKERS V-05SV (MITSUBISHI)</t>
  </si>
  <si>
    <t>PO69-747</t>
  </si>
  <si>
    <t>JR-25-12-140/PR69-606/T.C.UNION</t>
  </si>
  <si>
    <t>พีออโตเมชั่น จำกัด</t>
  </si>
  <si>
    <t xml:space="preserve">  1 ) ELS-SWI-0075 SWITCH MTX100-A8K0080 (VELMA)</t>
  </si>
  <si>
    <t>PO69-933</t>
  </si>
  <si>
    <t>PO69-853</t>
  </si>
  <si>
    <t xml:space="preserve">  3 ) SUP-MTN-0003 ท่อยางหัวพิมพ์ For 3D Printer</t>
  </si>
  <si>
    <t xml:space="preserve">  4 ) 51-5038- ค่าบริการตรวจซ่อม 3D Printer Ender 3 S/N P201I08C0</t>
  </si>
  <si>
    <t>PR69-619</t>
  </si>
  <si>
    <t>จ.เจริญสลักภัณฑ์ จำกัด</t>
  </si>
  <si>
    <t>MES-FIT-0252</t>
  </si>
  <si>
    <t>FITTING ข้อต่อตรงทองเหลือง (M22x1.5 x 1/2^) (เกลียวนอก x เกลียวใน) ข้อต่อลด-ข้อต่อเพิ่ม</t>
  </si>
  <si>
    <t>PO69-947</t>
  </si>
  <si>
    <t>ค่าบริการ-ส่งของ-DELIVERY</t>
  </si>
  <si>
    <t>JR-26-07-078/PR69-598/SSL</t>
  </si>
  <si>
    <t xml:space="preserve">  1 ) MES-FLA-0010 RHOMB FLANGE UNITS (CAST IRON) UCFL204D1</t>
  </si>
  <si>
    <t>PO69-888</t>
  </si>
  <si>
    <t xml:space="preserve">  2 ) MES-SPR-0090 SPROCKET SP35B23-N-20 (MISUMI)</t>
  </si>
  <si>
    <t xml:space="preserve">  3 ) MES-SPR-0090 SPROCKET SP35B23-N-20 (MISUMI)</t>
  </si>
  <si>
    <t>JR-OFFICE/PR69-472/OFFICE</t>
  </si>
  <si>
    <t xml:space="preserve">  1 ) SUF-MTN-0004 ปั๊มดูดน้ำทิ้ง (กำลักน้ำ Value M1 24,000 BTU )</t>
  </si>
  <si>
    <t>PO69-770</t>
  </si>
  <si>
    <t xml:space="preserve">  2 ) SUF-MTN-0007 ท่อ PVC 1/2 (หุ้มฉนวนหนา 3/8 ภายในฝ้า 11 เมตร)</t>
  </si>
  <si>
    <t xml:space="preserve">  3 ) 53-1025- ค่าบริการเปลี่ยนปั๊มดูดน้ำทิ้ง พร้อมเดินระบบท่อ</t>
  </si>
  <si>
    <t>JR-26-04-042/PR69-565/NS BLUESCOPE</t>
  </si>
  <si>
    <t xml:space="preserve">Shenzhen Wonsor Technology Co., Ltd. </t>
  </si>
  <si>
    <t xml:space="preserve">  1 ) ELS-SEN-0056 SNESOR ^LT-3006-E^ (Advanced) (WONSOR)</t>
  </si>
  <si>
    <t>PO69-856</t>
  </si>
  <si>
    <t xml:space="preserve">  2 ) ELS-SEN-0057 SNESOR  ^BR-LT01^  (WONSOR)</t>
  </si>
  <si>
    <t xml:space="preserve">  3 ) ELS-BRA-0008 BRACKET CABLE ^CA-LTE15-N^ (WONSOR)</t>
  </si>
  <si>
    <t xml:space="preserve">  4 ) ELS-CAB-0314 CABLE ^CA-LTP15-N^ (WONSOR)</t>
  </si>
  <si>
    <t>Purchase Order</t>
  </si>
  <si>
    <t>Invoice on time</t>
  </si>
  <si>
    <t>Supplier delivery on time %</t>
  </si>
  <si>
    <t>JR-25-08-094/UD TRUCKS</t>
  </si>
  <si>
    <t>PR69-560</t>
  </si>
  <si>
    <t>สมยศ เคลือบหิรัญ</t>
  </si>
  <si>
    <t xml:space="preserve">SVP-ENG-0001 </t>
  </si>
  <si>
    <t>ค่าแรง-ENGINEERING FEE</t>
  </si>
  <si>
    <t>PO69-849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</si>
</sst>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"/>
    <numFmt numFmtId="165" formatCode="dd/mm/yy"/>
  </numFmts>
  <fonts count="15">
    <font>
      <sz val="14"/>
      <name val="Angsana New"/>
      <family val="1"/>
    </font>
    <font>
      <sz val="11"/>
      <color theme="1"/>
      <name val="Calibri"/>
      <family val="2"/>
      <charset val="222"/>
      <scheme val="minor"/>
    </font>
    <font>
      <sz val="14"/>
      <name val="Angsana New"/>
      <family val="1"/>
    </font>
    <font>
      <b/>
      <sz val="16"/>
      <name val="Angsana New"/>
      <family val="1"/>
    </font>
    <font>
      <b/>
      <sz val="16"/>
      <color rgb="FF0070C0"/>
      <name val="Angsana New"/>
      <family val="1"/>
    </font>
    <font>
      <b/>
      <sz val="16"/>
      <color rgb="FFC00000"/>
      <name val="Angsana New"/>
      <family val="1"/>
    </font>
    <font>
      <b/>
      <sz val="16"/>
      <color theme="5" tint="-0.249977111117893"/>
      <name val="Angsana New"/>
      <family val="1"/>
    </font>
    <font>
      <sz val="16"/>
      <name val="Angsana New"/>
      <family val="1"/>
    </font>
    <font>
      <sz val="16"/>
      <color rgb="FF0070C0"/>
      <name val="Angsana New"/>
      <family val="1"/>
    </font>
    <font>
      <sz val="16"/>
      <color theme="5" tint="-0.249977111117893"/>
      <name val="Angsana New"/>
      <family val="1"/>
    </font>
    <font>
      <sz val="16"/>
      <color rgb="FFC00000"/>
      <name val="Angsana New"/>
      <family val="1"/>
    </font>
    <font>
      <sz val="11"/>
      <name val="Carlito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4" fontId="0" fillId="0" borderId="0" applyFill="0" applyBorder="0" applyProtection="0">
      <alignment horizontal="left" vertical="center"/>
    </xf>
    <xf numFmtId="43" fontId="2" fillId="0" borderId="0" applyFont="0" applyFill="0" applyBorder="0" applyAlignment="0" applyProtection="0"/>
    <xf numFmtId="0" fontId="11" fillId="0" borderId="0"/>
    <xf numFmtId="0" fontId="1" fillId="0" borderId="0"/>
    <xf numFmtId="43" fontId="1" fillId="0" borderId="0" applyFont="0" applyFill="0" applyBorder="0" applyAlignment="0" applyProtection="0"/>
    <xf numFmtId="4" fontId="2" fillId="0" borderId="0" applyFill="0" applyBorder="0" applyProtection="0">
      <alignment horizontal="left" vertical="center"/>
    </xf>
    <xf numFmtId="43" fontId="2" fillId="0" borderId="0" applyFont="0" applyFill="0" applyBorder="0" applyAlignment="0" applyProtection="0"/>
  </cellStyleXfs>
  <cellXfs count="57">
    <xf numFmtId="4" fontId="0" fillId="0" borderId="0" xfId="0">
      <alignment horizontal="left" vertical="center"/>
    </xf>
    <xf numFmtId="4" fontId="3" fillId="0" borderId="0" xfId="0" applyFont="1" applyFill="1" applyAlignment="1">
      <alignment horizontal="center" vertical="center"/>
    </xf>
    <xf numFmtId="4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4" fontId="6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4" fontId="7" fillId="0" borderId="1" xfId="0" applyFont="1" applyFill="1" applyBorder="1">
      <alignment horizontal="left" vertical="center"/>
    </xf>
    <xf numFmtId="4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>
      <alignment horizontal="left" vertical="center"/>
    </xf>
    <xf numFmtId="43" fontId="7" fillId="0" borderId="1" xfId="1" applyFont="1" applyFill="1" applyBorder="1" applyAlignment="1">
      <alignment horizontal="right" vertical="center"/>
    </xf>
    <xf numFmtId="4" fontId="7" fillId="0" borderId="1" xfId="0" applyFont="1" applyFill="1" applyBorder="1" applyAlignment="1">
      <alignment horizontal="right" vertical="center"/>
    </xf>
    <xf numFmtId="43" fontId="7" fillId="0" borderId="1" xfId="1" applyFont="1" applyFill="1" applyBorder="1" applyAlignment="1">
      <alignment horizontal="left" vertical="center"/>
    </xf>
    <xf numFmtId="164" fontId="7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3" fontId="7" fillId="0" borderId="0" xfId="0" applyNumberFormat="1" applyFont="1" applyFill="1" applyAlignment="1">
      <alignment horizontal="center" vertical="center"/>
    </xf>
    <xf numFmtId="4" fontId="7" fillId="0" borderId="0" xfId="0" applyFont="1" applyFill="1">
      <alignment horizontal="left" vertical="center"/>
    </xf>
    <xf numFmtId="4" fontId="10" fillId="0" borderId="0" xfId="0" applyFont="1" applyFill="1">
      <alignment horizontal="left" vertical="center"/>
    </xf>
    <xf numFmtId="4" fontId="10" fillId="0" borderId="1" xfId="0" applyFont="1" applyFill="1" applyBorder="1">
      <alignment horizontal="left" vertical="center"/>
    </xf>
    <xf numFmtId="4" fontId="10" fillId="0" borderId="1" xfId="0" applyFont="1" applyFill="1" applyBorder="1" applyAlignment="1">
      <alignment horizontal="center" vertical="center"/>
    </xf>
    <xf numFmtId="3" fontId="10" fillId="0" borderId="1" xfId="0" applyNumberFormat="1" applyFont="1" applyFill="1" applyBorder="1">
      <alignment horizontal="left" vertical="center"/>
    </xf>
    <xf numFmtId="43" fontId="10" fillId="0" borderId="1" xfId="1" applyFont="1" applyFill="1" applyBorder="1" applyAlignment="1">
      <alignment horizontal="right" vertical="center"/>
    </xf>
    <xf numFmtId="4" fontId="10" fillId="0" borderId="1" xfId="0" applyFont="1" applyFill="1" applyBorder="1" applyAlignment="1">
      <alignment horizontal="right" vertical="center"/>
    </xf>
    <xf numFmtId="4" fontId="5" fillId="0" borderId="1" xfId="0" applyFont="1" applyFill="1" applyBorder="1" applyAlignment="1">
      <alignment horizontal="center" vertical="center"/>
    </xf>
    <xf numFmtId="164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7" fillId="0" borderId="1" xfId="2" applyFont="1" applyBorder="1" applyAlignment="1">
      <alignment horizontal="center" vertical="center"/>
    </xf>
    <xf numFmtId="2" fontId="7" fillId="0" borderId="1" xfId="2" applyNumberFormat="1" applyFont="1" applyBorder="1" applyAlignment="1">
      <alignment horizontal="right" vertical="center"/>
    </xf>
    <xf numFmtId="4" fontId="7" fillId="0" borderId="1" xfId="2" applyNumberFormat="1" applyFont="1" applyBorder="1" applyAlignment="1">
      <alignment horizontal="right" vertical="center"/>
    </xf>
    <xf numFmtId="0" fontId="3" fillId="0" borderId="1" xfId="2" applyFont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/>
    </xf>
    <xf numFmtId="164" fontId="8" fillId="0" borderId="1" xfId="2" applyNumberFormat="1" applyFont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/>
    </xf>
    <xf numFmtId="4" fontId="7" fillId="0" borderId="0" xfId="0" applyFont="1" applyFill="1" applyAlignment="1">
      <alignment horizontal="center" vertical="center"/>
    </xf>
    <xf numFmtId="0" fontId="12" fillId="2" borderId="0" xfId="3" applyFont="1" applyFill="1" applyAlignment="1">
      <alignment horizontal="right"/>
    </xf>
    <xf numFmtId="43" fontId="13" fillId="2" borderId="0" xfId="4" applyFont="1" applyFill="1" applyBorder="1" applyAlignment="1"/>
    <xf numFmtId="43" fontId="7" fillId="0" borderId="0" xfId="1" applyFont="1" applyFill="1" applyAlignment="1">
      <alignment horizontal="right" vertical="center"/>
    </xf>
    <xf numFmtId="43" fontId="7" fillId="0" borderId="0" xfId="1" applyFont="1" applyFill="1" applyAlignment="1">
      <alignment horizontal="center" vertical="center"/>
    </xf>
    <xf numFmtId="164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" fontId="9" fillId="0" borderId="0" xfId="0" applyFont="1" applyFill="1" applyAlignment="1">
      <alignment horizontal="center" vertical="center"/>
    </xf>
    <xf numFmtId="0" fontId="12" fillId="3" borderId="0" xfId="3" applyFont="1" applyFill="1" applyAlignment="1">
      <alignment horizontal="right"/>
    </xf>
    <xf numFmtId="43" fontId="13" fillId="3" borderId="0" xfId="4" applyFont="1" applyFill="1" applyBorder="1" applyAlignment="1"/>
    <xf numFmtId="0" fontId="12" fillId="4" borderId="0" xfId="3" applyFont="1" applyFill="1" applyAlignment="1">
      <alignment horizontal="right" vertical="center"/>
    </xf>
    <xf numFmtId="43" fontId="14" fillId="4" borderId="0" xfId="4" applyFont="1" applyFill="1" applyBorder="1" applyAlignment="1"/>
    <xf numFmtId="0" fontId="7" fillId="0" borderId="0" xfId="0" applyNumberFormat="1" applyFont="1" applyFill="1" applyAlignment="1">
      <alignment horizontal="right" vertical="center"/>
    </xf>
    <xf numFmtId="43" fontId="7" fillId="0" borderId="1" xfId="6" applyFont="1" applyFill="1" applyBorder="1" applyAlignment="1">
      <alignment vertical="center"/>
    </xf>
    <xf numFmtId="43" fontId="7" fillId="0" borderId="1" xfId="6" applyFont="1" applyFill="1" applyBorder="1" applyAlignment="1">
      <alignment horizontal="left" vertical="center"/>
    </xf>
    <xf numFmtId="4" fontId="7" fillId="0" borderId="0" xfId="5" applyFont="1" applyFill="1">
      <alignment horizontal="left" vertical="center"/>
    </xf>
  </cellXfs>
  <cellStyles count="7">
    <cellStyle name="Comma" xfId="1" builtinId="3"/>
    <cellStyle name="Comma 4 20 2" xfId="4" xr:uid="{B0CE5F5C-C66F-47DA-9A8D-97249676DC91}"/>
    <cellStyle name="Comma 5" xfId="6" xr:uid="{DB76D68F-7AF2-48A4-A974-7E62A01DB37B}"/>
    <cellStyle name="Normal" xfId="0" builtinId="0"/>
    <cellStyle name="Normal 2 2 2 2 2 14 2" xfId="3" xr:uid="{0087A7EF-5176-442A-9A28-959EFCC72CEF}"/>
    <cellStyle name="Normal 3" xfId="5" xr:uid="{050AC393-2D6D-460C-A5CC-A03D89CEDFE5}"/>
    <cellStyle name="Normal 5" xfId="2" xr:uid="{AC886453-91CD-47CE-8E4C-3034CDBB8FE5}"/>
  </cellStyles>
  <dxfs count="4">
    <dxf>
      <font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26EE-EC9B-4811-947C-0C6F653FEAB3}">
  <sheetPr>
    <tabColor rgb="FFFFC000"/>
  </sheetPr>
  <dimension ref="A1:R525"/>
  <sheetViews>
    <sheetView tabSelected="1" topLeftCell="D503" zoomScale="85" zoomScaleNormal="85" zoomScaleSheetLayoutView="85" workbookViewId="0">
      <selection activeCell="O522" sqref="O522"/>
    </sheetView>
  </sheetViews>
  <sheetFormatPr defaultColWidth="9" defaultRowHeight="23.25"/>
  <cols>
    <col min="1" max="1" width="8.5" style="20" customWidth="1"/>
    <col min="2" max="2" width="52.5" style="20" customWidth="1"/>
    <col min="3" max="3" width="16.1640625" style="40" customWidth="1"/>
    <col min="4" max="4" width="55.83203125" style="20" customWidth="1"/>
    <col min="5" max="5" width="22" style="40" customWidth="1"/>
    <col min="6" max="6" width="81.83203125" style="20" customWidth="1"/>
    <col min="7" max="7" width="16.5" style="53" customWidth="1"/>
    <col min="8" max="8" width="12.33203125" style="40" customWidth="1"/>
    <col min="9" max="9" width="21.33203125" style="43" customWidth="1"/>
    <col min="10" max="10" width="17.83203125" style="43" customWidth="1"/>
    <col min="11" max="11" width="18" style="44" customWidth="1"/>
    <col min="12" max="12" width="19" style="1" customWidth="1"/>
    <col min="13" max="13" width="20.5" style="45" customWidth="1"/>
    <col min="14" max="14" width="23" style="46" customWidth="1"/>
    <col min="15" max="15" width="20.83203125" style="47" customWidth="1"/>
    <col min="16" max="16" width="14.1640625" style="48" customWidth="1"/>
    <col min="17" max="17" width="11.33203125" style="48" customWidth="1"/>
    <col min="18" max="16384" width="9" style="20"/>
  </cols>
  <sheetData>
    <row r="1" spans="1:18" s="1" customFormat="1" ht="25.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8" t="s">
        <v>16</v>
      </c>
    </row>
    <row r="2" spans="1:18">
      <c r="A2" s="9">
        <v>1</v>
      </c>
      <c r="B2" s="10" t="s">
        <v>17</v>
      </c>
      <c r="C2" s="11"/>
      <c r="D2" s="10" t="s">
        <v>18</v>
      </c>
      <c r="E2" s="11"/>
      <c r="F2" s="12" t="s">
        <v>19</v>
      </c>
      <c r="G2" s="13">
        <v>1</v>
      </c>
      <c r="H2" s="11" t="s">
        <v>20</v>
      </c>
      <c r="I2" s="14">
        <v>26000</v>
      </c>
      <c r="J2" s="15">
        <v>2600</v>
      </c>
      <c r="K2" s="14">
        <v>23400</v>
      </c>
      <c r="L2" s="2" t="s">
        <v>21</v>
      </c>
      <c r="M2" s="16">
        <v>46160</v>
      </c>
      <c r="N2" s="17">
        <v>46167</v>
      </c>
      <c r="O2" s="7">
        <v>46211</v>
      </c>
      <c r="P2" s="18">
        <f t="shared" ref="P2:P65" si="0">O2-M2</f>
        <v>51</v>
      </c>
      <c r="Q2" s="18">
        <f t="shared" ref="Q2:Q65" si="1">N2-O2</f>
        <v>-44</v>
      </c>
      <c r="R2" s="19">
        <v>1</v>
      </c>
    </row>
    <row r="3" spans="1:18">
      <c r="A3" s="9">
        <v>2</v>
      </c>
      <c r="B3" s="10" t="s">
        <v>22</v>
      </c>
      <c r="C3" s="11"/>
      <c r="D3" s="10" t="s">
        <v>23</v>
      </c>
      <c r="E3" s="11"/>
      <c r="F3" s="12" t="s">
        <v>24</v>
      </c>
      <c r="G3" s="13">
        <v>2</v>
      </c>
      <c r="H3" s="11" t="s">
        <v>25</v>
      </c>
      <c r="I3" s="14">
        <v>1090</v>
      </c>
      <c r="J3" s="10"/>
      <c r="K3" s="14">
        <v>2180</v>
      </c>
      <c r="L3" s="2" t="s">
        <v>26</v>
      </c>
      <c r="M3" s="16">
        <v>46181</v>
      </c>
      <c r="N3" s="17">
        <v>46191</v>
      </c>
      <c r="O3" s="7">
        <v>46220</v>
      </c>
      <c r="P3" s="18">
        <f t="shared" si="0"/>
        <v>39</v>
      </c>
      <c r="Q3" s="18">
        <f t="shared" si="1"/>
        <v>-29</v>
      </c>
      <c r="R3" s="19">
        <v>2</v>
      </c>
    </row>
    <row r="4" spans="1:18">
      <c r="A4" s="9">
        <v>3</v>
      </c>
      <c r="B4" s="10" t="s">
        <v>27</v>
      </c>
      <c r="C4" s="11"/>
      <c r="D4" s="10" t="s">
        <v>28</v>
      </c>
      <c r="E4" s="11"/>
      <c r="F4" s="12" t="s">
        <v>29</v>
      </c>
      <c r="G4" s="13">
        <v>1</v>
      </c>
      <c r="H4" s="11" t="s">
        <v>30</v>
      </c>
      <c r="I4" s="14">
        <v>1850</v>
      </c>
      <c r="J4" s="15">
        <v>92.5</v>
      </c>
      <c r="K4" s="14">
        <v>1757.5</v>
      </c>
      <c r="L4" s="2" t="s">
        <v>31</v>
      </c>
      <c r="M4" s="16">
        <v>46178</v>
      </c>
      <c r="N4" s="17">
        <v>46185</v>
      </c>
      <c r="O4" s="7">
        <v>46207</v>
      </c>
      <c r="P4" s="18">
        <f t="shared" si="0"/>
        <v>29</v>
      </c>
      <c r="Q4" s="18">
        <f t="shared" si="1"/>
        <v>-22</v>
      </c>
      <c r="R4" s="19">
        <v>3</v>
      </c>
    </row>
    <row r="5" spans="1:18">
      <c r="A5" s="9">
        <v>4</v>
      </c>
      <c r="B5" s="10" t="s">
        <v>27</v>
      </c>
      <c r="C5" s="11"/>
      <c r="D5" s="10" t="s">
        <v>28</v>
      </c>
      <c r="E5" s="11"/>
      <c r="F5" s="12" t="s">
        <v>32</v>
      </c>
      <c r="G5" s="13">
        <v>1</v>
      </c>
      <c r="H5" s="11" t="s">
        <v>30</v>
      </c>
      <c r="I5" s="14">
        <v>11500</v>
      </c>
      <c r="J5" s="15">
        <v>575</v>
      </c>
      <c r="K5" s="14">
        <v>10925</v>
      </c>
      <c r="L5" s="2" t="s">
        <v>31</v>
      </c>
      <c r="M5" s="16">
        <v>46178</v>
      </c>
      <c r="N5" s="17">
        <v>46185</v>
      </c>
      <c r="O5" s="7">
        <v>46207</v>
      </c>
      <c r="P5" s="18">
        <f t="shared" si="0"/>
        <v>29</v>
      </c>
      <c r="Q5" s="18">
        <f t="shared" si="1"/>
        <v>-22</v>
      </c>
      <c r="R5" s="19">
        <v>4</v>
      </c>
    </row>
    <row r="6" spans="1:18">
      <c r="A6" s="9">
        <v>5</v>
      </c>
      <c r="B6" s="10" t="s">
        <v>33</v>
      </c>
      <c r="C6" s="11"/>
      <c r="D6" s="10" t="s">
        <v>34</v>
      </c>
      <c r="E6" s="11"/>
      <c r="F6" s="12" t="s">
        <v>35</v>
      </c>
      <c r="G6" s="13">
        <v>1</v>
      </c>
      <c r="H6" s="11" t="s">
        <v>36</v>
      </c>
      <c r="I6" s="14">
        <v>8130.84</v>
      </c>
      <c r="J6" s="13"/>
      <c r="K6" s="14">
        <v>8130.84</v>
      </c>
      <c r="L6" s="2" t="s">
        <v>37</v>
      </c>
      <c r="M6" s="16">
        <v>46192</v>
      </c>
      <c r="N6" s="17">
        <v>46198</v>
      </c>
      <c r="O6" s="7">
        <v>46218</v>
      </c>
      <c r="P6" s="18">
        <f t="shared" si="0"/>
        <v>26</v>
      </c>
      <c r="Q6" s="18">
        <f t="shared" si="1"/>
        <v>-20</v>
      </c>
      <c r="R6" s="19">
        <v>5</v>
      </c>
    </row>
    <row r="7" spans="1:18">
      <c r="A7" s="9">
        <v>6</v>
      </c>
      <c r="B7" s="10" t="s">
        <v>38</v>
      </c>
      <c r="C7" s="11"/>
      <c r="D7" s="10" t="s">
        <v>18</v>
      </c>
      <c r="E7" s="11"/>
      <c r="F7" s="12" t="s">
        <v>39</v>
      </c>
      <c r="G7" s="13">
        <v>7.5</v>
      </c>
      <c r="H7" s="11" t="s">
        <v>40</v>
      </c>
      <c r="I7" s="14">
        <v>1500</v>
      </c>
      <c r="J7" s="15">
        <v>1125</v>
      </c>
      <c r="K7" s="14">
        <v>10125</v>
      </c>
      <c r="L7" s="2" t="s">
        <v>41</v>
      </c>
      <c r="M7" s="16">
        <v>46205</v>
      </c>
      <c r="N7" s="17">
        <v>46206</v>
      </c>
      <c r="O7" s="7">
        <v>46225</v>
      </c>
      <c r="P7" s="18">
        <f t="shared" si="0"/>
        <v>20</v>
      </c>
      <c r="Q7" s="18">
        <f t="shared" si="1"/>
        <v>-19</v>
      </c>
      <c r="R7" s="19">
        <v>6</v>
      </c>
    </row>
    <row r="8" spans="1:18">
      <c r="A8" s="9">
        <v>7</v>
      </c>
      <c r="B8" s="10" t="s">
        <v>38</v>
      </c>
      <c r="C8" s="11"/>
      <c r="D8" s="10" t="s">
        <v>18</v>
      </c>
      <c r="E8" s="11"/>
      <c r="F8" s="12" t="s">
        <v>42</v>
      </c>
      <c r="G8" s="13">
        <v>3</v>
      </c>
      <c r="H8" s="11" t="s">
        <v>40</v>
      </c>
      <c r="I8" s="14">
        <v>1000</v>
      </c>
      <c r="J8" s="15">
        <v>300</v>
      </c>
      <c r="K8" s="14">
        <v>2700</v>
      </c>
      <c r="L8" s="2" t="s">
        <v>41</v>
      </c>
      <c r="M8" s="16">
        <v>46205</v>
      </c>
      <c r="N8" s="17">
        <v>46206</v>
      </c>
      <c r="O8" s="7">
        <v>46225</v>
      </c>
      <c r="P8" s="18">
        <f t="shared" si="0"/>
        <v>20</v>
      </c>
      <c r="Q8" s="18">
        <f t="shared" si="1"/>
        <v>-19</v>
      </c>
      <c r="R8" s="19">
        <v>7</v>
      </c>
    </row>
    <row r="9" spans="1:18">
      <c r="A9" s="9">
        <v>8</v>
      </c>
      <c r="B9" s="10" t="s">
        <v>38</v>
      </c>
      <c r="C9" s="11"/>
      <c r="D9" s="10" t="s">
        <v>18</v>
      </c>
      <c r="E9" s="11"/>
      <c r="F9" s="12" t="s">
        <v>43</v>
      </c>
      <c r="G9" s="13">
        <v>120</v>
      </c>
      <c r="H9" s="11" t="s">
        <v>44</v>
      </c>
      <c r="I9" s="14">
        <v>10</v>
      </c>
      <c r="J9" s="15">
        <v>120</v>
      </c>
      <c r="K9" s="14">
        <v>1080</v>
      </c>
      <c r="L9" s="2" t="s">
        <v>41</v>
      </c>
      <c r="M9" s="16">
        <v>46205</v>
      </c>
      <c r="N9" s="17">
        <v>46206</v>
      </c>
      <c r="O9" s="7">
        <v>46225</v>
      </c>
      <c r="P9" s="18">
        <f t="shared" si="0"/>
        <v>20</v>
      </c>
      <c r="Q9" s="18">
        <f t="shared" si="1"/>
        <v>-19</v>
      </c>
      <c r="R9" s="19">
        <v>8</v>
      </c>
    </row>
    <row r="10" spans="1:18">
      <c r="A10" s="9">
        <v>9</v>
      </c>
      <c r="B10" s="10" t="s">
        <v>45</v>
      </c>
      <c r="C10" s="11"/>
      <c r="D10" s="10" t="s">
        <v>18</v>
      </c>
      <c r="E10" s="11"/>
      <c r="F10" s="12" t="s">
        <v>46</v>
      </c>
      <c r="G10" s="13">
        <v>1</v>
      </c>
      <c r="H10" s="11" t="s">
        <v>25</v>
      </c>
      <c r="I10" s="14">
        <v>70000</v>
      </c>
      <c r="J10" s="15">
        <v>7000</v>
      </c>
      <c r="K10" s="14">
        <v>63000</v>
      </c>
      <c r="L10" s="2" t="s">
        <v>47</v>
      </c>
      <c r="M10" s="16">
        <v>46202</v>
      </c>
      <c r="N10" s="17">
        <v>46209</v>
      </c>
      <c r="O10" s="7">
        <v>46218</v>
      </c>
      <c r="P10" s="18">
        <f t="shared" si="0"/>
        <v>16</v>
      </c>
      <c r="Q10" s="18">
        <f t="shared" si="1"/>
        <v>-9</v>
      </c>
      <c r="R10" s="19">
        <v>9</v>
      </c>
    </row>
    <row r="11" spans="1:18">
      <c r="A11" s="9">
        <v>10</v>
      </c>
      <c r="B11" s="10" t="s">
        <v>45</v>
      </c>
      <c r="C11" s="11"/>
      <c r="D11" s="10" t="s">
        <v>18</v>
      </c>
      <c r="E11" s="11"/>
      <c r="F11" s="12" t="s">
        <v>48</v>
      </c>
      <c r="G11" s="13">
        <v>1</v>
      </c>
      <c r="H11" s="11" t="s">
        <v>25</v>
      </c>
      <c r="I11" s="14">
        <v>9900</v>
      </c>
      <c r="J11" s="15">
        <v>990</v>
      </c>
      <c r="K11" s="14">
        <v>8910</v>
      </c>
      <c r="L11" s="2" t="s">
        <v>49</v>
      </c>
      <c r="M11" s="16">
        <v>46202</v>
      </c>
      <c r="N11" s="17">
        <v>46209</v>
      </c>
      <c r="O11" s="7">
        <v>46218</v>
      </c>
      <c r="P11" s="18">
        <f t="shared" si="0"/>
        <v>16</v>
      </c>
      <c r="Q11" s="18">
        <f t="shared" si="1"/>
        <v>-9</v>
      </c>
      <c r="R11" s="19">
        <v>10</v>
      </c>
    </row>
    <row r="12" spans="1:18">
      <c r="A12" s="9">
        <v>11</v>
      </c>
      <c r="B12" s="10" t="s">
        <v>50</v>
      </c>
      <c r="C12" s="11"/>
      <c r="D12" s="10" t="s">
        <v>51</v>
      </c>
      <c r="E12" s="11"/>
      <c r="F12" s="12" t="s">
        <v>52</v>
      </c>
      <c r="G12" s="13">
        <v>1</v>
      </c>
      <c r="H12" s="11" t="s">
        <v>53</v>
      </c>
      <c r="I12" s="14">
        <v>25000</v>
      </c>
      <c r="J12" s="10"/>
      <c r="K12" s="14">
        <v>25000</v>
      </c>
      <c r="L12" s="2" t="s">
        <v>54</v>
      </c>
      <c r="M12" s="16">
        <v>46217</v>
      </c>
      <c r="N12" s="17">
        <v>46219</v>
      </c>
      <c r="O12" s="7">
        <v>46227</v>
      </c>
      <c r="P12" s="18">
        <f t="shared" si="0"/>
        <v>10</v>
      </c>
      <c r="Q12" s="18">
        <f t="shared" si="1"/>
        <v>-8</v>
      </c>
      <c r="R12" s="19">
        <v>11</v>
      </c>
    </row>
    <row r="13" spans="1:18">
      <c r="A13" s="9">
        <v>12</v>
      </c>
      <c r="B13" s="10" t="s">
        <v>50</v>
      </c>
      <c r="C13" s="11"/>
      <c r="D13" s="10" t="s">
        <v>51</v>
      </c>
      <c r="E13" s="11"/>
      <c r="F13" s="12" t="s">
        <v>55</v>
      </c>
      <c r="G13" s="13">
        <v>1</v>
      </c>
      <c r="H13" s="11" t="s">
        <v>56</v>
      </c>
      <c r="I13" s="10"/>
      <c r="J13" s="10"/>
      <c r="K13" s="10"/>
      <c r="L13" s="2" t="s">
        <v>54</v>
      </c>
      <c r="M13" s="16">
        <v>46217</v>
      </c>
      <c r="N13" s="17">
        <v>46219</v>
      </c>
      <c r="O13" s="7">
        <v>46227</v>
      </c>
      <c r="P13" s="18">
        <f t="shared" si="0"/>
        <v>10</v>
      </c>
      <c r="Q13" s="18">
        <f t="shared" si="1"/>
        <v>-8</v>
      </c>
      <c r="R13" s="19">
        <v>12</v>
      </c>
    </row>
    <row r="14" spans="1:18">
      <c r="A14" s="9">
        <v>13</v>
      </c>
      <c r="B14" s="10" t="s">
        <v>57</v>
      </c>
      <c r="C14" s="11"/>
      <c r="D14" s="10" t="s">
        <v>58</v>
      </c>
      <c r="E14" s="11"/>
      <c r="F14" s="12" t="s">
        <v>59</v>
      </c>
      <c r="G14" s="13">
        <v>4</v>
      </c>
      <c r="H14" s="11" t="s">
        <v>30</v>
      </c>
      <c r="I14" s="14">
        <v>448.88</v>
      </c>
      <c r="J14" s="10"/>
      <c r="K14" s="14">
        <v>1795.52</v>
      </c>
      <c r="L14" s="2" t="s">
        <v>60</v>
      </c>
      <c r="M14" s="16">
        <v>46216</v>
      </c>
      <c r="N14" s="17">
        <v>46220</v>
      </c>
      <c r="O14" s="7">
        <v>46227</v>
      </c>
      <c r="P14" s="18">
        <f t="shared" si="0"/>
        <v>11</v>
      </c>
      <c r="Q14" s="18">
        <f t="shared" si="1"/>
        <v>-7</v>
      </c>
      <c r="R14" s="19">
        <v>13</v>
      </c>
    </row>
    <row r="15" spans="1:18">
      <c r="A15" s="9">
        <v>14</v>
      </c>
      <c r="B15" s="10" t="s">
        <v>57</v>
      </c>
      <c r="C15" s="11"/>
      <c r="D15" s="10" t="s">
        <v>58</v>
      </c>
      <c r="E15" s="11"/>
      <c r="F15" s="12" t="s">
        <v>61</v>
      </c>
      <c r="G15" s="13">
        <v>1</v>
      </c>
      <c r="H15" s="11" t="s">
        <v>25</v>
      </c>
      <c r="I15" s="14">
        <v>1054.2</v>
      </c>
      <c r="J15" s="10"/>
      <c r="K15" s="14">
        <v>1054.2</v>
      </c>
      <c r="L15" s="2" t="s">
        <v>60</v>
      </c>
      <c r="M15" s="16">
        <v>46216</v>
      </c>
      <c r="N15" s="17">
        <v>46220</v>
      </c>
      <c r="O15" s="7">
        <v>46227</v>
      </c>
      <c r="P15" s="18">
        <f t="shared" si="0"/>
        <v>11</v>
      </c>
      <c r="Q15" s="18">
        <f t="shared" si="1"/>
        <v>-7</v>
      </c>
      <c r="R15" s="19">
        <v>14</v>
      </c>
    </row>
    <row r="16" spans="1:18">
      <c r="A16" s="9">
        <v>15</v>
      </c>
      <c r="B16" s="10" t="s">
        <v>62</v>
      </c>
      <c r="C16" s="11" t="s">
        <v>63</v>
      </c>
      <c r="D16" s="10" t="s">
        <v>64</v>
      </c>
      <c r="E16" s="11" t="s">
        <v>65</v>
      </c>
      <c r="F16" s="12" t="s">
        <v>66</v>
      </c>
      <c r="G16" s="13">
        <v>2</v>
      </c>
      <c r="H16" s="11" t="s">
        <v>67</v>
      </c>
      <c r="I16" s="14">
        <v>1785</v>
      </c>
      <c r="J16" s="10"/>
      <c r="K16" s="14">
        <v>3570</v>
      </c>
      <c r="L16" s="2" t="s">
        <v>68</v>
      </c>
      <c r="M16" s="16">
        <v>46219</v>
      </c>
      <c r="N16" s="17">
        <v>46226</v>
      </c>
      <c r="O16" s="7">
        <v>46233</v>
      </c>
      <c r="P16" s="18">
        <f t="shared" si="0"/>
        <v>14</v>
      </c>
      <c r="Q16" s="18">
        <f t="shared" si="1"/>
        <v>-7</v>
      </c>
      <c r="R16" s="19">
        <v>15</v>
      </c>
    </row>
    <row r="17" spans="1:18">
      <c r="A17" s="9">
        <v>16</v>
      </c>
      <c r="B17" s="10" t="s">
        <v>69</v>
      </c>
      <c r="C17" s="11"/>
      <c r="D17" s="10" t="s">
        <v>70</v>
      </c>
      <c r="E17" s="11"/>
      <c r="F17" s="12" t="s">
        <v>71</v>
      </c>
      <c r="G17" s="13">
        <v>8</v>
      </c>
      <c r="H17" s="11" t="s">
        <v>25</v>
      </c>
      <c r="I17" s="14">
        <v>37</v>
      </c>
      <c r="J17" s="15">
        <v>29.6</v>
      </c>
      <c r="K17" s="14">
        <v>266.39999999999998</v>
      </c>
      <c r="L17" s="2" t="s">
        <v>72</v>
      </c>
      <c r="M17" s="16">
        <v>46216</v>
      </c>
      <c r="N17" s="17">
        <v>46220</v>
      </c>
      <c r="O17" s="7">
        <v>46226</v>
      </c>
      <c r="P17" s="18">
        <f t="shared" si="0"/>
        <v>10</v>
      </c>
      <c r="Q17" s="18">
        <f t="shared" si="1"/>
        <v>-6</v>
      </c>
      <c r="R17" s="19">
        <v>16</v>
      </c>
    </row>
    <row r="18" spans="1:18">
      <c r="A18" s="9">
        <v>17</v>
      </c>
      <c r="B18" s="10" t="s">
        <v>69</v>
      </c>
      <c r="C18" s="11"/>
      <c r="D18" s="10" t="s">
        <v>70</v>
      </c>
      <c r="E18" s="11"/>
      <c r="F18" s="12" t="s">
        <v>73</v>
      </c>
      <c r="G18" s="13">
        <v>16</v>
      </c>
      <c r="H18" s="11" t="s">
        <v>25</v>
      </c>
      <c r="I18" s="14">
        <v>2.25</v>
      </c>
      <c r="J18" s="15">
        <v>3.6</v>
      </c>
      <c r="K18" s="14">
        <v>32.4</v>
      </c>
      <c r="L18" s="2" t="s">
        <v>72</v>
      </c>
      <c r="M18" s="16">
        <v>46216</v>
      </c>
      <c r="N18" s="17">
        <v>46220</v>
      </c>
      <c r="O18" s="7">
        <v>46226</v>
      </c>
      <c r="P18" s="18">
        <f t="shared" si="0"/>
        <v>10</v>
      </c>
      <c r="Q18" s="18">
        <f t="shared" si="1"/>
        <v>-6</v>
      </c>
      <c r="R18" s="19">
        <v>17</v>
      </c>
    </row>
    <row r="19" spans="1:18">
      <c r="A19" s="9">
        <v>18</v>
      </c>
      <c r="B19" s="10" t="s">
        <v>69</v>
      </c>
      <c r="C19" s="11"/>
      <c r="D19" s="10" t="s">
        <v>70</v>
      </c>
      <c r="E19" s="11"/>
      <c r="F19" s="12" t="s">
        <v>74</v>
      </c>
      <c r="G19" s="13">
        <v>2</v>
      </c>
      <c r="H19" s="11" t="s">
        <v>25</v>
      </c>
      <c r="I19" s="14">
        <v>6</v>
      </c>
      <c r="J19" s="15">
        <v>1.2</v>
      </c>
      <c r="K19" s="14">
        <v>10.8</v>
      </c>
      <c r="L19" s="2" t="s">
        <v>72</v>
      </c>
      <c r="M19" s="16">
        <v>46216</v>
      </c>
      <c r="N19" s="17">
        <v>46220</v>
      </c>
      <c r="O19" s="7">
        <v>46226</v>
      </c>
      <c r="P19" s="18">
        <f t="shared" si="0"/>
        <v>10</v>
      </c>
      <c r="Q19" s="18">
        <f t="shared" si="1"/>
        <v>-6</v>
      </c>
      <c r="R19" s="19">
        <v>18</v>
      </c>
    </row>
    <row r="20" spans="1:18">
      <c r="A20" s="9">
        <v>19</v>
      </c>
      <c r="B20" s="10" t="s">
        <v>69</v>
      </c>
      <c r="C20" s="11"/>
      <c r="D20" s="10" t="s">
        <v>70</v>
      </c>
      <c r="E20" s="11"/>
      <c r="F20" s="12" t="s">
        <v>75</v>
      </c>
      <c r="G20" s="13">
        <v>8</v>
      </c>
      <c r="H20" s="11" t="s">
        <v>25</v>
      </c>
      <c r="I20" s="14">
        <v>42.5</v>
      </c>
      <c r="J20" s="15">
        <v>34</v>
      </c>
      <c r="K20" s="14">
        <v>306</v>
      </c>
      <c r="L20" s="2" t="s">
        <v>72</v>
      </c>
      <c r="M20" s="16">
        <v>46216</v>
      </c>
      <c r="N20" s="17">
        <v>46220</v>
      </c>
      <c r="O20" s="7">
        <v>46226</v>
      </c>
      <c r="P20" s="18">
        <f t="shared" si="0"/>
        <v>10</v>
      </c>
      <c r="Q20" s="18">
        <f t="shared" si="1"/>
        <v>-6</v>
      </c>
      <c r="R20" s="19">
        <v>19</v>
      </c>
    </row>
    <row r="21" spans="1:18">
      <c r="A21" s="9">
        <v>20</v>
      </c>
      <c r="B21" s="10" t="s">
        <v>69</v>
      </c>
      <c r="C21" s="11"/>
      <c r="D21" s="10" t="s">
        <v>70</v>
      </c>
      <c r="E21" s="11"/>
      <c r="F21" s="12" t="s">
        <v>76</v>
      </c>
      <c r="G21" s="13">
        <v>8</v>
      </c>
      <c r="H21" s="11" t="s">
        <v>25</v>
      </c>
      <c r="I21" s="14">
        <v>100</v>
      </c>
      <c r="J21" s="15">
        <v>80</v>
      </c>
      <c r="K21" s="14">
        <v>720</v>
      </c>
      <c r="L21" s="2" t="s">
        <v>72</v>
      </c>
      <c r="M21" s="16">
        <v>46216</v>
      </c>
      <c r="N21" s="17">
        <v>46220</v>
      </c>
      <c r="O21" s="7">
        <v>46226</v>
      </c>
      <c r="P21" s="18">
        <f t="shared" si="0"/>
        <v>10</v>
      </c>
      <c r="Q21" s="18">
        <f t="shared" si="1"/>
        <v>-6</v>
      </c>
      <c r="R21" s="19">
        <v>20</v>
      </c>
    </row>
    <row r="22" spans="1:18">
      <c r="A22" s="9">
        <v>21</v>
      </c>
      <c r="B22" s="10" t="s">
        <v>69</v>
      </c>
      <c r="C22" s="11"/>
      <c r="D22" s="10" t="s">
        <v>70</v>
      </c>
      <c r="E22" s="11"/>
      <c r="F22" s="12" t="s">
        <v>77</v>
      </c>
      <c r="G22" s="13">
        <v>8</v>
      </c>
      <c r="H22" s="11" t="s">
        <v>25</v>
      </c>
      <c r="I22" s="14">
        <v>2</v>
      </c>
      <c r="J22" s="15">
        <v>1.6</v>
      </c>
      <c r="K22" s="14">
        <v>14.4</v>
      </c>
      <c r="L22" s="2" t="s">
        <v>72</v>
      </c>
      <c r="M22" s="16">
        <v>46216</v>
      </c>
      <c r="N22" s="17">
        <v>46220</v>
      </c>
      <c r="O22" s="7">
        <v>46226</v>
      </c>
      <c r="P22" s="18">
        <f t="shared" si="0"/>
        <v>10</v>
      </c>
      <c r="Q22" s="18">
        <f t="shared" si="1"/>
        <v>-6</v>
      </c>
      <c r="R22" s="19">
        <v>21</v>
      </c>
    </row>
    <row r="23" spans="1:18">
      <c r="A23" s="9">
        <v>22</v>
      </c>
      <c r="B23" s="10" t="s">
        <v>69</v>
      </c>
      <c r="C23" s="11"/>
      <c r="D23" s="10" t="s">
        <v>70</v>
      </c>
      <c r="E23" s="11"/>
      <c r="F23" s="12" t="s">
        <v>78</v>
      </c>
      <c r="G23" s="13">
        <v>8</v>
      </c>
      <c r="H23" s="11" t="s">
        <v>25</v>
      </c>
      <c r="I23" s="14">
        <v>4</v>
      </c>
      <c r="J23" s="15">
        <v>3.2</v>
      </c>
      <c r="K23" s="14">
        <v>28.8</v>
      </c>
      <c r="L23" s="2" t="s">
        <v>72</v>
      </c>
      <c r="M23" s="16">
        <v>46216</v>
      </c>
      <c r="N23" s="17">
        <v>46220</v>
      </c>
      <c r="O23" s="7">
        <v>46226</v>
      </c>
      <c r="P23" s="18">
        <f t="shared" si="0"/>
        <v>10</v>
      </c>
      <c r="Q23" s="18">
        <f t="shared" si="1"/>
        <v>-6</v>
      </c>
      <c r="R23" s="19">
        <v>22</v>
      </c>
    </row>
    <row r="24" spans="1:18">
      <c r="A24" s="9">
        <v>23</v>
      </c>
      <c r="B24" s="10" t="s">
        <v>57</v>
      </c>
      <c r="C24" s="11"/>
      <c r="D24" s="10" t="s">
        <v>58</v>
      </c>
      <c r="E24" s="11"/>
      <c r="F24" s="12" t="s">
        <v>79</v>
      </c>
      <c r="G24" s="13">
        <v>2</v>
      </c>
      <c r="H24" s="11" t="s">
        <v>25</v>
      </c>
      <c r="I24" s="14">
        <v>168.93</v>
      </c>
      <c r="J24" s="10"/>
      <c r="K24" s="14">
        <v>337.86</v>
      </c>
      <c r="L24" s="2" t="s">
        <v>60</v>
      </c>
      <c r="M24" s="16">
        <v>46216</v>
      </c>
      <c r="N24" s="17">
        <v>46220</v>
      </c>
      <c r="O24" s="7">
        <v>46226</v>
      </c>
      <c r="P24" s="18">
        <f t="shared" si="0"/>
        <v>10</v>
      </c>
      <c r="Q24" s="18">
        <f t="shared" si="1"/>
        <v>-6</v>
      </c>
      <c r="R24" s="19">
        <v>23</v>
      </c>
    </row>
    <row r="25" spans="1:18">
      <c r="A25" s="9">
        <v>24</v>
      </c>
      <c r="B25" s="10" t="s">
        <v>57</v>
      </c>
      <c r="C25" s="11"/>
      <c r="D25" s="10" t="s">
        <v>58</v>
      </c>
      <c r="E25" s="11"/>
      <c r="F25" s="12" t="s">
        <v>80</v>
      </c>
      <c r="G25" s="13">
        <v>1</v>
      </c>
      <c r="H25" s="11" t="s">
        <v>25</v>
      </c>
      <c r="I25" s="14">
        <v>371.28</v>
      </c>
      <c r="J25" s="10"/>
      <c r="K25" s="14">
        <f>G25*I25</f>
        <v>371.28</v>
      </c>
      <c r="L25" s="2" t="s">
        <v>60</v>
      </c>
      <c r="M25" s="16">
        <v>46216</v>
      </c>
      <c r="N25" s="17">
        <v>46220</v>
      </c>
      <c r="O25" s="7">
        <v>46226</v>
      </c>
      <c r="P25" s="18">
        <f t="shared" si="0"/>
        <v>10</v>
      </c>
      <c r="Q25" s="18">
        <f t="shared" si="1"/>
        <v>-6</v>
      </c>
      <c r="R25" s="19">
        <v>24</v>
      </c>
    </row>
    <row r="26" spans="1:18">
      <c r="A26" s="9">
        <v>25</v>
      </c>
      <c r="B26" s="10" t="s">
        <v>57</v>
      </c>
      <c r="C26" s="11"/>
      <c r="D26" s="10" t="s">
        <v>58</v>
      </c>
      <c r="E26" s="11"/>
      <c r="F26" s="12" t="s">
        <v>81</v>
      </c>
      <c r="G26" s="13">
        <v>4</v>
      </c>
      <c r="H26" s="11" t="s">
        <v>25</v>
      </c>
      <c r="I26" s="14">
        <v>347.43</v>
      </c>
      <c r="J26" s="10"/>
      <c r="K26" s="14">
        <v>1389.72</v>
      </c>
      <c r="L26" s="2" t="s">
        <v>60</v>
      </c>
      <c r="M26" s="16">
        <v>46216</v>
      </c>
      <c r="N26" s="17">
        <v>46220</v>
      </c>
      <c r="O26" s="7">
        <v>46226</v>
      </c>
      <c r="P26" s="18">
        <f t="shared" si="0"/>
        <v>10</v>
      </c>
      <c r="Q26" s="18">
        <f t="shared" si="1"/>
        <v>-6</v>
      </c>
      <c r="R26" s="19">
        <v>25</v>
      </c>
    </row>
    <row r="27" spans="1:18">
      <c r="A27" s="9">
        <v>26</v>
      </c>
      <c r="B27" s="10" t="s">
        <v>57</v>
      </c>
      <c r="C27" s="11"/>
      <c r="D27" s="10" t="s">
        <v>58</v>
      </c>
      <c r="E27" s="11"/>
      <c r="F27" s="12" t="s">
        <v>82</v>
      </c>
      <c r="G27" s="13">
        <v>20</v>
      </c>
      <c r="H27" s="11" t="s">
        <v>25</v>
      </c>
      <c r="I27" s="14">
        <v>329.15</v>
      </c>
      <c r="J27" s="10"/>
      <c r="K27" s="14">
        <v>6583</v>
      </c>
      <c r="L27" s="2" t="s">
        <v>60</v>
      </c>
      <c r="M27" s="16">
        <v>46216</v>
      </c>
      <c r="N27" s="17">
        <v>46220</v>
      </c>
      <c r="O27" s="7">
        <v>46226</v>
      </c>
      <c r="P27" s="18">
        <f t="shared" si="0"/>
        <v>10</v>
      </c>
      <c r="Q27" s="18">
        <f t="shared" si="1"/>
        <v>-6</v>
      </c>
      <c r="R27" s="19">
        <v>26</v>
      </c>
    </row>
    <row r="28" spans="1:18">
      <c r="A28" s="9">
        <v>27</v>
      </c>
      <c r="B28" s="10" t="s">
        <v>57</v>
      </c>
      <c r="C28" s="11"/>
      <c r="D28" s="10" t="s">
        <v>58</v>
      </c>
      <c r="E28" s="11"/>
      <c r="F28" s="12" t="s">
        <v>83</v>
      </c>
      <c r="G28" s="13">
        <v>1</v>
      </c>
      <c r="H28" s="11" t="s">
        <v>25</v>
      </c>
      <c r="I28" s="14">
        <v>3169.83</v>
      </c>
      <c r="J28" s="10"/>
      <c r="K28" s="14">
        <v>3169.83</v>
      </c>
      <c r="L28" s="2" t="s">
        <v>60</v>
      </c>
      <c r="M28" s="16">
        <v>46216</v>
      </c>
      <c r="N28" s="17">
        <v>46220</v>
      </c>
      <c r="O28" s="7">
        <v>46226</v>
      </c>
      <c r="P28" s="18">
        <f t="shared" si="0"/>
        <v>10</v>
      </c>
      <c r="Q28" s="18">
        <f t="shared" si="1"/>
        <v>-6</v>
      </c>
      <c r="R28" s="19">
        <v>27</v>
      </c>
    </row>
    <row r="29" spans="1:18">
      <c r="A29" s="9">
        <v>28</v>
      </c>
      <c r="B29" s="10" t="s">
        <v>57</v>
      </c>
      <c r="C29" s="11"/>
      <c r="D29" s="10" t="s">
        <v>58</v>
      </c>
      <c r="E29" s="11"/>
      <c r="F29" s="12" t="s">
        <v>84</v>
      </c>
      <c r="G29" s="13">
        <v>2</v>
      </c>
      <c r="H29" s="11" t="s">
        <v>25</v>
      </c>
      <c r="I29" s="14">
        <v>386.75</v>
      </c>
      <c r="J29" s="10"/>
      <c r="K29" s="14">
        <v>773.5</v>
      </c>
      <c r="L29" s="2" t="s">
        <v>60</v>
      </c>
      <c r="M29" s="16">
        <v>46216</v>
      </c>
      <c r="N29" s="17">
        <v>46220</v>
      </c>
      <c r="O29" s="7">
        <v>46226</v>
      </c>
      <c r="P29" s="18">
        <f t="shared" si="0"/>
        <v>10</v>
      </c>
      <c r="Q29" s="18">
        <f t="shared" si="1"/>
        <v>-6</v>
      </c>
      <c r="R29" s="19">
        <v>28</v>
      </c>
    </row>
    <row r="30" spans="1:18">
      <c r="A30" s="9">
        <v>29</v>
      </c>
      <c r="B30" s="10" t="s">
        <v>85</v>
      </c>
      <c r="C30" s="11"/>
      <c r="D30" s="10" t="s">
        <v>86</v>
      </c>
      <c r="E30" s="11"/>
      <c r="F30" s="12" t="s">
        <v>87</v>
      </c>
      <c r="G30" s="13">
        <v>3</v>
      </c>
      <c r="H30" s="11" t="s">
        <v>53</v>
      </c>
      <c r="I30" s="14">
        <v>6540</v>
      </c>
      <c r="J30" s="10"/>
      <c r="K30" s="14">
        <v>19620</v>
      </c>
      <c r="L30" s="2" t="s">
        <v>88</v>
      </c>
      <c r="M30" s="16">
        <v>46213</v>
      </c>
      <c r="N30" s="17">
        <v>46218</v>
      </c>
      <c r="O30" s="7">
        <v>46223</v>
      </c>
      <c r="P30" s="18">
        <f t="shared" si="0"/>
        <v>10</v>
      </c>
      <c r="Q30" s="18">
        <f t="shared" si="1"/>
        <v>-5</v>
      </c>
      <c r="R30" s="19">
        <v>29</v>
      </c>
    </row>
    <row r="31" spans="1:18">
      <c r="A31" s="9">
        <v>30</v>
      </c>
      <c r="B31" s="10" t="s">
        <v>89</v>
      </c>
      <c r="C31" s="11"/>
      <c r="D31" s="10" t="s">
        <v>90</v>
      </c>
      <c r="E31" s="11"/>
      <c r="F31" s="12" t="s">
        <v>91</v>
      </c>
      <c r="G31" s="13">
        <v>1</v>
      </c>
      <c r="H31" s="11" t="s">
        <v>25</v>
      </c>
      <c r="I31" s="14">
        <v>4500</v>
      </c>
      <c r="J31" s="10"/>
      <c r="K31" s="14">
        <v>4500</v>
      </c>
      <c r="L31" s="2" t="s">
        <v>92</v>
      </c>
      <c r="M31" s="16">
        <v>46213</v>
      </c>
      <c r="N31" s="17">
        <v>46219</v>
      </c>
      <c r="O31" s="7">
        <v>46224</v>
      </c>
      <c r="P31" s="18">
        <f t="shared" si="0"/>
        <v>11</v>
      </c>
      <c r="Q31" s="18">
        <f t="shared" si="1"/>
        <v>-5</v>
      </c>
      <c r="R31" s="19">
        <v>30</v>
      </c>
    </row>
    <row r="32" spans="1:18">
      <c r="A32" s="9">
        <v>31</v>
      </c>
      <c r="B32" s="10" t="s">
        <v>89</v>
      </c>
      <c r="C32" s="11"/>
      <c r="D32" s="10" t="s">
        <v>90</v>
      </c>
      <c r="E32" s="11"/>
      <c r="F32" s="12" t="s">
        <v>93</v>
      </c>
      <c r="G32" s="13">
        <v>4</v>
      </c>
      <c r="H32" s="11" t="s">
        <v>25</v>
      </c>
      <c r="I32" s="14">
        <v>2250</v>
      </c>
      <c r="J32" s="10"/>
      <c r="K32" s="14">
        <v>9000</v>
      </c>
      <c r="L32" s="2" t="s">
        <v>92</v>
      </c>
      <c r="M32" s="16">
        <v>46213</v>
      </c>
      <c r="N32" s="17">
        <v>46219</v>
      </c>
      <c r="O32" s="7">
        <v>46224</v>
      </c>
      <c r="P32" s="18">
        <f t="shared" si="0"/>
        <v>11</v>
      </c>
      <c r="Q32" s="18">
        <f t="shared" si="1"/>
        <v>-5</v>
      </c>
      <c r="R32" s="19">
        <v>31</v>
      </c>
    </row>
    <row r="33" spans="1:18">
      <c r="A33" s="9">
        <v>32</v>
      </c>
      <c r="B33" s="10" t="s">
        <v>57</v>
      </c>
      <c r="C33" s="11"/>
      <c r="D33" s="10" t="s">
        <v>58</v>
      </c>
      <c r="E33" s="11"/>
      <c r="F33" s="12" t="s">
        <v>94</v>
      </c>
      <c r="G33" s="13">
        <v>6</v>
      </c>
      <c r="H33" s="11" t="s">
        <v>30</v>
      </c>
      <c r="I33" s="14">
        <v>87.7</v>
      </c>
      <c r="J33" s="10"/>
      <c r="K33" s="14">
        <v>526.20000000000005</v>
      </c>
      <c r="L33" s="2" t="s">
        <v>60</v>
      </c>
      <c r="M33" s="16">
        <v>46216</v>
      </c>
      <c r="N33" s="17">
        <v>46220</v>
      </c>
      <c r="O33" s="7">
        <v>46225</v>
      </c>
      <c r="P33" s="18">
        <f t="shared" si="0"/>
        <v>9</v>
      </c>
      <c r="Q33" s="18">
        <f t="shared" si="1"/>
        <v>-5</v>
      </c>
      <c r="R33" s="19">
        <v>32</v>
      </c>
    </row>
    <row r="34" spans="1:18">
      <c r="A34" s="9">
        <v>33</v>
      </c>
      <c r="B34" s="10" t="s">
        <v>95</v>
      </c>
      <c r="C34" s="11"/>
      <c r="D34" s="10" t="s">
        <v>96</v>
      </c>
      <c r="E34" s="11"/>
      <c r="F34" s="12" t="s">
        <v>97</v>
      </c>
      <c r="G34" s="13">
        <v>1</v>
      </c>
      <c r="H34" s="11" t="s">
        <v>25</v>
      </c>
      <c r="I34" s="14">
        <v>440</v>
      </c>
      <c r="J34" s="10"/>
      <c r="K34" s="14">
        <v>440</v>
      </c>
      <c r="L34" s="2" t="s">
        <v>98</v>
      </c>
      <c r="M34" s="16">
        <v>46203</v>
      </c>
      <c r="N34" s="17">
        <v>46209</v>
      </c>
      <c r="O34" s="7">
        <v>46209</v>
      </c>
      <c r="P34" s="18">
        <f t="shared" si="0"/>
        <v>6</v>
      </c>
      <c r="Q34" s="18">
        <f t="shared" si="1"/>
        <v>0</v>
      </c>
      <c r="R34" s="19"/>
    </row>
    <row r="35" spans="1:18">
      <c r="A35" s="9">
        <v>34</v>
      </c>
      <c r="B35" s="10" t="s">
        <v>99</v>
      </c>
      <c r="C35" s="11"/>
      <c r="D35" s="10" t="s">
        <v>100</v>
      </c>
      <c r="E35" s="11"/>
      <c r="F35" s="12" t="s">
        <v>101</v>
      </c>
      <c r="G35" s="13">
        <v>1</v>
      </c>
      <c r="H35" s="11" t="s">
        <v>67</v>
      </c>
      <c r="I35" s="14">
        <v>4720</v>
      </c>
      <c r="J35" s="10"/>
      <c r="K35" s="14">
        <v>4720</v>
      </c>
      <c r="L35" s="2" t="s">
        <v>102</v>
      </c>
      <c r="M35" s="16">
        <v>46205</v>
      </c>
      <c r="N35" s="17">
        <v>46209</v>
      </c>
      <c r="O35" s="7">
        <v>46209</v>
      </c>
      <c r="P35" s="18">
        <f t="shared" si="0"/>
        <v>4</v>
      </c>
      <c r="Q35" s="18">
        <f t="shared" si="1"/>
        <v>0</v>
      </c>
      <c r="R35" s="19"/>
    </row>
    <row r="36" spans="1:18">
      <c r="A36" s="9">
        <v>35</v>
      </c>
      <c r="B36" s="10" t="s">
        <v>103</v>
      </c>
      <c r="C36" s="11"/>
      <c r="D36" s="10" t="s">
        <v>104</v>
      </c>
      <c r="E36" s="11"/>
      <c r="F36" s="12" t="s">
        <v>105</v>
      </c>
      <c r="G36" s="13">
        <v>1</v>
      </c>
      <c r="H36" s="11" t="s">
        <v>25</v>
      </c>
      <c r="I36" s="14">
        <v>9500</v>
      </c>
      <c r="J36" s="13">
        <v>475</v>
      </c>
      <c r="K36" s="14">
        <v>9025</v>
      </c>
      <c r="L36" s="2" t="s">
        <v>106</v>
      </c>
      <c r="M36" s="16">
        <v>46196</v>
      </c>
      <c r="N36" s="17">
        <v>46213</v>
      </c>
      <c r="O36" s="7">
        <v>46213</v>
      </c>
      <c r="P36" s="18">
        <f t="shared" si="0"/>
        <v>17</v>
      </c>
      <c r="Q36" s="18">
        <f t="shared" si="1"/>
        <v>0</v>
      </c>
      <c r="R36" s="19"/>
    </row>
    <row r="37" spans="1:18">
      <c r="A37" s="9">
        <v>36</v>
      </c>
      <c r="B37" s="10" t="s">
        <v>103</v>
      </c>
      <c r="C37" s="11"/>
      <c r="D37" s="10" t="s">
        <v>104</v>
      </c>
      <c r="E37" s="11"/>
      <c r="F37" s="12" t="s">
        <v>107</v>
      </c>
      <c r="G37" s="13">
        <v>1</v>
      </c>
      <c r="H37" s="11" t="s">
        <v>25</v>
      </c>
      <c r="I37" s="14">
        <v>3500</v>
      </c>
      <c r="J37" s="13">
        <v>175</v>
      </c>
      <c r="K37" s="14">
        <v>3325</v>
      </c>
      <c r="L37" s="2" t="s">
        <v>106</v>
      </c>
      <c r="M37" s="16">
        <v>46196</v>
      </c>
      <c r="N37" s="17">
        <v>46213</v>
      </c>
      <c r="O37" s="7">
        <v>46213</v>
      </c>
      <c r="P37" s="18">
        <f t="shared" si="0"/>
        <v>17</v>
      </c>
      <c r="Q37" s="18">
        <f t="shared" si="1"/>
        <v>0</v>
      </c>
      <c r="R37" s="19"/>
    </row>
    <row r="38" spans="1:18">
      <c r="A38" s="9">
        <v>37</v>
      </c>
      <c r="B38" s="10" t="s">
        <v>108</v>
      </c>
      <c r="C38" s="11"/>
      <c r="D38" s="10" t="s">
        <v>109</v>
      </c>
      <c r="E38" s="11"/>
      <c r="F38" s="12" t="s">
        <v>110</v>
      </c>
      <c r="G38" s="13">
        <v>4</v>
      </c>
      <c r="H38" s="11" t="s">
        <v>25</v>
      </c>
      <c r="I38" s="14">
        <v>6195</v>
      </c>
      <c r="J38" s="15">
        <v>4956</v>
      </c>
      <c r="K38" s="14">
        <v>19824</v>
      </c>
      <c r="L38" s="2" t="s">
        <v>111</v>
      </c>
      <c r="M38" s="16">
        <v>46204</v>
      </c>
      <c r="N38" s="17">
        <v>46216</v>
      </c>
      <c r="O38" s="7">
        <v>46216</v>
      </c>
      <c r="P38" s="18">
        <f t="shared" si="0"/>
        <v>12</v>
      </c>
      <c r="Q38" s="18">
        <f t="shared" si="1"/>
        <v>0</v>
      </c>
      <c r="R38" s="19"/>
    </row>
    <row r="39" spans="1:18">
      <c r="A39" s="9">
        <v>38</v>
      </c>
      <c r="B39" s="10" t="s">
        <v>57</v>
      </c>
      <c r="C39" s="11"/>
      <c r="D39" s="10" t="s">
        <v>58</v>
      </c>
      <c r="E39" s="11"/>
      <c r="F39" s="12" t="s">
        <v>112</v>
      </c>
      <c r="G39" s="13">
        <v>49</v>
      </c>
      <c r="H39" s="11" t="s">
        <v>25</v>
      </c>
      <c r="I39" s="14">
        <v>51.6</v>
      </c>
      <c r="J39" s="10"/>
      <c r="K39" s="14">
        <v>2528.4</v>
      </c>
      <c r="L39" s="2" t="s">
        <v>60</v>
      </c>
      <c r="M39" s="16">
        <v>46216</v>
      </c>
      <c r="N39" s="17">
        <v>46223</v>
      </c>
      <c r="O39" s="7">
        <v>46223</v>
      </c>
      <c r="P39" s="18">
        <f t="shared" si="0"/>
        <v>7</v>
      </c>
      <c r="Q39" s="18">
        <f t="shared" si="1"/>
        <v>0</v>
      </c>
      <c r="R39" s="19"/>
    </row>
    <row r="40" spans="1:18">
      <c r="A40" s="9">
        <v>39</v>
      </c>
      <c r="B40" s="10" t="s">
        <v>57</v>
      </c>
      <c r="C40" s="11"/>
      <c r="D40" s="10" t="s">
        <v>58</v>
      </c>
      <c r="E40" s="11"/>
      <c r="F40" s="12" t="s">
        <v>113</v>
      </c>
      <c r="G40" s="13">
        <v>1</v>
      </c>
      <c r="H40" s="11" t="s">
        <v>25</v>
      </c>
      <c r="I40" s="14">
        <v>515.97</v>
      </c>
      <c r="J40" s="10"/>
      <c r="K40" s="14">
        <v>515.97</v>
      </c>
      <c r="L40" s="2" t="s">
        <v>60</v>
      </c>
      <c r="M40" s="16">
        <v>46216</v>
      </c>
      <c r="N40" s="17">
        <v>46223</v>
      </c>
      <c r="O40" s="7">
        <v>46223</v>
      </c>
      <c r="P40" s="18">
        <f t="shared" si="0"/>
        <v>7</v>
      </c>
      <c r="Q40" s="18">
        <f t="shared" si="1"/>
        <v>0</v>
      </c>
      <c r="R40" s="19"/>
    </row>
    <row r="41" spans="1:18">
      <c r="A41" s="9">
        <v>40</v>
      </c>
      <c r="B41" s="10" t="s">
        <v>57</v>
      </c>
      <c r="C41" s="11"/>
      <c r="D41" s="10" t="s">
        <v>58</v>
      </c>
      <c r="E41" s="11"/>
      <c r="F41" s="12" t="s">
        <v>114</v>
      </c>
      <c r="G41" s="13">
        <v>4</v>
      </c>
      <c r="H41" s="11" t="s">
        <v>25</v>
      </c>
      <c r="I41" s="14">
        <v>30</v>
      </c>
      <c r="J41" s="10"/>
      <c r="K41" s="14">
        <v>120</v>
      </c>
      <c r="L41" s="2" t="s">
        <v>60</v>
      </c>
      <c r="M41" s="16">
        <v>46216</v>
      </c>
      <c r="N41" s="17">
        <v>46223</v>
      </c>
      <c r="O41" s="7">
        <v>46223</v>
      </c>
      <c r="P41" s="18">
        <f t="shared" si="0"/>
        <v>7</v>
      </c>
      <c r="Q41" s="18">
        <f t="shared" si="1"/>
        <v>0</v>
      </c>
      <c r="R41" s="19"/>
    </row>
    <row r="42" spans="1:18">
      <c r="A42" s="9">
        <v>41</v>
      </c>
      <c r="B42" s="10" t="s">
        <v>57</v>
      </c>
      <c r="C42" s="11"/>
      <c r="D42" s="10" t="s">
        <v>58</v>
      </c>
      <c r="E42" s="11"/>
      <c r="F42" s="12" t="s">
        <v>115</v>
      </c>
      <c r="G42" s="13">
        <v>24</v>
      </c>
      <c r="H42" s="11" t="s">
        <v>25</v>
      </c>
      <c r="I42" s="14">
        <v>46.7</v>
      </c>
      <c r="J42" s="10"/>
      <c r="K42" s="14">
        <v>1120.8</v>
      </c>
      <c r="L42" s="2" t="s">
        <v>60</v>
      </c>
      <c r="M42" s="16">
        <v>46216</v>
      </c>
      <c r="N42" s="17">
        <v>46223</v>
      </c>
      <c r="O42" s="7">
        <v>46223</v>
      </c>
      <c r="P42" s="18">
        <f t="shared" si="0"/>
        <v>7</v>
      </c>
      <c r="Q42" s="18">
        <f t="shared" si="1"/>
        <v>0</v>
      </c>
      <c r="R42" s="19"/>
    </row>
    <row r="43" spans="1:18">
      <c r="A43" s="9">
        <v>42</v>
      </c>
      <c r="B43" s="10" t="s">
        <v>57</v>
      </c>
      <c r="C43" s="11"/>
      <c r="D43" s="10" t="s">
        <v>58</v>
      </c>
      <c r="E43" s="11"/>
      <c r="F43" s="12" t="s">
        <v>116</v>
      </c>
      <c r="G43" s="13">
        <v>1</v>
      </c>
      <c r="H43" s="11" t="s">
        <v>25</v>
      </c>
      <c r="I43" s="14">
        <v>110.01</v>
      </c>
      <c r="J43" s="10"/>
      <c r="K43" s="14">
        <v>110.01</v>
      </c>
      <c r="L43" s="2" t="s">
        <v>60</v>
      </c>
      <c r="M43" s="16">
        <v>46216</v>
      </c>
      <c r="N43" s="17">
        <v>46223</v>
      </c>
      <c r="O43" s="7">
        <v>46223</v>
      </c>
      <c r="P43" s="18">
        <f t="shared" si="0"/>
        <v>7</v>
      </c>
      <c r="Q43" s="18">
        <f t="shared" si="1"/>
        <v>0</v>
      </c>
      <c r="R43" s="19"/>
    </row>
    <row r="44" spans="1:18">
      <c r="A44" s="9">
        <v>43</v>
      </c>
      <c r="B44" s="10" t="s">
        <v>57</v>
      </c>
      <c r="C44" s="11"/>
      <c r="D44" s="10" t="s">
        <v>58</v>
      </c>
      <c r="E44" s="11"/>
      <c r="F44" s="12" t="s">
        <v>80</v>
      </c>
      <c r="G44" s="13">
        <v>3</v>
      </c>
      <c r="H44" s="11" t="s">
        <v>25</v>
      </c>
      <c r="I44" s="14">
        <v>371.28</v>
      </c>
      <c r="J44" s="10"/>
      <c r="K44" s="14">
        <f>G44*I44</f>
        <v>1113.8399999999999</v>
      </c>
      <c r="L44" s="2" t="s">
        <v>60</v>
      </c>
      <c r="M44" s="16">
        <v>46216</v>
      </c>
      <c r="N44" s="17">
        <v>46223</v>
      </c>
      <c r="O44" s="7">
        <v>46223</v>
      </c>
      <c r="P44" s="18">
        <f t="shared" si="0"/>
        <v>7</v>
      </c>
      <c r="Q44" s="18">
        <f t="shared" si="1"/>
        <v>0</v>
      </c>
      <c r="R44" s="19"/>
    </row>
    <row r="45" spans="1:18">
      <c r="A45" s="9">
        <v>44</v>
      </c>
      <c r="B45" s="10" t="s">
        <v>117</v>
      </c>
      <c r="C45" s="11"/>
      <c r="D45" s="10" t="s">
        <v>58</v>
      </c>
      <c r="E45" s="11"/>
      <c r="F45" s="12" t="s">
        <v>118</v>
      </c>
      <c r="G45" s="13">
        <v>2</v>
      </c>
      <c r="H45" s="11" t="s">
        <v>30</v>
      </c>
      <c r="I45" s="14">
        <v>1104.72</v>
      </c>
      <c r="J45" s="10"/>
      <c r="K45" s="14">
        <v>2209.44</v>
      </c>
      <c r="L45" s="2" t="s">
        <v>119</v>
      </c>
      <c r="M45" s="16">
        <v>46218</v>
      </c>
      <c r="N45" s="17">
        <v>46227</v>
      </c>
      <c r="O45" s="7">
        <v>46227</v>
      </c>
      <c r="P45" s="18">
        <f t="shared" si="0"/>
        <v>9</v>
      </c>
      <c r="Q45" s="18">
        <f t="shared" si="1"/>
        <v>0</v>
      </c>
      <c r="R45" s="19"/>
    </row>
    <row r="46" spans="1:18">
      <c r="A46" s="9">
        <v>45</v>
      </c>
      <c r="B46" s="10" t="s">
        <v>117</v>
      </c>
      <c r="C46" s="11"/>
      <c r="D46" s="10" t="s">
        <v>58</v>
      </c>
      <c r="E46" s="11"/>
      <c r="F46" s="12" t="s">
        <v>120</v>
      </c>
      <c r="G46" s="13">
        <v>2</v>
      </c>
      <c r="H46" s="11" t="s">
        <v>30</v>
      </c>
      <c r="I46" s="14">
        <v>970.36</v>
      </c>
      <c r="J46" s="10"/>
      <c r="K46" s="14">
        <v>1940.72</v>
      </c>
      <c r="L46" s="2" t="s">
        <v>119</v>
      </c>
      <c r="M46" s="16">
        <v>46218</v>
      </c>
      <c r="N46" s="17">
        <v>46227</v>
      </c>
      <c r="O46" s="7">
        <v>46227</v>
      </c>
      <c r="P46" s="18">
        <f t="shared" si="0"/>
        <v>9</v>
      </c>
      <c r="Q46" s="18">
        <f t="shared" si="1"/>
        <v>0</v>
      </c>
      <c r="R46" s="19"/>
    </row>
    <row r="47" spans="1:18">
      <c r="A47" s="9">
        <v>46</v>
      </c>
      <c r="B47" s="10" t="s">
        <v>117</v>
      </c>
      <c r="C47" s="11"/>
      <c r="D47" s="10" t="s">
        <v>58</v>
      </c>
      <c r="E47" s="11"/>
      <c r="F47" s="12" t="s">
        <v>121</v>
      </c>
      <c r="G47" s="13">
        <v>1</v>
      </c>
      <c r="H47" s="11" t="s">
        <v>25</v>
      </c>
      <c r="I47" s="14">
        <v>4810.25</v>
      </c>
      <c r="J47" s="10"/>
      <c r="K47" s="14">
        <v>4810.25</v>
      </c>
      <c r="L47" s="2" t="s">
        <v>119</v>
      </c>
      <c r="M47" s="16">
        <v>46218</v>
      </c>
      <c r="N47" s="17">
        <v>46227</v>
      </c>
      <c r="O47" s="7">
        <v>46227</v>
      </c>
      <c r="P47" s="18">
        <f t="shared" si="0"/>
        <v>9</v>
      </c>
      <c r="Q47" s="18">
        <f t="shared" si="1"/>
        <v>0</v>
      </c>
      <c r="R47" s="19"/>
    </row>
    <row r="48" spans="1:18">
      <c r="A48" s="9">
        <v>47</v>
      </c>
      <c r="B48" s="10" t="s">
        <v>122</v>
      </c>
      <c r="C48" s="11"/>
      <c r="D48" s="10" t="s">
        <v>58</v>
      </c>
      <c r="E48" s="11"/>
      <c r="F48" s="12" t="s">
        <v>123</v>
      </c>
      <c r="G48" s="13">
        <v>2</v>
      </c>
      <c r="H48" s="11" t="s">
        <v>25</v>
      </c>
      <c r="I48" s="14">
        <v>582.66999999999996</v>
      </c>
      <c r="J48" s="10"/>
      <c r="K48" s="14">
        <v>1165.3399999999999</v>
      </c>
      <c r="L48" s="2" t="s">
        <v>124</v>
      </c>
      <c r="M48" s="16">
        <v>46219</v>
      </c>
      <c r="N48" s="17">
        <v>46227</v>
      </c>
      <c r="O48" s="7">
        <v>46227</v>
      </c>
      <c r="P48" s="18">
        <f t="shared" si="0"/>
        <v>8</v>
      </c>
      <c r="Q48" s="18">
        <f t="shared" si="1"/>
        <v>0</v>
      </c>
      <c r="R48" s="19"/>
    </row>
    <row r="49" spans="1:18">
      <c r="A49" s="9">
        <v>48</v>
      </c>
      <c r="B49" s="10" t="s">
        <v>122</v>
      </c>
      <c r="C49" s="11"/>
      <c r="D49" s="10" t="s">
        <v>58</v>
      </c>
      <c r="E49" s="11"/>
      <c r="F49" s="12" t="s">
        <v>125</v>
      </c>
      <c r="G49" s="13">
        <v>1</v>
      </c>
      <c r="H49" s="11" t="s">
        <v>25</v>
      </c>
      <c r="I49" s="14">
        <v>2811.05</v>
      </c>
      <c r="J49" s="10"/>
      <c r="K49" s="14">
        <v>2811.05</v>
      </c>
      <c r="L49" s="2" t="s">
        <v>124</v>
      </c>
      <c r="M49" s="16">
        <v>46219</v>
      </c>
      <c r="N49" s="17">
        <v>46227</v>
      </c>
      <c r="O49" s="7">
        <v>46227</v>
      </c>
      <c r="P49" s="18">
        <f t="shared" si="0"/>
        <v>8</v>
      </c>
      <c r="Q49" s="18">
        <f t="shared" si="1"/>
        <v>0</v>
      </c>
      <c r="R49" s="19"/>
    </row>
    <row r="50" spans="1:18">
      <c r="A50" s="9">
        <v>49</v>
      </c>
      <c r="B50" s="10" t="s">
        <v>122</v>
      </c>
      <c r="C50" s="11"/>
      <c r="D50" s="10" t="s">
        <v>58</v>
      </c>
      <c r="E50" s="11"/>
      <c r="F50" s="12" t="s">
        <v>126</v>
      </c>
      <c r="G50" s="13">
        <v>9</v>
      </c>
      <c r="H50" s="11" t="s">
        <v>25</v>
      </c>
      <c r="I50" s="14">
        <v>119.09</v>
      </c>
      <c r="J50" s="10"/>
      <c r="K50" s="14">
        <v>1071.81</v>
      </c>
      <c r="L50" s="2" t="s">
        <v>124</v>
      </c>
      <c r="M50" s="16">
        <v>46219</v>
      </c>
      <c r="N50" s="17">
        <v>46227</v>
      </c>
      <c r="O50" s="7">
        <v>46227</v>
      </c>
      <c r="P50" s="18">
        <f t="shared" si="0"/>
        <v>8</v>
      </c>
      <c r="Q50" s="18">
        <f t="shared" si="1"/>
        <v>0</v>
      </c>
      <c r="R50" s="19"/>
    </row>
    <row r="51" spans="1:18" s="21" customFormat="1">
      <c r="A51" s="9">
        <v>50</v>
      </c>
      <c r="B51" s="10" t="s">
        <v>122</v>
      </c>
      <c r="C51" s="11"/>
      <c r="D51" s="10" t="s">
        <v>58</v>
      </c>
      <c r="E51" s="11"/>
      <c r="F51" s="12" t="s">
        <v>127</v>
      </c>
      <c r="G51" s="13">
        <v>2</v>
      </c>
      <c r="H51" s="11" t="s">
        <v>25</v>
      </c>
      <c r="I51" s="14">
        <v>119.29</v>
      </c>
      <c r="J51" s="10"/>
      <c r="K51" s="14">
        <v>238.58</v>
      </c>
      <c r="L51" s="2" t="s">
        <v>124</v>
      </c>
      <c r="M51" s="16">
        <v>46219</v>
      </c>
      <c r="N51" s="17">
        <v>46227</v>
      </c>
      <c r="O51" s="7">
        <v>46227</v>
      </c>
      <c r="P51" s="18">
        <f t="shared" si="0"/>
        <v>8</v>
      </c>
      <c r="Q51" s="18">
        <f t="shared" si="1"/>
        <v>0</v>
      </c>
      <c r="R51" s="19"/>
    </row>
    <row r="52" spans="1:18">
      <c r="A52" s="9">
        <v>51</v>
      </c>
      <c r="B52" s="10" t="s">
        <v>128</v>
      </c>
      <c r="C52" s="11"/>
      <c r="D52" s="10" t="s">
        <v>129</v>
      </c>
      <c r="E52" s="11"/>
      <c r="F52" s="12" t="s">
        <v>130</v>
      </c>
      <c r="G52" s="13">
        <v>1</v>
      </c>
      <c r="H52" s="11" t="s">
        <v>25</v>
      </c>
      <c r="I52" s="14">
        <v>16740</v>
      </c>
      <c r="J52" s="10"/>
      <c r="K52" s="14">
        <v>16740</v>
      </c>
      <c r="L52" s="2" t="s">
        <v>131</v>
      </c>
      <c r="M52" s="16">
        <v>46218</v>
      </c>
      <c r="N52" s="17">
        <v>46227</v>
      </c>
      <c r="O52" s="7">
        <v>46227</v>
      </c>
      <c r="P52" s="18">
        <f t="shared" si="0"/>
        <v>9</v>
      </c>
      <c r="Q52" s="18">
        <f t="shared" si="1"/>
        <v>0</v>
      </c>
      <c r="R52" s="19"/>
    </row>
    <row r="53" spans="1:18">
      <c r="A53" s="9">
        <v>52</v>
      </c>
      <c r="B53" s="10" t="s">
        <v>128</v>
      </c>
      <c r="C53" s="11"/>
      <c r="D53" s="10" t="s">
        <v>129</v>
      </c>
      <c r="E53" s="11"/>
      <c r="F53" s="12" t="s">
        <v>132</v>
      </c>
      <c r="G53" s="13">
        <v>1</v>
      </c>
      <c r="H53" s="11" t="s">
        <v>25</v>
      </c>
      <c r="I53" s="14">
        <v>4880</v>
      </c>
      <c r="J53" s="10"/>
      <c r="K53" s="14">
        <v>4880</v>
      </c>
      <c r="L53" s="2" t="s">
        <v>131</v>
      </c>
      <c r="M53" s="16">
        <v>46218</v>
      </c>
      <c r="N53" s="17">
        <v>46227</v>
      </c>
      <c r="O53" s="7">
        <v>46227</v>
      </c>
      <c r="P53" s="18">
        <f t="shared" si="0"/>
        <v>9</v>
      </c>
      <c r="Q53" s="18">
        <f t="shared" si="1"/>
        <v>0</v>
      </c>
      <c r="R53" s="19"/>
    </row>
    <row r="54" spans="1:18">
      <c r="A54" s="9">
        <v>53</v>
      </c>
      <c r="B54" s="10" t="s">
        <v>128</v>
      </c>
      <c r="C54" s="11"/>
      <c r="D54" s="10" t="s">
        <v>129</v>
      </c>
      <c r="E54" s="11"/>
      <c r="F54" s="12" t="s">
        <v>133</v>
      </c>
      <c r="G54" s="13">
        <v>1</v>
      </c>
      <c r="H54" s="11" t="s">
        <v>25</v>
      </c>
      <c r="I54" s="14">
        <v>2950</v>
      </c>
      <c r="J54" s="10"/>
      <c r="K54" s="14">
        <v>2950</v>
      </c>
      <c r="L54" s="2" t="s">
        <v>131</v>
      </c>
      <c r="M54" s="16">
        <v>46218</v>
      </c>
      <c r="N54" s="17">
        <v>46227</v>
      </c>
      <c r="O54" s="7">
        <v>46227</v>
      </c>
      <c r="P54" s="18">
        <f t="shared" si="0"/>
        <v>9</v>
      </c>
      <c r="Q54" s="18">
        <f t="shared" si="1"/>
        <v>0</v>
      </c>
      <c r="R54" s="19"/>
    </row>
    <row r="55" spans="1:18">
      <c r="A55" s="9">
        <v>54</v>
      </c>
      <c r="B55" s="10" t="s">
        <v>128</v>
      </c>
      <c r="C55" s="11"/>
      <c r="D55" s="10" t="s">
        <v>129</v>
      </c>
      <c r="E55" s="11"/>
      <c r="F55" s="12" t="s">
        <v>134</v>
      </c>
      <c r="G55" s="13">
        <v>1</v>
      </c>
      <c r="H55" s="11" t="s">
        <v>25</v>
      </c>
      <c r="I55" s="14">
        <v>2830</v>
      </c>
      <c r="J55" s="10"/>
      <c r="K55" s="14">
        <v>2830</v>
      </c>
      <c r="L55" s="2" t="s">
        <v>131</v>
      </c>
      <c r="M55" s="16">
        <v>46218</v>
      </c>
      <c r="N55" s="17">
        <v>46227</v>
      </c>
      <c r="O55" s="7">
        <v>46227</v>
      </c>
      <c r="P55" s="18">
        <f t="shared" si="0"/>
        <v>9</v>
      </c>
      <c r="Q55" s="18">
        <f t="shared" si="1"/>
        <v>0</v>
      </c>
      <c r="R55" s="19"/>
    </row>
    <row r="56" spans="1:18">
      <c r="A56" s="9">
        <v>55</v>
      </c>
      <c r="B56" s="10" t="s">
        <v>128</v>
      </c>
      <c r="C56" s="11"/>
      <c r="D56" s="10" t="s">
        <v>129</v>
      </c>
      <c r="E56" s="11"/>
      <c r="F56" s="12" t="s">
        <v>135</v>
      </c>
      <c r="G56" s="13">
        <v>2</v>
      </c>
      <c r="H56" s="11" t="s">
        <v>25</v>
      </c>
      <c r="I56" s="14">
        <v>7440</v>
      </c>
      <c r="J56" s="10"/>
      <c r="K56" s="14">
        <v>14880</v>
      </c>
      <c r="L56" s="2" t="s">
        <v>131</v>
      </c>
      <c r="M56" s="16">
        <v>46218</v>
      </c>
      <c r="N56" s="17">
        <v>46227</v>
      </c>
      <c r="O56" s="7">
        <v>46227</v>
      </c>
      <c r="P56" s="18">
        <f t="shared" si="0"/>
        <v>9</v>
      </c>
      <c r="Q56" s="18">
        <f t="shared" si="1"/>
        <v>0</v>
      </c>
      <c r="R56" s="19"/>
    </row>
    <row r="57" spans="1:18">
      <c r="A57" s="9">
        <v>56</v>
      </c>
      <c r="B57" s="10" t="s">
        <v>128</v>
      </c>
      <c r="C57" s="11"/>
      <c r="D57" s="10" t="s">
        <v>129</v>
      </c>
      <c r="E57" s="11"/>
      <c r="F57" s="12" t="s">
        <v>136</v>
      </c>
      <c r="G57" s="13">
        <v>4</v>
      </c>
      <c r="H57" s="11" t="s">
        <v>25</v>
      </c>
      <c r="I57" s="14">
        <v>880</v>
      </c>
      <c r="J57" s="10"/>
      <c r="K57" s="14">
        <v>3520</v>
      </c>
      <c r="L57" s="2" t="s">
        <v>131</v>
      </c>
      <c r="M57" s="16">
        <v>46218</v>
      </c>
      <c r="N57" s="17">
        <v>46227</v>
      </c>
      <c r="O57" s="7">
        <v>46227</v>
      </c>
      <c r="P57" s="18">
        <f t="shared" si="0"/>
        <v>9</v>
      </c>
      <c r="Q57" s="18">
        <f t="shared" si="1"/>
        <v>0</v>
      </c>
      <c r="R57" s="19"/>
    </row>
    <row r="58" spans="1:18">
      <c r="A58" s="9">
        <v>57</v>
      </c>
      <c r="B58" s="10" t="s">
        <v>128</v>
      </c>
      <c r="C58" s="11"/>
      <c r="D58" s="10" t="s">
        <v>129</v>
      </c>
      <c r="E58" s="11"/>
      <c r="F58" s="12" t="s">
        <v>137</v>
      </c>
      <c r="G58" s="13">
        <v>2</v>
      </c>
      <c r="H58" s="11" t="s">
        <v>25</v>
      </c>
      <c r="I58" s="14">
        <v>6250</v>
      </c>
      <c r="J58" s="10"/>
      <c r="K58" s="14">
        <v>12500</v>
      </c>
      <c r="L58" s="2" t="s">
        <v>131</v>
      </c>
      <c r="M58" s="16">
        <v>46218</v>
      </c>
      <c r="N58" s="17">
        <v>46227</v>
      </c>
      <c r="O58" s="7">
        <v>46227</v>
      </c>
      <c r="P58" s="18">
        <f t="shared" si="0"/>
        <v>9</v>
      </c>
      <c r="Q58" s="18">
        <f t="shared" si="1"/>
        <v>0</v>
      </c>
      <c r="R58" s="19"/>
    </row>
    <row r="59" spans="1:18">
      <c r="A59" s="9">
        <v>58</v>
      </c>
      <c r="B59" s="10" t="s">
        <v>117</v>
      </c>
      <c r="C59" s="11"/>
      <c r="D59" s="10" t="s">
        <v>129</v>
      </c>
      <c r="E59" s="11"/>
      <c r="F59" s="12" t="s">
        <v>138</v>
      </c>
      <c r="G59" s="13">
        <v>3</v>
      </c>
      <c r="H59" s="11" t="s">
        <v>25</v>
      </c>
      <c r="I59" s="14">
        <v>4000</v>
      </c>
      <c r="J59" s="10"/>
      <c r="K59" s="14">
        <v>12000</v>
      </c>
      <c r="L59" s="2" t="s">
        <v>131</v>
      </c>
      <c r="M59" s="16">
        <v>46218</v>
      </c>
      <c r="N59" s="17">
        <v>46227</v>
      </c>
      <c r="O59" s="7">
        <v>46227</v>
      </c>
      <c r="P59" s="18">
        <f t="shared" si="0"/>
        <v>9</v>
      </c>
      <c r="Q59" s="18">
        <f t="shared" si="1"/>
        <v>0</v>
      </c>
      <c r="R59" s="19"/>
    </row>
    <row r="60" spans="1:18">
      <c r="A60" s="9">
        <v>59</v>
      </c>
      <c r="B60" s="10" t="s">
        <v>139</v>
      </c>
      <c r="C60" s="11"/>
      <c r="D60" s="10" t="s">
        <v>140</v>
      </c>
      <c r="E60" s="11"/>
      <c r="F60" s="12" t="s">
        <v>141</v>
      </c>
      <c r="G60" s="13">
        <v>1</v>
      </c>
      <c r="H60" s="11" t="s">
        <v>53</v>
      </c>
      <c r="I60" s="14">
        <v>34170</v>
      </c>
      <c r="J60" s="10"/>
      <c r="K60" s="14">
        <v>34170</v>
      </c>
      <c r="L60" s="2" t="s">
        <v>142</v>
      </c>
      <c r="M60" s="16">
        <v>46212</v>
      </c>
      <c r="N60" s="17">
        <v>46227</v>
      </c>
      <c r="O60" s="7">
        <v>46227</v>
      </c>
      <c r="P60" s="18">
        <f t="shared" si="0"/>
        <v>15</v>
      </c>
      <c r="Q60" s="18">
        <f t="shared" si="1"/>
        <v>0</v>
      </c>
      <c r="R60" s="19"/>
    </row>
    <row r="61" spans="1:18">
      <c r="A61" s="9">
        <v>60</v>
      </c>
      <c r="B61" s="10" t="s">
        <v>128</v>
      </c>
      <c r="C61" s="11"/>
      <c r="D61" s="10" t="s">
        <v>143</v>
      </c>
      <c r="E61" s="11"/>
      <c r="F61" s="12" t="s">
        <v>144</v>
      </c>
      <c r="G61" s="13">
        <v>100</v>
      </c>
      <c r="H61" s="11" t="s">
        <v>145</v>
      </c>
      <c r="I61" s="14">
        <v>18.96</v>
      </c>
      <c r="J61" s="10"/>
      <c r="K61" s="14">
        <v>1896</v>
      </c>
      <c r="L61" s="2" t="s">
        <v>146</v>
      </c>
      <c r="M61" s="16">
        <v>46218</v>
      </c>
      <c r="N61" s="17">
        <v>46227</v>
      </c>
      <c r="O61" s="7">
        <v>46227</v>
      </c>
      <c r="P61" s="18">
        <f t="shared" si="0"/>
        <v>9</v>
      </c>
      <c r="Q61" s="18">
        <f t="shared" si="1"/>
        <v>0</v>
      </c>
      <c r="R61" s="19"/>
    </row>
    <row r="62" spans="1:18">
      <c r="A62" s="9">
        <v>61</v>
      </c>
      <c r="B62" s="10" t="s">
        <v>128</v>
      </c>
      <c r="C62" s="11"/>
      <c r="D62" s="10" t="s">
        <v>143</v>
      </c>
      <c r="E62" s="11"/>
      <c r="F62" s="12" t="s">
        <v>147</v>
      </c>
      <c r="G62" s="13">
        <v>50</v>
      </c>
      <c r="H62" s="11" t="s">
        <v>148</v>
      </c>
      <c r="I62" s="14">
        <v>43.76</v>
      </c>
      <c r="J62" s="10"/>
      <c r="K62" s="14">
        <v>2188</v>
      </c>
      <c r="L62" s="2" t="s">
        <v>146</v>
      </c>
      <c r="M62" s="16">
        <v>46218</v>
      </c>
      <c r="N62" s="17">
        <v>46227</v>
      </c>
      <c r="O62" s="7">
        <v>46227</v>
      </c>
      <c r="P62" s="18">
        <f t="shared" si="0"/>
        <v>9</v>
      </c>
      <c r="Q62" s="18">
        <f t="shared" si="1"/>
        <v>0</v>
      </c>
      <c r="R62" s="19"/>
    </row>
    <row r="63" spans="1:18">
      <c r="A63" s="9">
        <v>62</v>
      </c>
      <c r="B63" s="10" t="s">
        <v>128</v>
      </c>
      <c r="C63" s="11"/>
      <c r="D63" s="10" t="s">
        <v>143</v>
      </c>
      <c r="E63" s="11"/>
      <c r="F63" s="12" t="s">
        <v>149</v>
      </c>
      <c r="G63" s="13">
        <v>40</v>
      </c>
      <c r="H63" s="11" t="s">
        <v>145</v>
      </c>
      <c r="I63" s="14">
        <v>91.3</v>
      </c>
      <c r="J63" s="10"/>
      <c r="K63" s="14">
        <v>3652</v>
      </c>
      <c r="L63" s="2" t="s">
        <v>146</v>
      </c>
      <c r="M63" s="16">
        <v>46218</v>
      </c>
      <c r="N63" s="17">
        <v>46227</v>
      </c>
      <c r="O63" s="7">
        <v>46227</v>
      </c>
      <c r="P63" s="18">
        <f t="shared" si="0"/>
        <v>9</v>
      </c>
      <c r="Q63" s="18">
        <f t="shared" si="1"/>
        <v>0</v>
      </c>
      <c r="R63" s="19"/>
    </row>
    <row r="64" spans="1:18">
      <c r="A64" s="9">
        <v>63</v>
      </c>
      <c r="B64" s="10" t="s">
        <v>128</v>
      </c>
      <c r="C64" s="11"/>
      <c r="D64" s="10" t="s">
        <v>143</v>
      </c>
      <c r="E64" s="11"/>
      <c r="F64" s="12" t="s">
        <v>150</v>
      </c>
      <c r="G64" s="13">
        <v>100</v>
      </c>
      <c r="H64" s="11" t="s">
        <v>145</v>
      </c>
      <c r="I64" s="14">
        <v>16.82</v>
      </c>
      <c r="J64" s="10"/>
      <c r="K64" s="14">
        <v>1682</v>
      </c>
      <c r="L64" s="2" t="s">
        <v>146</v>
      </c>
      <c r="M64" s="16">
        <v>46218</v>
      </c>
      <c r="N64" s="17">
        <v>46227</v>
      </c>
      <c r="O64" s="7">
        <v>46227</v>
      </c>
      <c r="P64" s="18">
        <f t="shared" si="0"/>
        <v>9</v>
      </c>
      <c r="Q64" s="18">
        <f t="shared" si="1"/>
        <v>0</v>
      </c>
      <c r="R64" s="19"/>
    </row>
    <row r="65" spans="1:18">
      <c r="A65" s="9">
        <v>64</v>
      </c>
      <c r="B65" s="10" t="s">
        <v>128</v>
      </c>
      <c r="C65" s="11"/>
      <c r="D65" s="10" t="s">
        <v>143</v>
      </c>
      <c r="E65" s="11"/>
      <c r="F65" s="12" t="s">
        <v>151</v>
      </c>
      <c r="G65" s="13">
        <v>100</v>
      </c>
      <c r="H65" s="11" t="s">
        <v>145</v>
      </c>
      <c r="I65" s="14">
        <v>16.82</v>
      </c>
      <c r="J65" s="10"/>
      <c r="K65" s="14">
        <v>1682</v>
      </c>
      <c r="L65" s="2" t="s">
        <v>146</v>
      </c>
      <c r="M65" s="16">
        <v>46218</v>
      </c>
      <c r="N65" s="17">
        <v>46227</v>
      </c>
      <c r="O65" s="7">
        <v>46227</v>
      </c>
      <c r="P65" s="18">
        <f t="shared" si="0"/>
        <v>9</v>
      </c>
      <c r="Q65" s="18">
        <f t="shared" si="1"/>
        <v>0</v>
      </c>
      <c r="R65" s="19"/>
    </row>
    <row r="66" spans="1:18">
      <c r="A66" s="9">
        <v>65</v>
      </c>
      <c r="B66" s="10" t="s">
        <v>128</v>
      </c>
      <c r="C66" s="11"/>
      <c r="D66" s="10" t="s">
        <v>143</v>
      </c>
      <c r="E66" s="11"/>
      <c r="F66" s="12" t="s">
        <v>152</v>
      </c>
      <c r="G66" s="13">
        <v>100</v>
      </c>
      <c r="H66" s="11" t="s">
        <v>148</v>
      </c>
      <c r="I66" s="14">
        <v>39.24</v>
      </c>
      <c r="J66" s="10"/>
      <c r="K66" s="14">
        <v>3924</v>
      </c>
      <c r="L66" s="2" t="s">
        <v>146</v>
      </c>
      <c r="M66" s="16">
        <v>46218</v>
      </c>
      <c r="N66" s="17">
        <v>46227</v>
      </c>
      <c r="O66" s="7">
        <v>46227</v>
      </c>
      <c r="P66" s="18">
        <f t="shared" ref="P66:P129" si="2">O66-M66</f>
        <v>9</v>
      </c>
      <c r="Q66" s="18">
        <f t="shared" ref="Q66:Q129" si="3">N66-O66</f>
        <v>0</v>
      </c>
      <c r="R66" s="19"/>
    </row>
    <row r="67" spans="1:18">
      <c r="A67" s="9">
        <v>66</v>
      </c>
      <c r="B67" s="10" t="s">
        <v>122</v>
      </c>
      <c r="C67" s="11"/>
      <c r="D67" s="10" t="s">
        <v>153</v>
      </c>
      <c r="E67" s="11"/>
      <c r="F67" s="12" t="s">
        <v>154</v>
      </c>
      <c r="G67" s="13">
        <v>3</v>
      </c>
      <c r="H67" s="11" t="s">
        <v>25</v>
      </c>
      <c r="I67" s="14">
        <v>2450</v>
      </c>
      <c r="J67" s="15">
        <v>3528</v>
      </c>
      <c r="K67" s="14">
        <v>3822</v>
      </c>
      <c r="L67" s="2" t="s">
        <v>155</v>
      </c>
      <c r="M67" s="16">
        <v>46219</v>
      </c>
      <c r="N67" s="17">
        <v>46227</v>
      </c>
      <c r="O67" s="7">
        <v>46227</v>
      </c>
      <c r="P67" s="18">
        <f t="shared" si="2"/>
        <v>8</v>
      </c>
      <c r="Q67" s="18">
        <f t="shared" si="3"/>
        <v>0</v>
      </c>
      <c r="R67" s="19"/>
    </row>
    <row r="68" spans="1:18">
      <c r="A68" s="9">
        <v>67</v>
      </c>
      <c r="B68" s="10" t="s">
        <v>122</v>
      </c>
      <c r="C68" s="11"/>
      <c r="D68" s="10" t="s">
        <v>153</v>
      </c>
      <c r="E68" s="11"/>
      <c r="F68" s="12" t="s">
        <v>156</v>
      </c>
      <c r="G68" s="13">
        <v>3</v>
      </c>
      <c r="H68" s="11" t="s">
        <v>25</v>
      </c>
      <c r="I68" s="14">
        <v>843</v>
      </c>
      <c r="J68" s="15">
        <v>1517.4</v>
      </c>
      <c r="K68" s="14">
        <v>1011.6</v>
      </c>
      <c r="L68" s="2" t="s">
        <v>155</v>
      </c>
      <c r="M68" s="16">
        <v>46219</v>
      </c>
      <c r="N68" s="17">
        <v>46227</v>
      </c>
      <c r="O68" s="7">
        <v>46227</v>
      </c>
      <c r="P68" s="18">
        <f t="shared" si="2"/>
        <v>8</v>
      </c>
      <c r="Q68" s="18">
        <f t="shared" si="3"/>
        <v>0</v>
      </c>
      <c r="R68" s="19"/>
    </row>
    <row r="69" spans="1:18">
      <c r="A69" s="9">
        <v>68</v>
      </c>
      <c r="B69" s="10" t="s">
        <v>122</v>
      </c>
      <c r="C69" s="11"/>
      <c r="D69" s="10" t="s">
        <v>153</v>
      </c>
      <c r="E69" s="11"/>
      <c r="F69" s="12" t="s">
        <v>157</v>
      </c>
      <c r="G69" s="13">
        <v>1</v>
      </c>
      <c r="H69" s="11" t="s">
        <v>25</v>
      </c>
      <c r="I69" s="14">
        <v>843</v>
      </c>
      <c r="J69" s="15">
        <v>505.8</v>
      </c>
      <c r="K69" s="14">
        <v>337.2</v>
      </c>
      <c r="L69" s="2" t="s">
        <v>155</v>
      </c>
      <c r="M69" s="16">
        <v>46219</v>
      </c>
      <c r="N69" s="17">
        <v>46227</v>
      </c>
      <c r="O69" s="7">
        <v>46227</v>
      </c>
      <c r="P69" s="18">
        <f t="shared" si="2"/>
        <v>8</v>
      </c>
      <c r="Q69" s="18">
        <f t="shared" si="3"/>
        <v>0</v>
      </c>
      <c r="R69" s="19"/>
    </row>
    <row r="70" spans="1:18">
      <c r="A70" s="9">
        <v>69</v>
      </c>
      <c r="B70" s="10" t="s">
        <v>122</v>
      </c>
      <c r="C70" s="11"/>
      <c r="D70" s="10" t="s">
        <v>153</v>
      </c>
      <c r="E70" s="11"/>
      <c r="F70" s="12" t="s">
        <v>158</v>
      </c>
      <c r="G70" s="13">
        <v>1</v>
      </c>
      <c r="H70" s="11" t="s">
        <v>25</v>
      </c>
      <c r="I70" s="14">
        <v>2411</v>
      </c>
      <c r="J70" s="15">
        <v>1446.6</v>
      </c>
      <c r="K70" s="14">
        <v>964.4</v>
      </c>
      <c r="L70" s="2" t="s">
        <v>155</v>
      </c>
      <c r="M70" s="16">
        <v>46219</v>
      </c>
      <c r="N70" s="17">
        <v>46227</v>
      </c>
      <c r="O70" s="7">
        <v>46227</v>
      </c>
      <c r="P70" s="18">
        <f t="shared" si="2"/>
        <v>8</v>
      </c>
      <c r="Q70" s="18">
        <f t="shared" si="3"/>
        <v>0</v>
      </c>
      <c r="R70" s="19"/>
    </row>
    <row r="71" spans="1:18">
      <c r="A71" s="9">
        <v>70</v>
      </c>
      <c r="B71" s="10" t="s">
        <v>122</v>
      </c>
      <c r="C71" s="11"/>
      <c r="D71" s="10" t="s">
        <v>153</v>
      </c>
      <c r="E71" s="11"/>
      <c r="F71" s="12" t="s">
        <v>159</v>
      </c>
      <c r="G71" s="13">
        <v>6</v>
      </c>
      <c r="H71" s="11" t="s">
        <v>25</v>
      </c>
      <c r="I71" s="14">
        <v>787</v>
      </c>
      <c r="J71" s="15">
        <v>1180.5</v>
      </c>
      <c r="K71" s="14">
        <v>3541.5</v>
      </c>
      <c r="L71" s="2" t="s">
        <v>155</v>
      </c>
      <c r="M71" s="16">
        <v>46219</v>
      </c>
      <c r="N71" s="17">
        <v>46227</v>
      </c>
      <c r="O71" s="7">
        <v>46227</v>
      </c>
      <c r="P71" s="18">
        <f t="shared" si="2"/>
        <v>8</v>
      </c>
      <c r="Q71" s="18">
        <f t="shared" si="3"/>
        <v>0</v>
      </c>
      <c r="R71" s="19"/>
    </row>
    <row r="72" spans="1:18">
      <c r="A72" s="9">
        <v>71</v>
      </c>
      <c r="B72" s="10" t="s">
        <v>122</v>
      </c>
      <c r="C72" s="11"/>
      <c r="D72" s="10" t="s">
        <v>153</v>
      </c>
      <c r="E72" s="11"/>
      <c r="F72" s="12" t="s">
        <v>160</v>
      </c>
      <c r="G72" s="13">
        <v>4</v>
      </c>
      <c r="H72" s="11" t="s">
        <v>25</v>
      </c>
      <c r="I72" s="14">
        <v>418</v>
      </c>
      <c r="J72" s="15">
        <v>418</v>
      </c>
      <c r="K72" s="14">
        <v>1254</v>
      </c>
      <c r="L72" s="2" t="s">
        <v>155</v>
      </c>
      <c r="M72" s="16">
        <v>46219</v>
      </c>
      <c r="N72" s="17">
        <v>46227</v>
      </c>
      <c r="O72" s="7">
        <v>46227</v>
      </c>
      <c r="P72" s="18">
        <f t="shared" si="2"/>
        <v>8</v>
      </c>
      <c r="Q72" s="18">
        <f t="shared" si="3"/>
        <v>0</v>
      </c>
      <c r="R72" s="19"/>
    </row>
    <row r="73" spans="1:18">
      <c r="A73" s="9">
        <v>72</v>
      </c>
      <c r="B73" s="10" t="s">
        <v>122</v>
      </c>
      <c r="C73" s="11"/>
      <c r="D73" s="10" t="s">
        <v>153</v>
      </c>
      <c r="E73" s="11"/>
      <c r="F73" s="12" t="s">
        <v>161</v>
      </c>
      <c r="G73" s="13">
        <v>10</v>
      </c>
      <c r="H73" s="11" t="s">
        <v>25</v>
      </c>
      <c r="I73" s="14">
        <v>72</v>
      </c>
      <c r="J73" s="15">
        <v>432</v>
      </c>
      <c r="K73" s="14">
        <v>288</v>
      </c>
      <c r="L73" s="2" t="s">
        <v>155</v>
      </c>
      <c r="M73" s="16">
        <v>46219</v>
      </c>
      <c r="N73" s="17">
        <v>46227</v>
      </c>
      <c r="O73" s="7">
        <v>46227</v>
      </c>
      <c r="P73" s="18">
        <f t="shared" si="2"/>
        <v>8</v>
      </c>
      <c r="Q73" s="18">
        <f t="shared" si="3"/>
        <v>0</v>
      </c>
      <c r="R73" s="19"/>
    </row>
    <row r="74" spans="1:18">
      <c r="A74" s="9">
        <v>73</v>
      </c>
      <c r="B74" s="10" t="s">
        <v>122</v>
      </c>
      <c r="C74" s="11"/>
      <c r="D74" s="10" t="s">
        <v>153</v>
      </c>
      <c r="E74" s="11"/>
      <c r="F74" s="12" t="s">
        <v>162</v>
      </c>
      <c r="G74" s="13">
        <v>40</v>
      </c>
      <c r="H74" s="11" t="s">
        <v>145</v>
      </c>
      <c r="I74" s="14">
        <v>182.99</v>
      </c>
      <c r="J74" s="15">
        <v>3147.43</v>
      </c>
      <c r="K74" s="14">
        <v>4172.17</v>
      </c>
      <c r="L74" s="2" t="s">
        <v>155</v>
      </c>
      <c r="M74" s="16">
        <v>46219</v>
      </c>
      <c r="N74" s="17">
        <v>46227</v>
      </c>
      <c r="O74" s="7">
        <v>46227</v>
      </c>
      <c r="P74" s="18">
        <f t="shared" si="2"/>
        <v>8</v>
      </c>
      <c r="Q74" s="18">
        <f t="shared" si="3"/>
        <v>0</v>
      </c>
      <c r="R74" s="19"/>
    </row>
    <row r="75" spans="1:18">
      <c r="A75" s="9">
        <v>74</v>
      </c>
      <c r="B75" s="10" t="s">
        <v>122</v>
      </c>
      <c r="C75" s="11"/>
      <c r="D75" s="10" t="s">
        <v>153</v>
      </c>
      <c r="E75" s="11"/>
      <c r="F75" s="12" t="s">
        <v>163</v>
      </c>
      <c r="G75" s="13">
        <v>50</v>
      </c>
      <c r="H75" s="11" t="s">
        <v>25</v>
      </c>
      <c r="I75" s="14">
        <v>50</v>
      </c>
      <c r="J75" s="15">
        <v>1250</v>
      </c>
      <c r="K75" s="14">
        <v>1250</v>
      </c>
      <c r="L75" s="2" t="s">
        <v>155</v>
      </c>
      <c r="M75" s="16">
        <v>46219</v>
      </c>
      <c r="N75" s="17">
        <v>46227</v>
      </c>
      <c r="O75" s="7">
        <v>46227</v>
      </c>
      <c r="P75" s="18">
        <f t="shared" si="2"/>
        <v>8</v>
      </c>
      <c r="Q75" s="18">
        <f t="shared" si="3"/>
        <v>0</v>
      </c>
      <c r="R75" s="19"/>
    </row>
    <row r="76" spans="1:18">
      <c r="A76" s="9">
        <v>75</v>
      </c>
      <c r="B76" s="10" t="s">
        <v>122</v>
      </c>
      <c r="C76" s="11"/>
      <c r="D76" s="10" t="s">
        <v>153</v>
      </c>
      <c r="E76" s="11"/>
      <c r="F76" s="12" t="s">
        <v>164</v>
      </c>
      <c r="G76" s="13">
        <v>50</v>
      </c>
      <c r="H76" s="11" t="s">
        <v>145</v>
      </c>
      <c r="I76" s="14">
        <v>60</v>
      </c>
      <c r="J76" s="15">
        <v>750</v>
      </c>
      <c r="K76" s="14">
        <v>2250</v>
      </c>
      <c r="L76" s="2" t="s">
        <v>155</v>
      </c>
      <c r="M76" s="16">
        <v>46219</v>
      </c>
      <c r="N76" s="17">
        <v>46227</v>
      </c>
      <c r="O76" s="7">
        <v>46227</v>
      </c>
      <c r="P76" s="18">
        <f t="shared" si="2"/>
        <v>8</v>
      </c>
      <c r="Q76" s="18">
        <f t="shared" si="3"/>
        <v>0</v>
      </c>
      <c r="R76" s="19"/>
    </row>
    <row r="77" spans="1:18">
      <c r="A77" s="9">
        <v>76</v>
      </c>
      <c r="B77" s="10" t="s">
        <v>122</v>
      </c>
      <c r="C77" s="11"/>
      <c r="D77" s="10" t="s">
        <v>153</v>
      </c>
      <c r="E77" s="11"/>
      <c r="F77" s="12" t="s">
        <v>165</v>
      </c>
      <c r="G77" s="13">
        <v>50</v>
      </c>
      <c r="H77" s="11" t="s">
        <v>145</v>
      </c>
      <c r="I77" s="14">
        <v>117.34</v>
      </c>
      <c r="J77" s="15">
        <v>2522.81</v>
      </c>
      <c r="K77" s="14">
        <v>3344.19</v>
      </c>
      <c r="L77" s="2" t="s">
        <v>155</v>
      </c>
      <c r="M77" s="16">
        <v>46219</v>
      </c>
      <c r="N77" s="17">
        <v>46227</v>
      </c>
      <c r="O77" s="7">
        <v>46227</v>
      </c>
      <c r="P77" s="18">
        <f t="shared" si="2"/>
        <v>8</v>
      </c>
      <c r="Q77" s="18">
        <f t="shared" si="3"/>
        <v>0</v>
      </c>
      <c r="R77" s="19"/>
    </row>
    <row r="78" spans="1:18">
      <c r="A78" s="9">
        <v>77</v>
      </c>
      <c r="B78" s="10" t="s">
        <v>122</v>
      </c>
      <c r="C78" s="11"/>
      <c r="D78" s="10" t="s">
        <v>153</v>
      </c>
      <c r="E78" s="11"/>
      <c r="F78" s="12" t="s">
        <v>166</v>
      </c>
      <c r="G78" s="13">
        <v>30</v>
      </c>
      <c r="H78" s="11" t="s">
        <v>145</v>
      </c>
      <c r="I78" s="14">
        <v>382.4</v>
      </c>
      <c r="J78" s="15">
        <v>4932.96</v>
      </c>
      <c r="K78" s="14">
        <v>6539.04</v>
      </c>
      <c r="L78" s="2" t="s">
        <v>155</v>
      </c>
      <c r="M78" s="16">
        <v>46219</v>
      </c>
      <c r="N78" s="17">
        <v>46227</v>
      </c>
      <c r="O78" s="7">
        <v>46227</v>
      </c>
      <c r="P78" s="18">
        <f t="shared" si="2"/>
        <v>8</v>
      </c>
      <c r="Q78" s="18">
        <f t="shared" si="3"/>
        <v>0</v>
      </c>
      <c r="R78" s="19"/>
    </row>
    <row r="79" spans="1:18">
      <c r="A79" s="9">
        <v>78</v>
      </c>
      <c r="B79" s="10" t="s">
        <v>167</v>
      </c>
      <c r="C79" s="11"/>
      <c r="D79" s="10" t="s">
        <v>168</v>
      </c>
      <c r="E79" s="11"/>
      <c r="F79" s="12" t="s">
        <v>169</v>
      </c>
      <c r="G79" s="13">
        <v>2</v>
      </c>
      <c r="H79" s="11" t="s">
        <v>25</v>
      </c>
      <c r="I79" s="14">
        <v>2110</v>
      </c>
      <c r="J79" s="15"/>
      <c r="K79" s="14">
        <v>4220</v>
      </c>
      <c r="L79" s="2" t="s">
        <v>170</v>
      </c>
      <c r="M79" s="16">
        <v>46223</v>
      </c>
      <c r="N79" s="17">
        <v>46230</v>
      </c>
      <c r="O79" s="7">
        <v>46230</v>
      </c>
      <c r="P79" s="18">
        <f t="shared" si="2"/>
        <v>7</v>
      </c>
      <c r="Q79" s="18">
        <f t="shared" si="3"/>
        <v>0</v>
      </c>
      <c r="R79" s="19"/>
    </row>
    <row r="80" spans="1:18">
      <c r="A80" s="9">
        <v>79</v>
      </c>
      <c r="B80" s="10" t="s">
        <v>171</v>
      </c>
      <c r="C80" s="11"/>
      <c r="D80" s="10" t="s">
        <v>172</v>
      </c>
      <c r="E80" s="11"/>
      <c r="F80" s="12" t="s">
        <v>173</v>
      </c>
      <c r="G80" s="13">
        <v>4</v>
      </c>
      <c r="H80" s="11" t="s">
        <v>30</v>
      </c>
      <c r="I80" s="14">
        <v>150.69</v>
      </c>
      <c r="J80" s="10"/>
      <c r="K80" s="14">
        <v>602.76</v>
      </c>
      <c r="L80" s="2" t="s">
        <v>174</v>
      </c>
      <c r="M80" s="16">
        <v>46205</v>
      </c>
      <c r="N80" s="17">
        <v>46211</v>
      </c>
      <c r="O80" s="7">
        <v>46211</v>
      </c>
      <c r="P80" s="18">
        <f t="shared" si="2"/>
        <v>6</v>
      </c>
      <c r="Q80" s="18">
        <f t="shared" si="3"/>
        <v>0</v>
      </c>
      <c r="R80" s="19"/>
    </row>
    <row r="81" spans="1:18">
      <c r="A81" s="9">
        <v>80</v>
      </c>
      <c r="B81" s="10" t="s">
        <v>171</v>
      </c>
      <c r="C81" s="11"/>
      <c r="D81" s="10" t="s">
        <v>172</v>
      </c>
      <c r="E81" s="11"/>
      <c r="F81" s="12" t="s">
        <v>175</v>
      </c>
      <c r="G81" s="13">
        <v>4</v>
      </c>
      <c r="H81" s="11" t="s">
        <v>30</v>
      </c>
      <c r="I81" s="14">
        <v>297.8</v>
      </c>
      <c r="J81" s="10"/>
      <c r="K81" s="14">
        <v>1191.2</v>
      </c>
      <c r="L81" s="2" t="s">
        <v>174</v>
      </c>
      <c r="M81" s="16">
        <v>46205</v>
      </c>
      <c r="N81" s="17">
        <v>46211</v>
      </c>
      <c r="O81" s="7">
        <v>46211</v>
      </c>
      <c r="P81" s="18">
        <f t="shared" si="2"/>
        <v>6</v>
      </c>
      <c r="Q81" s="18">
        <f t="shared" si="3"/>
        <v>0</v>
      </c>
      <c r="R81" s="19"/>
    </row>
    <row r="82" spans="1:18">
      <c r="A82" s="9">
        <v>81</v>
      </c>
      <c r="B82" s="10" t="s">
        <v>171</v>
      </c>
      <c r="C82" s="11"/>
      <c r="D82" s="10" t="s">
        <v>172</v>
      </c>
      <c r="E82" s="11"/>
      <c r="F82" s="12" t="s">
        <v>176</v>
      </c>
      <c r="G82" s="13">
        <v>2</v>
      </c>
      <c r="H82" s="11" t="s">
        <v>30</v>
      </c>
      <c r="I82" s="14">
        <v>290.62</v>
      </c>
      <c r="J82" s="10"/>
      <c r="K82" s="14">
        <v>581.24</v>
      </c>
      <c r="L82" s="2" t="s">
        <v>174</v>
      </c>
      <c r="M82" s="16">
        <v>46205</v>
      </c>
      <c r="N82" s="17">
        <v>46211</v>
      </c>
      <c r="O82" s="7">
        <v>46211</v>
      </c>
      <c r="P82" s="18">
        <f t="shared" si="2"/>
        <v>6</v>
      </c>
      <c r="Q82" s="18">
        <f t="shared" si="3"/>
        <v>0</v>
      </c>
      <c r="R82" s="19"/>
    </row>
    <row r="83" spans="1:18">
      <c r="A83" s="9">
        <v>82</v>
      </c>
      <c r="B83" s="10" t="s">
        <v>171</v>
      </c>
      <c r="C83" s="11"/>
      <c r="D83" s="10" t="s">
        <v>172</v>
      </c>
      <c r="E83" s="11"/>
      <c r="F83" s="12" t="s">
        <v>177</v>
      </c>
      <c r="G83" s="13">
        <v>1</v>
      </c>
      <c r="H83" s="11" t="s">
        <v>30</v>
      </c>
      <c r="I83" s="14">
        <v>269.10000000000002</v>
      </c>
      <c r="J83" s="10"/>
      <c r="K83" s="14">
        <v>269.10000000000002</v>
      </c>
      <c r="L83" s="2" t="s">
        <v>174</v>
      </c>
      <c r="M83" s="16">
        <v>46205</v>
      </c>
      <c r="N83" s="17">
        <v>46211</v>
      </c>
      <c r="O83" s="7">
        <v>46211</v>
      </c>
      <c r="P83" s="18">
        <f t="shared" si="2"/>
        <v>6</v>
      </c>
      <c r="Q83" s="18">
        <f t="shared" si="3"/>
        <v>0</v>
      </c>
      <c r="R83" s="19"/>
    </row>
    <row r="84" spans="1:18">
      <c r="A84" s="9">
        <v>83</v>
      </c>
      <c r="B84" s="10" t="s">
        <v>171</v>
      </c>
      <c r="C84" s="11"/>
      <c r="D84" s="10" t="s">
        <v>172</v>
      </c>
      <c r="E84" s="11"/>
      <c r="F84" s="12" t="s">
        <v>178</v>
      </c>
      <c r="G84" s="13">
        <v>4</v>
      </c>
      <c r="H84" s="11" t="s">
        <v>25</v>
      </c>
      <c r="I84" s="14">
        <v>18.399999999999999</v>
      </c>
      <c r="J84" s="10"/>
      <c r="K84" s="14">
        <v>73.599999999999994</v>
      </c>
      <c r="L84" s="2" t="s">
        <v>174</v>
      </c>
      <c r="M84" s="16">
        <v>46205</v>
      </c>
      <c r="N84" s="17">
        <v>46211</v>
      </c>
      <c r="O84" s="7">
        <v>46211</v>
      </c>
      <c r="P84" s="18">
        <f t="shared" si="2"/>
        <v>6</v>
      </c>
      <c r="Q84" s="18">
        <f t="shared" si="3"/>
        <v>0</v>
      </c>
      <c r="R84" s="19"/>
    </row>
    <row r="85" spans="1:18">
      <c r="A85" s="9">
        <v>84</v>
      </c>
      <c r="B85" s="10" t="s">
        <v>171</v>
      </c>
      <c r="C85" s="11"/>
      <c r="D85" s="10" t="s">
        <v>172</v>
      </c>
      <c r="E85" s="11"/>
      <c r="F85" s="12" t="s">
        <v>179</v>
      </c>
      <c r="G85" s="13">
        <v>22</v>
      </c>
      <c r="H85" s="11" t="s">
        <v>30</v>
      </c>
      <c r="I85" s="14">
        <v>74.7</v>
      </c>
      <c r="J85" s="10"/>
      <c r="K85" s="14">
        <v>1643.4</v>
      </c>
      <c r="L85" s="2" t="s">
        <v>174</v>
      </c>
      <c r="M85" s="16">
        <v>46205</v>
      </c>
      <c r="N85" s="17">
        <v>46211</v>
      </c>
      <c r="O85" s="7">
        <v>46211</v>
      </c>
      <c r="P85" s="18">
        <f t="shared" si="2"/>
        <v>6</v>
      </c>
      <c r="Q85" s="18">
        <f t="shared" si="3"/>
        <v>0</v>
      </c>
      <c r="R85" s="19"/>
    </row>
    <row r="86" spans="1:18">
      <c r="A86" s="9">
        <v>85</v>
      </c>
      <c r="B86" s="10" t="s">
        <v>171</v>
      </c>
      <c r="C86" s="11"/>
      <c r="D86" s="10" t="s">
        <v>172</v>
      </c>
      <c r="E86" s="11"/>
      <c r="F86" s="12" t="s">
        <v>180</v>
      </c>
      <c r="G86" s="13">
        <v>2</v>
      </c>
      <c r="H86" s="11" t="s">
        <v>30</v>
      </c>
      <c r="I86" s="14">
        <v>323.95</v>
      </c>
      <c r="J86" s="10"/>
      <c r="K86" s="14">
        <v>647.9</v>
      </c>
      <c r="L86" s="2" t="s">
        <v>174</v>
      </c>
      <c r="M86" s="16">
        <v>46205</v>
      </c>
      <c r="N86" s="17">
        <v>46211</v>
      </c>
      <c r="O86" s="7">
        <v>46211</v>
      </c>
      <c r="P86" s="18">
        <f t="shared" si="2"/>
        <v>6</v>
      </c>
      <c r="Q86" s="18">
        <f t="shared" si="3"/>
        <v>0</v>
      </c>
      <c r="R86" s="19"/>
    </row>
    <row r="87" spans="1:18">
      <c r="A87" s="9">
        <v>86</v>
      </c>
      <c r="B87" s="10" t="s">
        <v>171</v>
      </c>
      <c r="C87" s="11"/>
      <c r="D87" s="10" t="s">
        <v>172</v>
      </c>
      <c r="E87" s="11"/>
      <c r="F87" s="12" t="s">
        <v>181</v>
      </c>
      <c r="G87" s="13">
        <v>2</v>
      </c>
      <c r="H87" s="11" t="s">
        <v>30</v>
      </c>
      <c r="I87" s="14">
        <v>88.24</v>
      </c>
      <c r="J87" s="10"/>
      <c r="K87" s="14">
        <v>176.48</v>
      </c>
      <c r="L87" s="2" t="s">
        <v>174</v>
      </c>
      <c r="M87" s="16">
        <v>46205</v>
      </c>
      <c r="N87" s="17">
        <v>46211</v>
      </c>
      <c r="O87" s="7">
        <v>46211</v>
      </c>
      <c r="P87" s="18">
        <f t="shared" si="2"/>
        <v>6</v>
      </c>
      <c r="Q87" s="18">
        <f t="shared" si="3"/>
        <v>0</v>
      </c>
      <c r="R87" s="19"/>
    </row>
    <row r="88" spans="1:18">
      <c r="A88" s="9">
        <v>87</v>
      </c>
      <c r="B88" s="10" t="s">
        <v>182</v>
      </c>
      <c r="C88" s="11"/>
      <c r="D88" s="10" t="s">
        <v>183</v>
      </c>
      <c r="E88" s="11"/>
      <c r="F88" s="12" t="s">
        <v>184</v>
      </c>
      <c r="G88" s="13">
        <v>1</v>
      </c>
      <c r="H88" s="11" t="s">
        <v>25</v>
      </c>
      <c r="I88" s="14">
        <v>2600</v>
      </c>
      <c r="J88" s="10"/>
      <c r="K88" s="14">
        <v>2600</v>
      </c>
      <c r="L88" s="2" t="s">
        <v>185</v>
      </c>
      <c r="M88" s="16">
        <v>46195</v>
      </c>
      <c r="N88" s="17">
        <v>46211</v>
      </c>
      <c r="O88" s="7">
        <v>46211</v>
      </c>
      <c r="P88" s="18">
        <f t="shared" si="2"/>
        <v>16</v>
      </c>
      <c r="Q88" s="18">
        <f t="shared" si="3"/>
        <v>0</v>
      </c>
      <c r="R88" s="19"/>
    </row>
    <row r="89" spans="1:18">
      <c r="A89" s="9">
        <v>88</v>
      </c>
      <c r="B89" s="10" t="s">
        <v>186</v>
      </c>
      <c r="C89" s="11"/>
      <c r="D89" s="10" t="s">
        <v>187</v>
      </c>
      <c r="E89" s="11"/>
      <c r="F89" s="12" t="s">
        <v>188</v>
      </c>
      <c r="G89" s="13">
        <v>2</v>
      </c>
      <c r="H89" s="11" t="s">
        <v>25</v>
      </c>
      <c r="I89" s="14">
        <v>2280</v>
      </c>
      <c r="J89" s="15">
        <v>560</v>
      </c>
      <c r="K89" s="14">
        <v>4000</v>
      </c>
      <c r="L89" s="2" t="s">
        <v>189</v>
      </c>
      <c r="M89" s="16">
        <v>46206</v>
      </c>
      <c r="N89" s="17">
        <v>46213</v>
      </c>
      <c r="O89" s="7">
        <v>46213</v>
      </c>
      <c r="P89" s="18">
        <f t="shared" si="2"/>
        <v>7</v>
      </c>
      <c r="Q89" s="18">
        <f t="shared" si="3"/>
        <v>0</v>
      </c>
      <c r="R89" s="19"/>
    </row>
    <row r="90" spans="1:18">
      <c r="A90" s="9">
        <v>89</v>
      </c>
      <c r="B90" s="10" t="s">
        <v>122</v>
      </c>
      <c r="C90" s="11"/>
      <c r="D90" s="10" t="s">
        <v>190</v>
      </c>
      <c r="E90" s="11"/>
      <c r="F90" s="12" t="s">
        <v>191</v>
      </c>
      <c r="G90" s="13">
        <v>1</v>
      </c>
      <c r="H90" s="11" t="s">
        <v>25</v>
      </c>
      <c r="I90" s="14">
        <v>1325</v>
      </c>
      <c r="J90" s="10"/>
      <c r="K90" s="14">
        <v>1325</v>
      </c>
      <c r="L90" s="2" t="s">
        <v>192</v>
      </c>
      <c r="M90" s="16">
        <v>46219</v>
      </c>
      <c r="N90" s="17">
        <v>46226</v>
      </c>
      <c r="O90" s="7">
        <v>46226</v>
      </c>
      <c r="P90" s="18">
        <f t="shared" si="2"/>
        <v>7</v>
      </c>
      <c r="Q90" s="18">
        <f t="shared" si="3"/>
        <v>0</v>
      </c>
      <c r="R90" s="19"/>
    </row>
    <row r="91" spans="1:18">
      <c r="A91" s="9">
        <v>90</v>
      </c>
      <c r="B91" s="10" t="s">
        <v>122</v>
      </c>
      <c r="C91" s="11"/>
      <c r="D91" s="10" t="s">
        <v>190</v>
      </c>
      <c r="E91" s="11"/>
      <c r="F91" s="12" t="s">
        <v>193</v>
      </c>
      <c r="G91" s="13">
        <v>1</v>
      </c>
      <c r="H91" s="11" t="s">
        <v>25</v>
      </c>
      <c r="I91" s="14">
        <v>15800</v>
      </c>
      <c r="J91" s="10"/>
      <c r="K91" s="14">
        <v>15800</v>
      </c>
      <c r="L91" s="2" t="s">
        <v>192</v>
      </c>
      <c r="M91" s="16">
        <v>46219</v>
      </c>
      <c r="N91" s="17">
        <v>46226</v>
      </c>
      <c r="O91" s="7">
        <v>46226</v>
      </c>
      <c r="P91" s="18">
        <f t="shared" si="2"/>
        <v>7</v>
      </c>
      <c r="Q91" s="18">
        <f t="shared" si="3"/>
        <v>0</v>
      </c>
      <c r="R91" s="19"/>
    </row>
    <row r="92" spans="1:18">
      <c r="A92" s="9">
        <v>91</v>
      </c>
      <c r="B92" s="10" t="s">
        <v>122</v>
      </c>
      <c r="C92" s="11"/>
      <c r="D92" s="10" t="s">
        <v>190</v>
      </c>
      <c r="E92" s="11"/>
      <c r="F92" s="12" t="s">
        <v>194</v>
      </c>
      <c r="G92" s="13">
        <v>1</v>
      </c>
      <c r="H92" s="11" t="s">
        <v>25</v>
      </c>
      <c r="I92" s="14">
        <v>927.5</v>
      </c>
      <c r="J92" s="10"/>
      <c r="K92" s="14">
        <v>927.5</v>
      </c>
      <c r="L92" s="2" t="s">
        <v>192</v>
      </c>
      <c r="M92" s="16">
        <v>46219</v>
      </c>
      <c r="N92" s="17">
        <v>46226</v>
      </c>
      <c r="O92" s="7">
        <v>46226</v>
      </c>
      <c r="P92" s="18">
        <f t="shared" si="2"/>
        <v>7</v>
      </c>
      <c r="Q92" s="18">
        <f t="shared" si="3"/>
        <v>0</v>
      </c>
      <c r="R92" s="19"/>
    </row>
    <row r="93" spans="1:18">
      <c r="A93" s="9">
        <v>92</v>
      </c>
      <c r="B93" s="10" t="s">
        <v>122</v>
      </c>
      <c r="C93" s="11"/>
      <c r="D93" s="10" t="s">
        <v>190</v>
      </c>
      <c r="E93" s="11"/>
      <c r="F93" s="12" t="s">
        <v>195</v>
      </c>
      <c r="G93" s="13">
        <v>1</v>
      </c>
      <c r="H93" s="11" t="s">
        <v>25</v>
      </c>
      <c r="I93" s="14">
        <v>4100</v>
      </c>
      <c r="J93" s="10"/>
      <c r="K93" s="14">
        <v>4100</v>
      </c>
      <c r="L93" s="2" t="s">
        <v>192</v>
      </c>
      <c r="M93" s="16">
        <v>46219</v>
      </c>
      <c r="N93" s="17">
        <v>46226</v>
      </c>
      <c r="O93" s="7">
        <v>46226</v>
      </c>
      <c r="P93" s="18">
        <f t="shared" si="2"/>
        <v>7</v>
      </c>
      <c r="Q93" s="18">
        <f t="shared" si="3"/>
        <v>0</v>
      </c>
      <c r="R93" s="19"/>
    </row>
    <row r="94" spans="1:18">
      <c r="A94" s="9">
        <v>93</v>
      </c>
      <c r="B94" s="10" t="s">
        <v>122</v>
      </c>
      <c r="C94" s="11"/>
      <c r="D94" s="10" t="s">
        <v>190</v>
      </c>
      <c r="E94" s="11"/>
      <c r="F94" s="12" t="s">
        <v>196</v>
      </c>
      <c r="G94" s="13">
        <v>2</v>
      </c>
      <c r="H94" s="11" t="s">
        <v>25</v>
      </c>
      <c r="I94" s="14">
        <v>1225</v>
      </c>
      <c r="J94" s="10"/>
      <c r="K94" s="14">
        <v>2450</v>
      </c>
      <c r="L94" s="2" t="s">
        <v>192</v>
      </c>
      <c r="M94" s="16">
        <v>46219</v>
      </c>
      <c r="N94" s="17">
        <v>46226</v>
      </c>
      <c r="O94" s="7">
        <v>46226</v>
      </c>
      <c r="P94" s="18">
        <f t="shared" si="2"/>
        <v>7</v>
      </c>
      <c r="Q94" s="18">
        <f t="shared" si="3"/>
        <v>0</v>
      </c>
      <c r="R94" s="19"/>
    </row>
    <row r="95" spans="1:18">
      <c r="A95" s="9">
        <v>94</v>
      </c>
      <c r="B95" s="10" t="s">
        <v>122</v>
      </c>
      <c r="C95" s="11"/>
      <c r="D95" s="10" t="s">
        <v>190</v>
      </c>
      <c r="E95" s="11"/>
      <c r="F95" s="12" t="s">
        <v>197</v>
      </c>
      <c r="G95" s="13">
        <v>2</v>
      </c>
      <c r="H95" s="11" t="s">
        <v>25</v>
      </c>
      <c r="I95" s="14">
        <v>900</v>
      </c>
      <c r="J95" s="10"/>
      <c r="K95" s="14">
        <v>1800</v>
      </c>
      <c r="L95" s="2" t="s">
        <v>192</v>
      </c>
      <c r="M95" s="16">
        <v>46219</v>
      </c>
      <c r="N95" s="17">
        <v>46226</v>
      </c>
      <c r="O95" s="7">
        <v>46226</v>
      </c>
      <c r="P95" s="18">
        <f t="shared" si="2"/>
        <v>7</v>
      </c>
      <c r="Q95" s="18">
        <f t="shared" si="3"/>
        <v>0</v>
      </c>
      <c r="R95" s="19"/>
    </row>
    <row r="96" spans="1:18">
      <c r="A96" s="9">
        <v>95</v>
      </c>
      <c r="B96" s="10" t="s">
        <v>122</v>
      </c>
      <c r="C96" s="11"/>
      <c r="D96" s="10" t="s">
        <v>190</v>
      </c>
      <c r="E96" s="11"/>
      <c r="F96" s="12" t="s">
        <v>198</v>
      </c>
      <c r="G96" s="13">
        <v>1</v>
      </c>
      <c r="H96" s="11" t="s">
        <v>25</v>
      </c>
      <c r="I96" s="14">
        <v>95.46</v>
      </c>
      <c r="J96" s="10"/>
      <c r="K96" s="14">
        <v>95.46</v>
      </c>
      <c r="L96" s="2" t="s">
        <v>192</v>
      </c>
      <c r="M96" s="16">
        <v>46219</v>
      </c>
      <c r="N96" s="17">
        <v>46226</v>
      </c>
      <c r="O96" s="7">
        <v>46226</v>
      </c>
      <c r="P96" s="18">
        <f t="shared" si="2"/>
        <v>7</v>
      </c>
      <c r="Q96" s="18">
        <f t="shared" si="3"/>
        <v>0</v>
      </c>
      <c r="R96" s="19"/>
    </row>
    <row r="97" spans="1:18">
      <c r="A97" s="9">
        <v>96</v>
      </c>
      <c r="B97" s="10" t="s">
        <v>122</v>
      </c>
      <c r="C97" s="11"/>
      <c r="D97" s="10" t="s">
        <v>190</v>
      </c>
      <c r="E97" s="11"/>
      <c r="F97" s="12" t="s">
        <v>199</v>
      </c>
      <c r="G97" s="13">
        <v>20</v>
      </c>
      <c r="H97" s="11" t="s">
        <v>25</v>
      </c>
      <c r="I97" s="14">
        <v>59.4</v>
      </c>
      <c r="J97" s="10"/>
      <c r="K97" s="14">
        <v>1188</v>
      </c>
      <c r="L97" s="2" t="s">
        <v>192</v>
      </c>
      <c r="M97" s="16">
        <v>46219</v>
      </c>
      <c r="N97" s="17">
        <v>46226</v>
      </c>
      <c r="O97" s="7">
        <v>46226</v>
      </c>
      <c r="P97" s="18">
        <f t="shared" si="2"/>
        <v>7</v>
      </c>
      <c r="Q97" s="18">
        <f t="shared" si="3"/>
        <v>0</v>
      </c>
      <c r="R97" s="19"/>
    </row>
    <row r="98" spans="1:18">
      <c r="A98" s="9">
        <v>97</v>
      </c>
      <c r="B98" s="10" t="s">
        <v>122</v>
      </c>
      <c r="C98" s="11"/>
      <c r="D98" s="10" t="s">
        <v>190</v>
      </c>
      <c r="E98" s="11"/>
      <c r="F98" s="12" t="s">
        <v>200</v>
      </c>
      <c r="G98" s="13">
        <v>50</v>
      </c>
      <c r="H98" s="11" t="s">
        <v>25</v>
      </c>
      <c r="I98" s="14">
        <v>23.31</v>
      </c>
      <c r="J98" s="10"/>
      <c r="K98" s="14">
        <v>1165.5</v>
      </c>
      <c r="L98" s="2" t="s">
        <v>192</v>
      </c>
      <c r="M98" s="16">
        <v>46219</v>
      </c>
      <c r="N98" s="17">
        <v>46226</v>
      </c>
      <c r="O98" s="7">
        <v>46226</v>
      </c>
      <c r="P98" s="18">
        <f t="shared" si="2"/>
        <v>7</v>
      </c>
      <c r="Q98" s="18">
        <f t="shared" si="3"/>
        <v>0</v>
      </c>
      <c r="R98" s="19"/>
    </row>
    <row r="99" spans="1:18">
      <c r="A99" s="9">
        <v>98</v>
      </c>
      <c r="B99" s="10" t="s">
        <v>122</v>
      </c>
      <c r="C99" s="11"/>
      <c r="D99" s="10" t="s">
        <v>190</v>
      </c>
      <c r="E99" s="11"/>
      <c r="F99" s="12" t="s">
        <v>201</v>
      </c>
      <c r="G99" s="13">
        <v>5</v>
      </c>
      <c r="H99" s="11" t="s">
        <v>25</v>
      </c>
      <c r="I99" s="14">
        <v>182.91</v>
      </c>
      <c r="J99" s="10"/>
      <c r="K99" s="14">
        <v>914.55</v>
      </c>
      <c r="L99" s="2" t="s">
        <v>192</v>
      </c>
      <c r="M99" s="16">
        <v>46219</v>
      </c>
      <c r="N99" s="17">
        <v>46226</v>
      </c>
      <c r="O99" s="7">
        <v>46226</v>
      </c>
      <c r="P99" s="18">
        <f t="shared" si="2"/>
        <v>7</v>
      </c>
      <c r="Q99" s="18">
        <f t="shared" si="3"/>
        <v>0</v>
      </c>
      <c r="R99" s="19"/>
    </row>
    <row r="100" spans="1:18">
      <c r="A100" s="9">
        <v>99</v>
      </c>
      <c r="B100" s="10" t="s">
        <v>122</v>
      </c>
      <c r="C100" s="11"/>
      <c r="D100" s="10" t="s">
        <v>190</v>
      </c>
      <c r="E100" s="11"/>
      <c r="F100" s="12" t="s">
        <v>202</v>
      </c>
      <c r="G100" s="13">
        <v>4</v>
      </c>
      <c r="H100" s="11" t="s">
        <v>25</v>
      </c>
      <c r="I100" s="14">
        <v>201.63</v>
      </c>
      <c r="J100" s="10"/>
      <c r="K100" s="14">
        <v>806.52</v>
      </c>
      <c r="L100" s="2" t="s">
        <v>192</v>
      </c>
      <c r="M100" s="16">
        <v>46219</v>
      </c>
      <c r="N100" s="17">
        <v>46226</v>
      </c>
      <c r="O100" s="7">
        <v>46226</v>
      </c>
      <c r="P100" s="18">
        <f t="shared" si="2"/>
        <v>7</v>
      </c>
      <c r="Q100" s="18">
        <f t="shared" si="3"/>
        <v>0</v>
      </c>
      <c r="R100" s="19"/>
    </row>
    <row r="101" spans="1:18">
      <c r="A101" s="9">
        <v>100</v>
      </c>
      <c r="B101" s="10" t="s">
        <v>122</v>
      </c>
      <c r="C101" s="11"/>
      <c r="D101" s="10" t="s">
        <v>190</v>
      </c>
      <c r="E101" s="11"/>
      <c r="F101" s="12" t="s">
        <v>203</v>
      </c>
      <c r="G101" s="13">
        <v>7</v>
      </c>
      <c r="H101" s="11" t="s">
        <v>25</v>
      </c>
      <c r="I101" s="14">
        <v>130</v>
      </c>
      <c r="J101" s="10"/>
      <c r="K101" s="14">
        <v>910</v>
      </c>
      <c r="L101" s="2" t="s">
        <v>192</v>
      </c>
      <c r="M101" s="16">
        <v>46219</v>
      </c>
      <c r="N101" s="17">
        <v>46226</v>
      </c>
      <c r="O101" s="7">
        <v>46226</v>
      </c>
      <c r="P101" s="18">
        <f t="shared" si="2"/>
        <v>7</v>
      </c>
      <c r="Q101" s="18">
        <f t="shared" si="3"/>
        <v>0</v>
      </c>
      <c r="R101" s="19"/>
    </row>
    <row r="102" spans="1:18">
      <c r="A102" s="9">
        <v>101</v>
      </c>
      <c r="B102" s="10" t="s">
        <v>122</v>
      </c>
      <c r="C102" s="11"/>
      <c r="D102" s="10" t="s">
        <v>190</v>
      </c>
      <c r="E102" s="11"/>
      <c r="F102" s="12" t="s">
        <v>204</v>
      </c>
      <c r="G102" s="13">
        <v>7</v>
      </c>
      <c r="H102" s="11" t="s">
        <v>25</v>
      </c>
      <c r="I102" s="14">
        <v>57</v>
      </c>
      <c r="J102" s="10"/>
      <c r="K102" s="14">
        <v>399</v>
      </c>
      <c r="L102" s="2" t="s">
        <v>192</v>
      </c>
      <c r="M102" s="16">
        <v>46219</v>
      </c>
      <c r="N102" s="17">
        <v>46226</v>
      </c>
      <c r="O102" s="7">
        <v>46226</v>
      </c>
      <c r="P102" s="18">
        <f t="shared" si="2"/>
        <v>7</v>
      </c>
      <c r="Q102" s="18">
        <f t="shared" si="3"/>
        <v>0</v>
      </c>
      <c r="R102" s="19"/>
    </row>
    <row r="103" spans="1:18">
      <c r="A103" s="9">
        <v>102</v>
      </c>
      <c r="B103" s="10" t="s">
        <v>122</v>
      </c>
      <c r="C103" s="11"/>
      <c r="D103" s="10" t="s">
        <v>190</v>
      </c>
      <c r="E103" s="11"/>
      <c r="F103" s="12" t="s">
        <v>205</v>
      </c>
      <c r="G103" s="13">
        <v>1</v>
      </c>
      <c r="H103" s="11" t="s">
        <v>25</v>
      </c>
      <c r="I103" s="14">
        <v>1225</v>
      </c>
      <c r="J103" s="10"/>
      <c r="K103" s="14">
        <v>1225</v>
      </c>
      <c r="L103" s="2" t="s">
        <v>192</v>
      </c>
      <c r="M103" s="16">
        <v>46219</v>
      </c>
      <c r="N103" s="17">
        <v>46226</v>
      </c>
      <c r="O103" s="7">
        <v>46226</v>
      </c>
      <c r="P103" s="18">
        <f t="shared" si="2"/>
        <v>7</v>
      </c>
      <c r="Q103" s="18">
        <f t="shared" si="3"/>
        <v>0</v>
      </c>
      <c r="R103" s="19"/>
    </row>
    <row r="104" spans="1:18">
      <c r="A104" s="9">
        <v>103</v>
      </c>
      <c r="B104" s="10" t="s">
        <v>128</v>
      </c>
      <c r="C104" s="11"/>
      <c r="D104" s="10" t="s">
        <v>206</v>
      </c>
      <c r="E104" s="11"/>
      <c r="F104" s="12" t="s">
        <v>207</v>
      </c>
      <c r="G104" s="13">
        <v>10</v>
      </c>
      <c r="H104" s="11" t="s">
        <v>145</v>
      </c>
      <c r="I104" s="14">
        <v>450</v>
      </c>
      <c r="J104" s="15">
        <v>225</v>
      </c>
      <c r="K104" s="14">
        <v>4275</v>
      </c>
      <c r="L104" s="2" t="s">
        <v>208</v>
      </c>
      <c r="M104" s="16">
        <v>46218</v>
      </c>
      <c r="N104" s="17">
        <v>46226</v>
      </c>
      <c r="O104" s="7">
        <v>46226</v>
      </c>
      <c r="P104" s="18">
        <f t="shared" si="2"/>
        <v>8</v>
      </c>
      <c r="Q104" s="18">
        <f t="shared" si="3"/>
        <v>0</v>
      </c>
      <c r="R104" s="19"/>
    </row>
    <row r="105" spans="1:18">
      <c r="A105" s="9">
        <v>104</v>
      </c>
      <c r="B105" s="22" t="s">
        <v>209</v>
      </c>
      <c r="C105" s="23"/>
      <c r="D105" s="22" t="s">
        <v>172</v>
      </c>
      <c r="E105" s="23"/>
      <c r="F105" s="24" t="s">
        <v>210</v>
      </c>
      <c r="G105" s="25">
        <v>1</v>
      </c>
      <c r="H105" s="23" t="s">
        <v>25</v>
      </c>
      <c r="I105" s="26">
        <v>632.5</v>
      </c>
      <c r="J105" s="22"/>
      <c r="K105" s="26">
        <v>632.5</v>
      </c>
      <c r="L105" s="27" t="s">
        <v>211</v>
      </c>
      <c r="M105" s="28">
        <v>46195</v>
      </c>
      <c r="N105" s="17">
        <v>46205</v>
      </c>
      <c r="O105" s="7">
        <v>46205</v>
      </c>
      <c r="P105" s="29">
        <f t="shared" si="2"/>
        <v>10</v>
      </c>
      <c r="Q105" s="29">
        <f t="shared" si="3"/>
        <v>0</v>
      </c>
      <c r="R105" s="19"/>
    </row>
    <row r="106" spans="1:18">
      <c r="A106" s="9">
        <v>105</v>
      </c>
      <c r="B106" s="10" t="s">
        <v>209</v>
      </c>
      <c r="C106" s="11"/>
      <c r="D106" s="10" t="s">
        <v>172</v>
      </c>
      <c r="E106" s="11"/>
      <c r="F106" s="12" t="s">
        <v>212</v>
      </c>
      <c r="G106" s="13">
        <v>1</v>
      </c>
      <c r="H106" s="11" t="s">
        <v>25</v>
      </c>
      <c r="I106" s="14">
        <v>818.75</v>
      </c>
      <c r="J106" s="10"/>
      <c r="K106" s="14">
        <v>818.75</v>
      </c>
      <c r="L106" s="2" t="s">
        <v>211</v>
      </c>
      <c r="M106" s="16">
        <v>46195</v>
      </c>
      <c r="N106" s="17">
        <v>46205</v>
      </c>
      <c r="O106" s="7">
        <v>46205</v>
      </c>
      <c r="P106" s="18">
        <f t="shared" si="2"/>
        <v>10</v>
      </c>
      <c r="Q106" s="18">
        <f t="shared" si="3"/>
        <v>0</v>
      </c>
      <c r="R106" s="19"/>
    </row>
    <row r="107" spans="1:18">
      <c r="A107" s="9">
        <v>106</v>
      </c>
      <c r="B107" s="10" t="s">
        <v>95</v>
      </c>
      <c r="C107" s="11"/>
      <c r="D107" s="10" t="s">
        <v>168</v>
      </c>
      <c r="E107" s="11"/>
      <c r="F107" s="12" t="s">
        <v>213</v>
      </c>
      <c r="G107" s="13">
        <v>1</v>
      </c>
      <c r="H107" s="11" t="s">
        <v>214</v>
      </c>
      <c r="I107" s="14">
        <v>620</v>
      </c>
      <c r="J107" s="10"/>
      <c r="K107" s="14">
        <v>620</v>
      </c>
      <c r="L107" s="2" t="s">
        <v>215</v>
      </c>
      <c r="M107" s="16">
        <v>46203</v>
      </c>
      <c r="N107" s="17">
        <v>46210</v>
      </c>
      <c r="O107" s="7">
        <v>46210</v>
      </c>
      <c r="P107" s="18">
        <f t="shared" si="2"/>
        <v>7</v>
      </c>
      <c r="Q107" s="18">
        <f t="shared" si="3"/>
        <v>0</v>
      </c>
      <c r="R107" s="19"/>
    </row>
    <row r="108" spans="1:18">
      <c r="A108" s="9">
        <v>107</v>
      </c>
      <c r="B108" s="10" t="s">
        <v>95</v>
      </c>
      <c r="C108" s="11"/>
      <c r="D108" s="10" t="s">
        <v>168</v>
      </c>
      <c r="E108" s="11"/>
      <c r="F108" s="12" t="s">
        <v>216</v>
      </c>
      <c r="G108" s="13">
        <v>1</v>
      </c>
      <c r="H108" s="11" t="s">
        <v>214</v>
      </c>
      <c r="I108" s="14">
        <v>720</v>
      </c>
      <c r="J108" s="10"/>
      <c r="K108" s="14">
        <v>720</v>
      </c>
      <c r="L108" s="2" t="s">
        <v>215</v>
      </c>
      <c r="M108" s="16">
        <v>46203</v>
      </c>
      <c r="N108" s="17">
        <v>46210</v>
      </c>
      <c r="O108" s="7">
        <v>46210</v>
      </c>
      <c r="P108" s="18">
        <f t="shared" si="2"/>
        <v>7</v>
      </c>
      <c r="Q108" s="18">
        <f t="shared" si="3"/>
        <v>0</v>
      </c>
      <c r="R108" s="19"/>
    </row>
    <row r="109" spans="1:18">
      <c r="A109" s="9">
        <v>108</v>
      </c>
      <c r="B109" s="10" t="s">
        <v>217</v>
      </c>
      <c r="C109" s="11"/>
      <c r="D109" s="10" t="s">
        <v>172</v>
      </c>
      <c r="E109" s="11"/>
      <c r="F109" s="12" t="s">
        <v>218</v>
      </c>
      <c r="G109" s="13">
        <v>1</v>
      </c>
      <c r="H109" s="11" t="s">
        <v>30</v>
      </c>
      <c r="I109" s="14">
        <v>449.6</v>
      </c>
      <c r="J109" s="10"/>
      <c r="K109" s="14">
        <v>449.6</v>
      </c>
      <c r="L109" s="2" t="s">
        <v>219</v>
      </c>
      <c r="M109" s="16">
        <v>46204</v>
      </c>
      <c r="N109" s="17">
        <v>46210</v>
      </c>
      <c r="O109" s="7">
        <v>46210</v>
      </c>
      <c r="P109" s="18">
        <f t="shared" si="2"/>
        <v>6</v>
      </c>
      <c r="Q109" s="18">
        <f t="shared" si="3"/>
        <v>0</v>
      </c>
      <c r="R109" s="19"/>
    </row>
    <row r="110" spans="1:18">
      <c r="A110" s="9">
        <v>109</v>
      </c>
      <c r="B110" s="10" t="s">
        <v>217</v>
      </c>
      <c r="C110" s="11"/>
      <c r="D110" s="10" t="s">
        <v>172</v>
      </c>
      <c r="E110" s="11"/>
      <c r="F110" s="12" t="s">
        <v>220</v>
      </c>
      <c r="G110" s="13">
        <v>1</v>
      </c>
      <c r="H110" s="11" t="s">
        <v>30</v>
      </c>
      <c r="I110" s="14">
        <v>5928.75</v>
      </c>
      <c r="J110" s="10"/>
      <c r="K110" s="14">
        <v>5928.75</v>
      </c>
      <c r="L110" s="2" t="s">
        <v>219</v>
      </c>
      <c r="M110" s="16">
        <v>46204</v>
      </c>
      <c r="N110" s="17">
        <v>46210</v>
      </c>
      <c r="O110" s="7">
        <v>46210</v>
      </c>
      <c r="P110" s="18">
        <f t="shared" si="2"/>
        <v>6</v>
      </c>
      <c r="Q110" s="18">
        <f t="shared" si="3"/>
        <v>0</v>
      </c>
      <c r="R110" s="19"/>
    </row>
    <row r="111" spans="1:18">
      <c r="A111" s="9">
        <v>110</v>
      </c>
      <c r="B111" s="10" t="s">
        <v>221</v>
      </c>
      <c r="C111" s="11"/>
      <c r="D111" s="10" t="s">
        <v>222</v>
      </c>
      <c r="E111" s="11"/>
      <c r="F111" s="12" t="s">
        <v>223</v>
      </c>
      <c r="G111" s="13">
        <v>11</v>
      </c>
      <c r="H111" s="11" t="s">
        <v>224</v>
      </c>
      <c r="I111" s="14">
        <v>300</v>
      </c>
      <c r="J111" s="10"/>
      <c r="K111" s="14">
        <v>3300</v>
      </c>
      <c r="L111" s="2" t="s">
        <v>225</v>
      </c>
      <c r="M111" s="16">
        <v>46203</v>
      </c>
      <c r="N111" s="17">
        <v>46210</v>
      </c>
      <c r="O111" s="7">
        <v>46210</v>
      </c>
      <c r="P111" s="18">
        <f t="shared" si="2"/>
        <v>7</v>
      </c>
      <c r="Q111" s="18">
        <f t="shared" si="3"/>
        <v>0</v>
      </c>
      <c r="R111" s="19"/>
    </row>
    <row r="112" spans="1:18">
      <c r="A112" s="9">
        <v>111</v>
      </c>
      <c r="B112" s="10" t="s">
        <v>221</v>
      </c>
      <c r="C112" s="11"/>
      <c r="D112" s="10" t="s">
        <v>222</v>
      </c>
      <c r="E112" s="11"/>
      <c r="F112" s="12" t="s">
        <v>226</v>
      </c>
      <c r="G112" s="13">
        <v>1</v>
      </c>
      <c r="H112" s="11" t="s">
        <v>224</v>
      </c>
      <c r="I112" s="14">
        <v>160</v>
      </c>
      <c r="J112" s="10"/>
      <c r="K112" s="14">
        <v>160</v>
      </c>
      <c r="L112" s="2" t="s">
        <v>225</v>
      </c>
      <c r="M112" s="16">
        <v>46203</v>
      </c>
      <c r="N112" s="17">
        <v>46210</v>
      </c>
      <c r="O112" s="7">
        <v>46210</v>
      </c>
      <c r="P112" s="18">
        <f t="shared" si="2"/>
        <v>7</v>
      </c>
      <c r="Q112" s="18">
        <f t="shared" si="3"/>
        <v>0</v>
      </c>
      <c r="R112" s="19"/>
    </row>
    <row r="113" spans="1:18">
      <c r="A113" s="9">
        <v>112</v>
      </c>
      <c r="B113" s="10" t="s">
        <v>221</v>
      </c>
      <c r="C113" s="11"/>
      <c r="D113" s="10" t="s">
        <v>222</v>
      </c>
      <c r="E113" s="11"/>
      <c r="F113" s="12" t="s">
        <v>227</v>
      </c>
      <c r="G113" s="13">
        <v>1</v>
      </c>
      <c r="H113" s="11" t="s">
        <v>25</v>
      </c>
      <c r="I113" s="14">
        <v>5370</v>
      </c>
      <c r="J113" s="10"/>
      <c r="K113" s="14">
        <v>5370</v>
      </c>
      <c r="L113" s="2" t="s">
        <v>225</v>
      </c>
      <c r="M113" s="16">
        <v>46203</v>
      </c>
      <c r="N113" s="17">
        <v>46210</v>
      </c>
      <c r="O113" s="7">
        <v>46210</v>
      </c>
      <c r="P113" s="18">
        <f t="shared" si="2"/>
        <v>7</v>
      </c>
      <c r="Q113" s="18">
        <f t="shared" si="3"/>
        <v>0</v>
      </c>
      <c r="R113" s="19"/>
    </row>
    <row r="114" spans="1:18">
      <c r="A114" s="9">
        <v>113</v>
      </c>
      <c r="B114" s="10" t="s">
        <v>221</v>
      </c>
      <c r="C114" s="11"/>
      <c r="D114" s="10" t="s">
        <v>222</v>
      </c>
      <c r="E114" s="11"/>
      <c r="F114" s="12" t="s">
        <v>228</v>
      </c>
      <c r="G114" s="13">
        <v>1</v>
      </c>
      <c r="H114" s="11" t="s">
        <v>25</v>
      </c>
      <c r="I114" s="14">
        <v>2680</v>
      </c>
      <c r="J114" s="10"/>
      <c r="K114" s="14">
        <v>2680</v>
      </c>
      <c r="L114" s="2" t="s">
        <v>225</v>
      </c>
      <c r="M114" s="16">
        <v>46203</v>
      </c>
      <c r="N114" s="17">
        <v>46210</v>
      </c>
      <c r="O114" s="7">
        <v>46210</v>
      </c>
      <c r="P114" s="18">
        <f t="shared" si="2"/>
        <v>7</v>
      </c>
      <c r="Q114" s="18">
        <f t="shared" si="3"/>
        <v>0</v>
      </c>
      <c r="R114" s="19"/>
    </row>
    <row r="115" spans="1:18">
      <c r="A115" s="9">
        <v>114</v>
      </c>
      <c r="B115" s="10" t="s">
        <v>221</v>
      </c>
      <c r="C115" s="11"/>
      <c r="D115" s="10" t="s">
        <v>222</v>
      </c>
      <c r="E115" s="11"/>
      <c r="F115" s="12" t="s">
        <v>229</v>
      </c>
      <c r="G115" s="13">
        <v>1</v>
      </c>
      <c r="H115" s="11" t="s">
        <v>25</v>
      </c>
      <c r="I115" s="14">
        <v>1540</v>
      </c>
      <c r="J115" s="10"/>
      <c r="K115" s="14">
        <v>1540</v>
      </c>
      <c r="L115" s="2" t="s">
        <v>225</v>
      </c>
      <c r="M115" s="16">
        <v>46203</v>
      </c>
      <c r="N115" s="17">
        <v>46210</v>
      </c>
      <c r="O115" s="7">
        <v>46210</v>
      </c>
      <c r="P115" s="18">
        <f t="shared" si="2"/>
        <v>7</v>
      </c>
      <c r="Q115" s="18">
        <f t="shared" si="3"/>
        <v>0</v>
      </c>
      <c r="R115" s="19"/>
    </row>
    <row r="116" spans="1:18">
      <c r="A116" s="9">
        <v>115</v>
      </c>
      <c r="B116" s="10" t="s">
        <v>221</v>
      </c>
      <c r="C116" s="11"/>
      <c r="D116" s="10" t="s">
        <v>222</v>
      </c>
      <c r="E116" s="11"/>
      <c r="F116" s="12" t="s">
        <v>230</v>
      </c>
      <c r="G116" s="13">
        <v>10</v>
      </c>
      <c r="H116" s="11" t="s">
        <v>25</v>
      </c>
      <c r="I116" s="14">
        <v>840</v>
      </c>
      <c r="J116" s="10"/>
      <c r="K116" s="14">
        <v>8400</v>
      </c>
      <c r="L116" s="2" t="s">
        <v>225</v>
      </c>
      <c r="M116" s="16">
        <v>46203</v>
      </c>
      <c r="N116" s="17">
        <v>46210</v>
      </c>
      <c r="O116" s="7">
        <v>46210</v>
      </c>
      <c r="P116" s="18">
        <f t="shared" si="2"/>
        <v>7</v>
      </c>
      <c r="Q116" s="18">
        <f t="shared" si="3"/>
        <v>0</v>
      </c>
      <c r="R116" s="19"/>
    </row>
    <row r="117" spans="1:18">
      <c r="A117" s="9">
        <v>116</v>
      </c>
      <c r="B117" s="10" t="s">
        <v>231</v>
      </c>
      <c r="C117" s="11"/>
      <c r="D117" s="10" t="s">
        <v>232</v>
      </c>
      <c r="E117" s="11"/>
      <c r="F117" s="12" t="s">
        <v>233</v>
      </c>
      <c r="G117" s="13">
        <v>1</v>
      </c>
      <c r="H117" s="11" t="s">
        <v>25</v>
      </c>
      <c r="I117" s="14">
        <v>660</v>
      </c>
      <c r="J117" s="15"/>
      <c r="K117" s="14">
        <v>660</v>
      </c>
      <c r="L117" s="2" t="s">
        <v>234</v>
      </c>
      <c r="M117" s="16">
        <v>46209</v>
      </c>
      <c r="N117" s="17">
        <v>46217</v>
      </c>
      <c r="O117" s="7">
        <v>46217</v>
      </c>
      <c r="P117" s="18">
        <f t="shared" si="2"/>
        <v>8</v>
      </c>
      <c r="Q117" s="18">
        <f t="shared" si="3"/>
        <v>0</v>
      </c>
      <c r="R117" s="19"/>
    </row>
    <row r="118" spans="1:18">
      <c r="A118" s="9">
        <v>117</v>
      </c>
      <c r="B118" s="10" t="s">
        <v>231</v>
      </c>
      <c r="C118" s="11"/>
      <c r="D118" s="10" t="s">
        <v>232</v>
      </c>
      <c r="E118" s="11"/>
      <c r="F118" s="12" t="s">
        <v>235</v>
      </c>
      <c r="G118" s="13">
        <v>12</v>
      </c>
      <c r="H118" s="11" t="s">
        <v>67</v>
      </c>
      <c r="I118" s="14">
        <v>25</v>
      </c>
      <c r="J118" s="15"/>
      <c r="K118" s="14">
        <v>300</v>
      </c>
      <c r="L118" s="2" t="s">
        <v>234</v>
      </c>
      <c r="M118" s="16">
        <v>46209</v>
      </c>
      <c r="N118" s="17">
        <v>46217</v>
      </c>
      <c r="O118" s="7">
        <v>46217</v>
      </c>
      <c r="P118" s="18">
        <f t="shared" si="2"/>
        <v>8</v>
      </c>
      <c r="Q118" s="18">
        <f t="shared" si="3"/>
        <v>0</v>
      </c>
      <c r="R118" s="19"/>
    </row>
    <row r="119" spans="1:18">
      <c r="A119" s="9">
        <v>118</v>
      </c>
      <c r="B119" s="10" t="s">
        <v>231</v>
      </c>
      <c r="C119" s="11"/>
      <c r="D119" s="10" t="s">
        <v>236</v>
      </c>
      <c r="E119" s="11"/>
      <c r="F119" s="12" t="s">
        <v>237</v>
      </c>
      <c r="G119" s="13">
        <v>5</v>
      </c>
      <c r="H119" s="11" t="s">
        <v>238</v>
      </c>
      <c r="I119" s="14">
        <v>160</v>
      </c>
      <c r="J119" s="10"/>
      <c r="K119" s="14">
        <v>800</v>
      </c>
      <c r="L119" s="2" t="s">
        <v>239</v>
      </c>
      <c r="M119" s="16">
        <v>46209</v>
      </c>
      <c r="N119" s="17">
        <v>46218</v>
      </c>
      <c r="O119" s="7">
        <v>46218</v>
      </c>
      <c r="P119" s="18">
        <f t="shared" si="2"/>
        <v>9</v>
      </c>
      <c r="Q119" s="18">
        <f t="shared" si="3"/>
        <v>0</v>
      </c>
      <c r="R119" s="19"/>
    </row>
    <row r="120" spans="1:18">
      <c r="A120" s="9">
        <v>119</v>
      </c>
      <c r="B120" s="10" t="s">
        <v>231</v>
      </c>
      <c r="C120" s="11"/>
      <c r="D120" s="10" t="s">
        <v>236</v>
      </c>
      <c r="E120" s="11"/>
      <c r="F120" s="12" t="s">
        <v>240</v>
      </c>
      <c r="G120" s="13">
        <v>3</v>
      </c>
      <c r="H120" s="11" t="s">
        <v>238</v>
      </c>
      <c r="I120" s="14">
        <v>95</v>
      </c>
      <c r="J120" s="10"/>
      <c r="K120" s="14">
        <v>285</v>
      </c>
      <c r="L120" s="2" t="s">
        <v>239</v>
      </c>
      <c r="M120" s="16">
        <v>46209</v>
      </c>
      <c r="N120" s="17">
        <v>46218</v>
      </c>
      <c r="O120" s="7">
        <v>46218</v>
      </c>
      <c r="P120" s="18">
        <f t="shared" si="2"/>
        <v>9</v>
      </c>
      <c r="Q120" s="18">
        <f t="shared" si="3"/>
        <v>0</v>
      </c>
      <c r="R120" s="19"/>
    </row>
    <row r="121" spans="1:18">
      <c r="A121" s="9">
        <v>120</v>
      </c>
      <c r="B121" s="10" t="s">
        <v>231</v>
      </c>
      <c r="C121" s="11"/>
      <c r="D121" s="10" t="s">
        <v>236</v>
      </c>
      <c r="E121" s="11"/>
      <c r="F121" s="12" t="s">
        <v>241</v>
      </c>
      <c r="G121" s="13">
        <v>100</v>
      </c>
      <c r="H121" s="11" t="s">
        <v>25</v>
      </c>
      <c r="I121" s="14">
        <v>3.9</v>
      </c>
      <c r="J121" s="10"/>
      <c r="K121" s="14">
        <v>390</v>
      </c>
      <c r="L121" s="2" t="s">
        <v>239</v>
      </c>
      <c r="M121" s="16">
        <v>46209</v>
      </c>
      <c r="N121" s="17">
        <v>46218</v>
      </c>
      <c r="O121" s="7">
        <v>46218</v>
      </c>
      <c r="P121" s="18">
        <f t="shared" si="2"/>
        <v>9</v>
      </c>
      <c r="Q121" s="18">
        <f t="shared" si="3"/>
        <v>0</v>
      </c>
      <c r="R121" s="19"/>
    </row>
    <row r="122" spans="1:18">
      <c r="A122" s="9">
        <v>121</v>
      </c>
      <c r="B122" s="10" t="s">
        <v>231</v>
      </c>
      <c r="C122" s="11"/>
      <c r="D122" s="10" t="s">
        <v>236</v>
      </c>
      <c r="E122" s="11"/>
      <c r="F122" s="12" t="s">
        <v>242</v>
      </c>
      <c r="G122" s="13">
        <v>300</v>
      </c>
      <c r="H122" s="11" t="s">
        <v>25</v>
      </c>
      <c r="I122" s="14">
        <v>1.5</v>
      </c>
      <c r="J122" s="10"/>
      <c r="K122" s="14">
        <v>450</v>
      </c>
      <c r="L122" s="2" t="s">
        <v>239</v>
      </c>
      <c r="M122" s="16">
        <v>46209</v>
      </c>
      <c r="N122" s="17">
        <v>46218</v>
      </c>
      <c r="O122" s="7">
        <v>46218</v>
      </c>
      <c r="P122" s="18">
        <f t="shared" si="2"/>
        <v>9</v>
      </c>
      <c r="Q122" s="18">
        <f t="shared" si="3"/>
        <v>0</v>
      </c>
      <c r="R122" s="19"/>
    </row>
    <row r="123" spans="1:18">
      <c r="A123" s="9">
        <v>122</v>
      </c>
      <c r="B123" s="10" t="s">
        <v>89</v>
      </c>
      <c r="C123" s="11"/>
      <c r="D123" s="10" t="s">
        <v>90</v>
      </c>
      <c r="E123" s="11"/>
      <c r="F123" s="12" t="s">
        <v>243</v>
      </c>
      <c r="G123" s="13">
        <v>4</v>
      </c>
      <c r="H123" s="11" t="s">
        <v>25</v>
      </c>
      <c r="I123" s="14">
        <v>260</v>
      </c>
      <c r="J123" s="10"/>
      <c r="K123" s="14">
        <v>1040</v>
      </c>
      <c r="L123" s="2" t="s">
        <v>92</v>
      </c>
      <c r="M123" s="16">
        <v>46213</v>
      </c>
      <c r="N123" s="17">
        <v>46220</v>
      </c>
      <c r="O123" s="7">
        <v>46220</v>
      </c>
      <c r="P123" s="18">
        <f t="shared" si="2"/>
        <v>7</v>
      </c>
      <c r="Q123" s="18">
        <f t="shared" si="3"/>
        <v>0</v>
      </c>
      <c r="R123" s="19"/>
    </row>
    <row r="124" spans="1:18">
      <c r="A124" s="9">
        <v>123</v>
      </c>
      <c r="B124" s="10" t="s">
        <v>89</v>
      </c>
      <c r="C124" s="11"/>
      <c r="D124" s="10" t="s">
        <v>90</v>
      </c>
      <c r="E124" s="11"/>
      <c r="F124" s="12" t="s">
        <v>244</v>
      </c>
      <c r="G124" s="13">
        <v>8</v>
      </c>
      <c r="H124" s="11" t="s">
        <v>25</v>
      </c>
      <c r="I124" s="14">
        <v>182</v>
      </c>
      <c r="J124" s="10"/>
      <c r="K124" s="14">
        <v>1456</v>
      </c>
      <c r="L124" s="2" t="s">
        <v>92</v>
      </c>
      <c r="M124" s="16">
        <v>46213</v>
      </c>
      <c r="N124" s="17">
        <v>46220</v>
      </c>
      <c r="O124" s="7">
        <v>46220</v>
      </c>
      <c r="P124" s="18">
        <f t="shared" si="2"/>
        <v>7</v>
      </c>
      <c r="Q124" s="18">
        <f t="shared" si="3"/>
        <v>0</v>
      </c>
      <c r="R124" s="19"/>
    </row>
    <row r="125" spans="1:18">
      <c r="A125" s="9">
        <v>124</v>
      </c>
      <c r="B125" s="10" t="s">
        <v>89</v>
      </c>
      <c r="C125" s="11"/>
      <c r="D125" s="10" t="s">
        <v>90</v>
      </c>
      <c r="E125" s="11"/>
      <c r="F125" s="12" t="s">
        <v>245</v>
      </c>
      <c r="G125" s="13">
        <v>4</v>
      </c>
      <c r="H125" s="11" t="s">
        <v>25</v>
      </c>
      <c r="I125" s="14">
        <v>182</v>
      </c>
      <c r="J125" s="10"/>
      <c r="K125" s="14">
        <v>728</v>
      </c>
      <c r="L125" s="2" t="s">
        <v>92</v>
      </c>
      <c r="M125" s="16">
        <v>46213</v>
      </c>
      <c r="N125" s="17">
        <v>46220</v>
      </c>
      <c r="O125" s="7">
        <v>46220</v>
      </c>
      <c r="P125" s="18">
        <f t="shared" si="2"/>
        <v>7</v>
      </c>
      <c r="Q125" s="18">
        <f t="shared" si="3"/>
        <v>0</v>
      </c>
      <c r="R125" s="19"/>
    </row>
    <row r="126" spans="1:18">
      <c r="A126" s="9">
        <v>125</v>
      </c>
      <c r="B126" s="10" t="s">
        <v>246</v>
      </c>
      <c r="C126" s="11"/>
      <c r="D126" s="10" t="s">
        <v>247</v>
      </c>
      <c r="E126" s="11"/>
      <c r="F126" s="12" t="s">
        <v>248</v>
      </c>
      <c r="G126" s="13">
        <v>1</v>
      </c>
      <c r="H126" s="11" t="s">
        <v>25</v>
      </c>
      <c r="I126" s="14">
        <v>11000</v>
      </c>
      <c r="J126" s="10"/>
      <c r="K126" s="14">
        <v>11000</v>
      </c>
      <c r="L126" s="2" t="s">
        <v>249</v>
      </c>
      <c r="M126" s="16">
        <v>46218</v>
      </c>
      <c r="N126" s="17">
        <v>46224</v>
      </c>
      <c r="O126" s="7">
        <v>46224</v>
      </c>
      <c r="P126" s="18">
        <f t="shared" si="2"/>
        <v>6</v>
      </c>
      <c r="Q126" s="18">
        <f t="shared" si="3"/>
        <v>0</v>
      </c>
      <c r="R126" s="19"/>
    </row>
    <row r="127" spans="1:18">
      <c r="A127" s="9">
        <v>126</v>
      </c>
      <c r="B127" s="10" t="s">
        <v>246</v>
      </c>
      <c r="C127" s="11"/>
      <c r="D127" s="10" t="s">
        <v>247</v>
      </c>
      <c r="E127" s="11"/>
      <c r="F127" s="12" t="s">
        <v>250</v>
      </c>
      <c r="G127" s="13">
        <v>1</v>
      </c>
      <c r="H127" s="11" t="s">
        <v>251</v>
      </c>
      <c r="I127" s="14">
        <v>340</v>
      </c>
      <c r="J127" s="10"/>
      <c r="K127" s="14">
        <v>340</v>
      </c>
      <c r="L127" s="2" t="s">
        <v>249</v>
      </c>
      <c r="M127" s="16">
        <v>46218</v>
      </c>
      <c r="N127" s="17">
        <v>46224</v>
      </c>
      <c r="O127" s="7">
        <v>46224</v>
      </c>
      <c r="P127" s="18">
        <f t="shared" si="2"/>
        <v>6</v>
      </c>
      <c r="Q127" s="18">
        <f t="shared" si="3"/>
        <v>0</v>
      </c>
      <c r="R127" s="19"/>
    </row>
    <row r="128" spans="1:18">
      <c r="A128" s="9">
        <v>127</v>
      </c>
      <c r="B128" s="10" t="s">
        <v>246</v>
      </c>
      <c r="C128" s="11"/>
      <c r="D128" s="10" t="s">
        <v>247</v>
      </c>
      <c r="E128" s="11"/>
      <c r="F128" s="12" t="s">
        <v>252</v>
      </c>
      <c r="G128" s="13">
        <v>6</v>
      </c>
      <c r="H128" s="11" t="s">
        <v>25</v>
      </c>
      <c r="I128" s="14">
        <v>11</v>
      </c>
      <c r="J128" s="10"/>
      <c r="K128" s="14">
        <v>66</v>
      </c>
      <c r="L128" s="2" t="s">
        <v>249</v>
      </c>
      <c r="M128" s="16">
        <v>46218</v>
      </c>
      <c r="N128" s="17">
        <v>46224</v>
      </c>
      <c r="O128" s="7">
        <v>46224</v>
      </c>
      <c r="P128" s="18">
        <f t="shared" si="2"/>
        <v>6</v>
      </c>
      <c r="Q128" s="18">
        <f t="shared" si="3"/>
        <v>0</v>
      </c>
      <c r="R128" s="19"/>
    </row>
    <row r="129" spans="1:18">
      <c r="A129" s="9">
        <v>128</v>
      </c>
      <c r="B129" s="10" t="s">
        <v>246</v>
      </c>
      <c r="C129" s="11"/>
      <c r="D129" s="10" t="s">
        <v>247</v>
      </c>
      <c r="E129" s="11"/>
      <c r="F129" s="12" t="s">
        <v>253</v>
      </c>
      <c r="G129" s="13">
        <v>1</v>
      </c>
      <c r="H129" s="11" t="s">
        <v>56</v>
      </c>
      <c r="I129" s="14">
        <v>250</v>
      </c>
      <c r="J129" s="10"/>
      <c r="K129" s="14">
        <v>250</v>
      </c>
      <c r="L129" s="2" t="s">
        <v>249</v>
      </c>
      <c r="M129" s="16">
        <v>46218</v>
      </c>
      <c r="N129" s="17">
        <v>46224</v>
      </c>
      <c r="O129" s="7">
        <v>46224</v>
      </c>
      <c r="P129" s="18">
        <f t="shared" si="2"/>
        <v>6</v>
      </c>
      <c r="Q129" s="18">
        <f t="shared" si="3"/>
        <v>0</v>
      </c>
      <c r="R129" s="19"/>
    </row>
    <row r="130" spans="1:18">
      <c r="A130" s="9">
        <v>129</v>
      </c>
      <c r="B130" s="10" t="s">
        <v>254</v>
      </c>
      <c r="C130" s="11"/>
      <c r="D130" s="10" t="s">
        <v>100</v>
      </c>
      <c r="E130" s="11"/>
      <c r="F130" s="12" t="s">
        <v>255</v>
      </c>
      <c r="G130" s="13">
        <v>25</v>
      </c>
      <c r="H130" s="11" t="s">
        <v>256</v>
      </c>
      <c r="I130" s="14">
        <v>20</v>
      </c>
      <c r="J130" s="15"/>
      <c r="K130" s="14">
        <v>500</v>
      </c>
      <c r="L130" s="2" t="s">
        <v>257</v>
      </c>
      <c r="M130" s="16">
        <v>46223</v>
      </c>
      <c r="N130" s="17">
        <v>46227</v>
      </c>
      <c r="O130" s="7">
        <v>46227</v>
      </c>
      <c r="P130" s="18">
        <f t="shared" ref="P130:P193" si="4">O130-M130</f>
        <v>4</v>
      </c>
      <c r="Q130" s="18">
        <f t="shared" ref="Q130:Q193" si="5">N130-O130</f>
        <v>0</v>
      </c>
      <c r="R130" s="19"/>
    </row>
    <row r="131" spans="1:18">
      <c r="A131" s="9">
        <v>130</v>
      </c>
      <c r="B131" s="10" t="s">
        <v>254</v>
      </c>
      <c r="C131" s="11"/>
      <c r="D131" s="10" t="s">
        <v>258</v>
      </c>
      <c r="E131" s="11"/>
      <c r="F131" s="12" t="s">
        <v>259</v>
      </c>
      <c r="G131" s="13">
        <v>1</v>
      </c>
      <c r="H131" s="11" t="s">
        <v>25</v>
      </c>
      <c r="I131" s="14">
        <v>1000</v>
      </c>
      <c r="J131" s="10"/>
      <c r="K131" s="14">
        <v>1000</v>
      </c>
      <c r="L131" s="2" t="s">
        <v>260</v>
      </c>
      <c r="M131" s="16">
        <v>46219</v>
      </c>
      <c r="N131" s="17">
        <v>46227</v>
      </c>
      <c r="O131" s="7">
        <v>46227</v>
      </c>
      <c r="P131" s="18">
        <f t="shared" si="4"/>
        <v>8</v>
      </c>
      <c r="Q131" s="18">
        <f t="shared" si="5"/>
        <v>0</v>
      </c>
      <c r="R131" s="19"/>
    </row>
    <row r="132" spans="1:18">
      <c r="A132" s="9">
        <v>131</v>
      </c>
      <c r="B132" s="10" t="s">
        <v>103</v>
      </c>
      <c r="C132" s="11"/>
      <c r="D132" s="10" t="s">
        <v>96</v>
      </c>
      <c r="E132" s="11"/>
      <c r="F132" s="12" t="s">
        <v>261</v>
      </c>
      <c r="G132" s="13">
        <v>4</v>
      </c>
      <c r="H132" s="11" t="s">
        <v>214</v>
      </c>
      <c r="I132" s="14">
        <v>30</v>
      </c>
      <c r="J132" s="10"/>
      <c r="K132" s="14">
        <v>120</v>
      </c>
      <c r="L132" s="2" t="s">
        <v>262</v>
      </c>
      <c r="M132" s="16">
        <v>46196</v>
      </c>
      <c r="N132" s="17">
        <v>46204</v>
      </c>
      <c r="O132" s="7">
        <v>46204</v>
      </c>
      <c r="P132" s="18">
        <f t="shared" si="4"/>
        <v>8</v>
      </c>
      <c r="Q132" s="18">
        <f t="shared" si="5"/>
        <v>0</v>
      </c>
    </row>
    <row r="133" spans="1:18">
      <c r="A133" s="9">
        <v>132</v>
      </c>
      <c r="B133" s="10" t="s">
        <v>103</v>
      </c>
      <c r="C133" s="11"/>
      <c r="D133" s="10" t="s">
        <v>96</v>
      </c>
      <c r="E133" s="11"/>
      <c r="F133" s="12" t="s">
        <v>263</v>
      </c>
      <c r="G133" s="13">
        <v>12</v>
      </c>
      <c r="H133" s="11" t="s">
        <v>214</v>
      </c>
      <c r="I133" s="14">
        <v>20</v>
      </c>
      <c r="J133" s="10"/>
      <c r="K133" s="14">
        <v>240</v>
      </c>
      <c r="L133" s="2" t="s">
        <v>262</v>
      </c>
      <c r="M133" s="16">
        <v>46196</v>
      </c>
      <c r="N133" s="17">
        <v>46204</v>
      </c>
      <c r="O133" s="7">
        <v>46204</v>
      </c>
      <c r="P133" s="18">
        <f t="shared" si="4"/>
        <v>8</v>
      </c>
      <c r="Q133" s="18">
        <f t="shared" si="5"/>
        <v>0</v>
      </c>
    </row>
    <row r="134" spans="1:18">
      <c r="A134" s="9">
        <v>133</v>
      </c>
      <c r="B134" s="10" t="s">
        <v>103</v>
      </c>
      <c r="C134" s="11"/>
      <c r="D134" s="10" t="s">
        <v>96</v>
      </c>
      <c r="E134" s="11"/>
      <c r="F134" s="12" t="s">
        <v>264</v>
      </c>
      <c r="G134" s="13">
        <v>4</v>
      </c>
      <c r="H134" s="11" t="s">
        <v>214</v>
      </c>
      <c r="I134" s="14">
        <v>70</v>
      </c>
      <c r="J134" s="10"/>
      <c r="K134" s="14">
        <v>280</v>
      </c>
      <c r="L134" s="2" t="s">
        <v>262</v>
      </c>
      <c r="M134" s="16">
        <v>46196</v>
      </c>
      <c r="N134" s="17">
        <v>46204</v>
      </c>
      <c r="O134" s="7">
        <v>46204</v>
      </c>
      <c r="P134" s="18">
        <f t="shared" si="4"/>
        <v>8</v>
      </c>
      <c r="Q134" s="18">
        <f t="shared" si="5"/>
        <v>0</v>
      </c>
    </row>
    <row r="135" spans="1:18">
      <c r="A135" s="9">
        <v>134</v>
      </c>
      <c r="B135" s="10" t="s">
        <v>103</v>
      </c>
      <c r="C135" s="11"/>
      <c r="D135" s="10" t="s">
        <v>96</v>
      </c>
      <c r="E135" s="11"/>
      <c r="F135" s="12" t="s">
        <v>265</v>
      </c>
      <c r="G135" s="13">
        <v>2</v>
      </c>
      <c r="H135" s="11" t="s">
        <v>214</v>
      </c>
      <c r="I135" s="14">
        <v>90</v>
      </c>
      <c r="J135" s="10"/>
      <c r="K135" s="14">
        <v>180</v>
      </c>
      <c r="L135" s="2" t="s">
        <v>262</v>
      </c>
      <c r="M135" s="16">
        <v>46196</v>
      </c>
      <c r="N135" s="17">
        <v>46204</v>
      </c>
      <c r="O135" s="7">
        <v>46204</v>
      </c>
      <c r="P135" s="18">
        <f t="shared" si="4"/>
        <v>8</v>
      </c>
      <c r="Q135" s="18">
        <f t="shared" si="5"/>
        <v>0</v>
      </c>
    </row>
    <row r="136" spans="1:18">
      <c r="A136" s="9">
        <v>135</v>
      </c>
      <c r="B136" s="10" t="s">
        <v>182</v>
      </c>
      <c r="C136" s="11"/>
      <c r="D136" s="10" t="s">
        <v>190</v>
      </c>
      <c r="E136" s="11"/>
      <c r="F136" s="12" t="s">
        <v>266</v>
      </c>
      <c r="G136" s="13">
        <v>1</v>
      </c>
      <c r="H136" s="11" t="s">
        <v>25</v>
      </c>
      <c r="I136" s="14">
        <v>10900</v>
      </c>
      <c r="J136" s="10"/>
      <c r="K136" s="14">
        <v>10900</v>
      </c>
      <c r="L136" s="2" t="s">
        <v>267</v>
      </c>
      <c r="M136" s="16">
        <v>46195</v>
      </c>
      <c r="N136" s="17">
        <v>46204</v>
      </c>
      <c r="O136" s="7">
        <v>46204</v>
      </c>
      <c r="P136" s="18">
        <f t="shared" si="4"/>
        <v>9</v>
      </c>
      <c r="Q136" s="18">
        <f t="shared" si="5"/>
        <v>0</v>
      </c>
    </row>
    <row r="137" spans="1:18">
      <c r="A137" s="9">
        <v>136</v>
      </c>
      <c r="B137" s="10" t="s">
        <v>182</v>
      </c>
      <c r="C137" s="11"/>
      <c r="D137" s="10" t="s">
        <v>172</v>
      </c>
      <c r="E137" s="11"/>
      <c r="F137" s="12" t="s">
        <v>268</v>
      </c>
      <c r="G137" s="13">
        <v>1</v>
      </c>
      <c r="H137" s="11" t="s">
        <v>25</v>
      </c>
      <c r="I137" s="14">
        <v>3689.5</v>
      </c>
      <c r="J137" s="10"/>
      <c r="K137" s="14">
        <v>3689.5</v>
      </c>
      <c r="L137" s="2" t="s">
        <v>269</v>
      </c>
      <c r="M137" s="16">
        <v>46195</v>
      </c>
      <c r="N137" s="17">
        <v>46204</v>
      </c>
      <c r="O137" s="7">
        <v>46204</v>
      </c>
      <c r="P137" s="18">
        <f t="shared" si="4"/>
        <v>9</v>
      </c>
      <c r="Q137" s="18">
        <f t="shared" si="5"/>
        <v>0</v>
      </c>
    </row>
    <row r="138" spans="1:18">
      <c r="A138" s="9">
        <v>137</v>
      </c>
      <c r="B138" s="10" t="s">
        <v>182</v>
      </c>
      <c r="C138" s="11"/>
      <c r="D138" s="10" t="s">
        <v>206</v>
      </c>
      <c r="E138" s="11"/>
      <c r="F138" s="12" t="s">
        <v>270</v>
      </c>
      <c r="G138" s="13">
        <v>1</v>
      </c>
      <c r="H138" s="11" t="s">
        <v>53</v>
      </c>
      <c r="I138" s="14">
        <v>17000</v>
      </c>
      <c r="J138" s="10"/>
      <c r="K138" s="14">
        <v>17000</v>
      </c>
      <c r="L138" s="2" t="s">
        <v>271</v>
      </c>
      <c r="M138" s="16">
        <v>46195</v>
      </c>
      <c r="N138" s="17">
        <v>46204</v>
      </c>
      <c r="O138" s="7">
        <v>46204</v>
      </c>
      <c r="P138" s="18">
        <f t="shared" si="4"/>
        <v>9</v>
      </c>
      <c r="Q138" s="18">
        <f t="shared" si="5"/>
        <v>0</v>
      </c>
    </row>
    <row r="139" spans="1:18">
      <c r="A139" s="9">
        <v>138</v>
      </c>
      <c r="B139" s="10" t="s">
        <v>182</v>
      </c>
      <c r="C139" s="11"/>
      <c r="D139" s="10" t="s">
        <v>206</v>
      </c>
      <c r="E139" s="11"/>
      <c r="F139" s="12" t="s">
        <v>272</v>
      </c>
      <c r="G139" s="13">
        <v>2</v>
      </c>
      <c r="H139" s="11" t="s">
        <v>53</v>
      </c>
      <c r="I139" s="14">
        <v>9300</v>
      </c>
      <c r="J139" s="10"/>
      <c r="K139" s="14">
        <v>18600</v>
      </c>
      <c r="L139" s="2" t="s">
        <v>271</v>
      </c>
      <c r="M139" s="16">
        <v>46195</v>
      </c>
      <c r="N139" s="17">
        <v>46204</v>
      </c>
      <c r="O139" s="7">
        <v>46204</v>
      </c>
      <c r="P139" s="18">
        <f t="shared" si="4"/>
        <v>9</v>
      </c>
      <c r="Q139" s="18">
        <f t="shared" si="5"/>
        <v>0</v>
      </c>
    </row>
    <row r="140" spans="1:18">
      <c r="A140" s="9">
        <v>139</v>
      </c>
      <c r="B140" s="10" t="s">
        <v>182</v>
      </c>
      <c r="C140" s="11"/>
      <c r="D140" s="10" t="s">
        <v>206</v>
      </c>
      <c r="E140" s="11"/>
      <c r="F140" s="12" t="s">
        <v>273</v>
      </c>
      <c r="G140" s="13">
        <v>1</v>
      </c>
      <c r="H140" s="11" t="s">
        <v>25</v>
      </c>
      <c r="I140" s="14">
        <v>3050</v>
      </c>
      <c r="J140" s="10"/>
      <c r="K140" s="14">
        <v>3050</v>
      </c>
      <c r="L140" s="2" t="s">
        <v>271</v>
      </c>
      <c r="M140" s="16">
        <v>46195</v>
      </c>
      <c r="N140" s="17">
        <v>46204</v>
      </c>
      <c r="O140" s="7">
        <v>46204</v>
      </c>
      <c r="P140" s="18">
        <f t="shared" si="4"/>
        <v>9</v>
      </c>
      <c r="Q140" s="18">
        <f t="shared" si="5"/>
        <v>0</v>
      </c>
    </row>
    <row r="141" spans="1:18">
      <c r="A141" s="9">
        <v>140</v>
      </c>
      <c r="B141" s="10" t="s">
        <v>209</v>
      </c>
      <c r="C141" s="11"/>
      <c r="D141" s="10" t="s">
        <v>274</v>
      </c>
      <c r="E141" s="11"/>
      <c r="F141" s="12" t="s">
        <v>275</v>
      </c>
      <c r="G141" s="13">
        <v>2</v>
      </c>
      <c r="H141" s="11" t="s">
        <v>25</v>
      </c>
      <c r="I141" s="14">
        <v>150</v>
      </c>
      <c r="J141" s="10"/>
      <c r="K141" s="14">
        <v>300</v>
      </c>
      <c r="L141" s="2" t="s">
        <v>276</v>
      </c>
      <c r="M141" s="16">
        <v>46195</v>
      </c>
      <c r="N141" s="17">
        <v>46204</v>
      </c>
      <c r="O141" s="7">
        <v>46204</v>
      </c>
      <c r="P141" s="18">
        <f t="shared" si="4"/>
        <v>9</v>
      </c>
      <c r="Q141" s="18">
        <f t="shared" si="5"/>
        <v>0</v>
      </c>
    </row>
    <row r="142" spans="1:18">
      <c r="A142" s="9">
        <v>141</v>
      </c>
      <c r="B142" s="10" t="s">
        <v>209</v>
      </c>
      <c r="C142" s="11"/>
      <c r="D142" s="10" t="s">
        <v>274</v>
      </c>
      <c r="E142" s="11"/>
      <c r="F142" s="12" t="s">
        <v>277</v>
      </c>
      <c r="G142" s="13">
        <v>2</v>
      </c>
      <c r="H142" s="11" t="s">
        <v>25</v>
      </c>
      <c r="I142" s="14">
        <v>50</v>
      </c>
      <c r="J142" s="10"/>
      <c r="K142" s="14">
        <v>100</v>
      </c>
      <c r="L142" s="2" t="s">
        <v>276</v>
      </c>
      <c r="M142" s="16">
        <v>46195</v>
      </c>
      <c r="N142" s="17">
        <v>46204</v>
      </c>
      <c r="O142" s="7">
        <v>46204</v>
      </c>
      <c r="P142" s="18">
        <f t="shared" si="4"/>
        <v>9</v>
      </c>
      <c r="Q142" s="18">
        <f t="shared" si="5"/>
        <v>0</v>
      </c>
    </row>
    <row r="143" spans="1:18">
      <c r="A143" s="9">
        <v>142</v>
      </c>
      <c r="B143" s="10" t="s">
        <v>209</v>
      </c>
      <c r="C143" s="11"/>
      <c r="D143" s="10" t="s">
        <v>274</v>
      </c>
      <c r="E143" s="11"/>
      <c r="F143" s="12" t="s">
        <v>278</v>
      </c>
      <c r="G143" s="13">
        <v>3</v>
      </c>
      <c r="H143" s="11" t="s">
        <v>25</v>
      </c>
      <c r="I143" s="14">
        <v>910</v>
      </c>
      <c r="J143" s="10"/>
      <c r="K143" s="14">
        <v>2730</v>
      </c>
      <c r="L143" s="2" t="s">
        <v>276</v>
      </c>
      <c r="M143" s="16">
        <v>46195</v>
      </c>
      <c r="N143" s="17">
        <v>46204</v>
      </c>
      <c r="O143" s="7">
        <v>46204</v>
      </c>
      <c r="P143" s="18">
        <f t="shared" si="4"/>
        <v>9</v>
      </c>
      <c r="Q143" s="18">
        <f t="shared" si="5"/>
        <v>0</v>
      </c>
    </row>
    <row r="144" spans="1:18">
      <c r="A144" s="9">
        <v>143</v>
      </c>
      <c r="B144" s="10" t="s">
        <v>182</v>
      </c>
      <c r="C144" s="11"/>
      <c r="D144" s="10" t="s">
        <v>279</v>
      </c>
      <c r="E144" s="11"/>
      <c r="F144" s="12" t="s">
        <v>280</v>
      </c>
      <c r="G144" s="13">
        <v>100</v>
      </c>
      <c r="H144" s="11" t="s">
        <v>145</v>
      </c>
      <c r="I144" s="14">
        <v>15.87</v>
      </c>
      <c r="J144" s="10"/>
      <c r="K144" s="14">
        <v>1587</v>
      </c>
      <c r="L144" s="2" t="s">
        <v>281</v>
      </c>
      <c r="M144" s="16">
        <v>46195</v>
      </c>
      <c r="N144" s="17">
        <v>46205</v>
      </c>
      <c r="O144" s="7">
        <v>46205</v>
      </c>
      <c r="P144" s="18">
        <f t="shared" si="4"/>
        <v>10</v>
      </c>
      <c r="Q144" s="18">
        <f t="shared" si="5"/>
        <v>0</v>
      </c>
    </row>
    <row r="145" spans="1:17">
      <c r="A145" s="9">
        <v>144</v>
      </c>
      <c r="B145" s="10" t="s">
        <v>182</v>
      </c>
      <c r="C145" s="11"/>
      <c r="D145" s="10" t="s">
        <v>279</v>
      </c>
      <c r="E145" s="11"/>
      <c r="F145" s="12" t="s">
        <v>282</v>
      </c>
      <c r="G145" s="13">
        <v>100</v>
      </c>
      <c r="H145" s="11" t="s">
        <v>145</v>
      </c>
      <c r="I145" s="14">
        <v>15.87</v>
      </c>
      <c r="J145" s="10"/>
      <c r="K145" s="14">
        <v>1587</v>
      </c>
      <c r="L145" s="2" t="s">
        <v>281</v>
      </c>
      <c r="M145" s="16">
        <v>46195</v>
      </c>
      <c r="N145" s="17">
        <v>46205</v>
      </c>
      <c r="O145" s="7">
        <v>46205</v>
      </c>
      <c r="P145" s="18">
        <f t="shared" si="4"/>
        <v>10</v>
      </c>
      <c r="Q145" s="18">
        <f t="shared" si="5"/>
        <v>0</v>
      </c>
    </row>
    <row r="146" spans="1:17">
      <c r="A146" s="9">
        <v>145</v>
      </c>
      <c r="B146" s="10" t="s">
        <v>182</v>
      </c>
      <c r="C146" s="11"/>
      <c r="D146" s="10" t="s">
        <v>279</v>
      </c>
      <c r="E146" s="11"/>
      <c r="F146" s="12" t="s">
        <v>283</v>
      </c>
      <c r="G146" s="13">
        <v>100</v>
      </c>
      <c r="H146" s="11" t="s">
        <v>145</v>
      </c>
      <c r="I146" s="14">
        <v>15.87</v>
      </c>
      <c r="J146" s="10"/>
      <c r="K146" s="14">
        <v>1587</v>
      </c>
      <c r="L146" s="2" t="s">
        <v>281</v>
      </c>
      <c r="M146" s="16">
        <v>46195</v>
      </c>
      <c r="N146" s="17">
        <v>46205</v>
      </c>
      <c r="O146" s="7">
        <v>46205</v>
      </c>
      <c r="P146" s="18">
        <f t="shared" si="4"/>
        <v>10</v>
      </c>
      <c r="Q146" s="18">
        <f t="shared" si="5"/>
        <v>0</v>
      </c>
    </row>
    <row r="147" spans="1:17">
      <c r="A147" s="9">
        <v>146</v>
      </c>
      <c r="B147" s="10" t="s">
        <v>182</v>
      </c>
      <c r="C147" s="11"/>
      <c r="D147" s="10" t="s">
        <v>279</v>
      </c>
      <c r="E147" s="11"/>
      <c r="F147" s="12" t="s">
        <v>284</v>
      </c>
      <c r="G147" s="13">
        <v>100</v>
      </c>
      <c r="H147" s="11" t="s">
        <v>145</v>
      </c>
      <c r="I147" s="14">
        <v>15.87</v>
      </c>
      <c r="J147" s="10"/>
      <c r="K147" s="14">
        <v>1587</v>
      </c>
      <c r="L147" s="2" t="s">
        <v>281</v>
      </c>
      <c r="M147" s="16">
        <v>46195</v>
      </c>
      <c r="N147" s="17">
        <v>46205</v>
      </c>
      <c r="O147" s="7">
        <v>46205</v>
      </c>
      <c r="P147" s="18">
        <f t="shared" si="4"/>
        <v>10</v>
      </c>
      <c r="Q147" s="18">
        <f t="shared" si="5"/>
        <v>0</v>
      </c>
    </row>
    <row r="148" spans="1:17">
      <c r="A148" s="9">
        <v>147</v>
      </c>
      <c r="B148" s="10" t="s">
        <v>182</v>
      </c>
      <c r="C148" s="11"/>
      <c r="D148" s="10" t="s">
        <v>279</v>
      </c>
      <c r="E148" s="11"/>
      <c r="F148" s="12" t="s">
        <v>285</v>
      </c>
      <c r="G148" s="13">
        <v>100</v>
      </c>
      <c r="H148" s="11" t="s">
        <v>145</v>
      </c>
      <c r="I148" s="14">
        <v>15.87</v>
      </c>
      <c r="J148" s="10"/>
      <c r="K148" s="14">
        <v>1587</v>
      </c>
      <c r="L148" s="2" t="s">
        <v>281</v>
      </c>
      <c r="M148" s="16">
        <v>46195</v>
      </c>
      <c r="N148" s="17">
        <v>46205</v>
      </c>
      <c r="O148" s="7">
        <v>46205</v>
      </c>
      <c r="P148" s="18">
        <f t="shared" si="4"/>
        <v>10</v>
      </c>
      <c r="Q148" s="18">
        <f t="shared" si="5"/>
        <v>0</v>
      </c>
    </row>
    <row r="149" spans="1:17">
      <c r="A149" s="9">
        <v>148</v>
      </c>
      <c r="B149" s="10" t="s">
        <v>182</v>
      </c>
      <c r="C149" s="11"/>
      <c r="D149" s="10" t="s">
        <v>279</v>
      </c>
      <c r="E149" s="11"/>
      <c r="F149" s="12" t="s">
        <v>286</v>
      </c>
      <c r="G149" s="13">
        <v>100</v>
      </c>
      <c r="H149" s="11" t="s">
        <v>145</v>
      </c>
      <c r="I149" s="14">
        <v>6.98</v>
      </c>
      <c r="J149" s="10"/>
      <c r="K149" s="14">
        <v>698</v>
      </c>
      <c r="L149" s="2" t="s">
        <v>281</v>
      </c>
      <c r="M149" s="16">
        <v>46195</v>
      </c>
      <c r="N149" s="17">
        <v>46205</v>
      </c>
      <c r="O149" s="7">
        <v>46205</v>
      </c>
      <c r="P149" s="18">
        <f t="shared" si="4"/>
        <v>10</v>
      </c>
      <c r="Q149" s="18">
        <f t="shared" si="5"/>
        <v>0</v>
      </c>
    </row>
    <row r="150" spans="1:17">
      <c r="A150" s="9">
        <v>149</v>
      </c>
      <c r="B150" s="10" t="s">
        <v>182</v>
      </c>
      <c r="C150" s="11"/>
      <c r="D150" s="10" t="s">
        <v>279</v>
      </c>
      <c r="E150" s="11"/>
      <c r="F150" s="12" t="s">
        <v>287</v>
      </c>
      <c r="G150" s="13">
        <v>100</v>
      </c>
      <c r="H150" s="11" t="s">
        <v>145</v>
      </c>
      <c r="I150" s="14">
        <v>6.98</v>
      </c>
      <c r="J150" s="10"/>
      <c r="K150" s="14">
        <v>698</v>
      </c>
      <c r="L150" s="2" t="s">
        <v>281</v>
      </c>
      <c r="M150" s="16">
        <v>46195</v>
      </c>
      <c r="N150" s="17">
        <v>46205</v>
      </c>
      <c r="O150" s="7">
        <v>46205</v>
      </c>
      <c r="P150" s="18">
        <f t="shared" si="4"/>
        <v>10</v>
      </c>
      <c r="Q150" s="18">
        <f t="shared" si="5"/>
        <v>0</v>
      </c>
    </row>
    <row r="151" spans="1:17">
      <c r="A151" s="9">
        <v>150</v>
      </c>
      <c r="B151" s="10" t="s">
        <v>182</v>
      </c>
      <c r="C151" s="11"/>
      <c r="D151" s="10" t="s">
        <v>279</v>
      </c>
      <c r="E151" s="11"/>
      <c r="F151" s="12" t="s">
        <v>288</v>
      </c>
      <c r="G151" s="13">
        <v>100</v>
      </c>
      <c r="H151" s="11" t="s">
        <v>145</v>
      </c>
      <c r="I151" s="14">
        <v>3.57</v>
      </c>
      <c r="J151" s="10"/>
      <c r="K151" s="14">
        <v>357</v>
      </c>
      <c r="L151" s="2" t="s">
        <v>281</v>
      </c>
      <c r="M151" s="16">
        <v>46195</v>
      </c>
      <c r="N151" s="17">
        <v>46205</v>
      </c>
      <c r="O151" s="7">
        <v>46205</v>
      </c>
      <c r="P151" s="18">
        <f t="shared" si="4"/>
        <v>10</v>
      </c>
      <c r="Q151" s="18">
        <f t="shared" si="5"/>
        <v>0</v>
      </c>
    </row>
    <row r="152" spans="1:17">
      <c r="A152" s="9">
        <v>151</v>
      </c>
      <c r="B152" s="10" t="s">
        <v>182</v>
      </c>
      <c r="C152" s="11"/>
      <c r="D152" s="10" t="s">
        <v>279</v>
      </c>
      <c r="E152" s="11"/>
      <c r="F152" s="12" t="s">
        <v>289</v>
      </c>
      <c r="G152" s="13">
        <v>100</v>
      </c>
      <c r="H152" s="11" t="s">
        <v>145</v>
      </c>
      <c r="I152" s="14">
        <v>3.57</v>
      </c>
      <c r="J152" s="10"/>
      <c r="K152" s="14">
        <v>357</v>
      </c>
      <c r="L152" s="2" t="s">
        <v>281</v>
      </c>
      <c r="M152" s="16">
        <v>46195</v>
      </c>
      <c r="N152" s="17">
        <v>46205</v>
      </c>
      <c r="O152" s="7">
        <v>46205</v>
      </c>
      <c r="P152" s="18">
        <f t="shared" si="4"/>
        <v>10</v>
      </c>
      <c r="Q152" s="18">
        <f t="shared" si="5"/>
        <v>0</v>
      </c>
    </row>
    <row r="153" spans="1:17">
      <c r="A153" s="9">
        <v>152</v>
      </c>
      <c r="B153" s="10" t="s">
        <v>182</v>
      </c>
      <c r="C153" s="11"/>
      <c r="D153" s="10" t="s">
        <v>279</v>
      </c>
      <c r="E153" s="11"/>
      <c r="F153" s="12" t="s">
        <v>290</v>
      </c>
      <c r="G153" s="13">
        <v>100</v>
      </c>
      <c r="H153" s="11" t="s">
        <v>145</v>
      </c>
      <c r="I153" s="14">
        <v>3.57</v>
      </c>
      <c r="J153" s="10"/>
      <c r="K153" s="14">
        <v>357</v>
      </c>
      <c r="L153" s="2" t="s">
        <v>281</v>
      </c>
      <c r="M153" s="16">
        <v>46195</v>
      </c>
      <c r="N153" s="17">
        <v>46205</v>
      </c>
      <c r="O153" s="7">
        <v>46205</v>
      </c>
      <c r="P153" s="18">
        <f t="shared" si="4"/>
        <v>10</v>
      </c>
      <c r="Q153" s="18">
        <f t="shared" si="5"/>
        <v>0</v>
      </c>
    </row>
    <row r="154" spans="1:17">
      <c r="A154" s="9">
        <v>153</v>
      </c>
      <c r="B154" s="10" t="s">
        <v>182</v>
      </c>
      <c r="C154" s="11"/>
      <c r="D154" s="10" t="s">
        <v>279</v>
      </c>
      <c r="E154" s="11"/>
      <c r="F154" s="12" t="s">
        <v>291</v>
      </c>
      <c r="G154" s="13">
        <v>50</v>
      </c>
      <c r="H154" s="11" t="s">
        <v>145</v>
      </c>
      <c r="I154" s="14">
        <v>86.43</v>
      </c>
      <c r="J154" s="10"/>
      <c r="K154" s="14">
        <v>4321.5</v>
      </c>
      <c r="L154" s="2" t="s">
        <v>281</v>
      </c>
      <c r="M154" s="16">
        <v>46195</v>
      </c>
      <c r="N154" s="17">
        <v>46205</v>
      </c>
      <c r="O154" s="7">
        <v>46205</v>
      </c>
      <c r="P154" s="18">
        <f t="shared" si="4"/>
        <v>10</v>
      </c>
      <c r="Q154" s="18">
        <f t="shared" si="5"/>
        <v>0</v>
      </c>
    </row>
    <row r="155" spans="1:17">
      <c r="A155" s="9">
        <v>154</v>
      </c>
      <c r="B155" s="10" t="s">
        <v>182</v>
      </c>
      <c r="C155" s="11"/>
      <c r="D155" s="10" t="s">
        <v>279</v>
      </c>
      <c r="E155" s="11"/>
      <c r="F155" s="12" t="s">
        <v>292</v>
      </c>
      <c r="G155" s="13">
        <v>50</v>
      </c>
      <c r="H155" s="11" t="s">
        <v>145</v>
      </c>
      <c r="I155" s="14">
        <v>17.96</v>
      </c>
      <c r="J155" s="10"/>
      <c r="K155" s="14">
        <v>898</v>
      </c>
      <c r="L155" s="2" t="s">
        <v>281</v>
      </c>
      <c r="M155" s="16">
        <v>46195</v>
      </c>
      <c r="N155" s="17">
        <v>46205</v>
      </c>
      <c r="O155" s="7">
        <v>46205</v>
      </c>
      <c r="P155" s="18">
        <f t="shared" si="4"/>
        <v>10</v>
      </c>
      <c r="Q155" s="18">
        <f t="shared" si="5"/>
        <v>0</v>
      </c>
    </row>
    <row r="156" spans="1:17">
      <c r="A156" s="9">
        <v>155</v>
      </c>
      <c r="B156" s="10" t="s">
        <v>293</v>
      </c>
      <c r="C156" s="11"/>
      <c r="D156" s="10" t="s">
        <v>294</v>
      </c>
      <c r="E156" s="11"/>
      <c r="F156" s="12" t="s">
        <v>295</v>
      </c>
      <c r="G156" s="13">
        <v>1</v>
      </c>
      <c r="H156" s="11" t="s">
        <v>296</v>
      </c>
      <c r="I156" s="14">
        <v>5500</v>
      </c>
      <c r="J156" s="10"/>
      <c r="K156" s="14">
        <v>5500</v>
      </c>
      <c r="L156" s="2" t="s">
        <v>297</v>
      </c>
      <c r="M156" s="16">
        <v>46192</v>
      </c>
      <c r="N156" s="17">
        <v>46205</v>
      </c>
      <c r="O156" s="7">
        <v>46205</v>
      </c>
      <c r="P156" s="18">
        <f t="shared" si="4"/>
        <v>13</v>
      </c>
      <c r="Q156" s="18">
        <f t="shared" si="5"/>
        <v>0</v>
      </c>
    </row>
    <row r="157" spans="1:17">
      <c r="A157" s="9">
        <v>156</v>
      </c>
      <c r="B157" s="10" t="s">
        <v>298</v>
      </c>
      <c r="C157" s="11"/>
      <c r="D157" s="10" t="s">
        <v>299</v>
      </c>
      <c r="E157" s="11"/>
      <c r="F157" s="12" t="s">
        <v>300</v>
      </c>
      <c r="G157" s="13">
        <v>1</v>
      </c>
      <c r="H157" s="11" t="s">
        <v>53</v>
      </c>
      <c r="I157" s="13">
        <v>160000</v>
      </c>
      <c r="J157" s="15">
        <v>26237.942122186505</v>
      </c>
      <c r="K157" s="13">
        <v>133762.05787781349</v>
      </c>
      <c r="L157" s="2" t="s">
        <v>301</v>
      </c>
      <c r="M157" s="16">
        <v>46056</v>
      </c>
      <c r="N157" s="17">
        <v>46205</v>
      </c>
      <c r="O157" s="7">
        <v>46205</v>
      </c>
      <c r="P157" s="18">
        <f t="shared" si="4"/>
        <v>149</v>
      </c>
      <c r="Q157" s="18">
        <f t="shared" si="5"/>
        <v>0</v>
      </c>
    </row>
    <row r="158" spans="1:17">
      <c r="A158" s="9">
        <v>157</v>
      </c>
      <c r="B158" s="10" t="s">
        <v>298</v>
      </c>
      <c r="C158" s="11"/>
      <c r="D158" s="10" t="s">
        <v>299</v>
      </c>
      <c r="E158" s="11"/>
      <c r="F158" s="12" t="s">
        <v>302</v>
      </c>
      <c r="G158" s="13">
        <v>1</v>
      </c>
      <c r="H158" s="11" t="s">
        <v>53</v>
      </c>
      <c r="I158" s="13">
        <v>185000</v>
      </c>
      <c r="J158" s="15">
        <v>30337.620578778151</v>
      </c>
      <c r="K158" s="13">
        <v>154662.37942122185</v>
      </c>
      <c r="L158" s="2" t="s">
        <v>301</v>
      </c>
      <c r="M158" s="16">
        <v>46056</v>
      </c>
      <c r="N158" s="17">
        <v>46205</v>
      </c>
      <c r="O158" s="7">
        <v>46205</v>
      </c>
      <c r="P158" s="18">
        <f t="shared" si="4"/>
        <v>149</v>
      </c>
      <c r="Q158" s="18">
        <f t="shared" si="5"/>
        <v>0</v>
      </c>
    </row>
    <row r="159" spans="1:17">
      <c r="A159" s="9">
        <v>158</v>
      </c>
      <c r="B159" s="10" t="s">
        <v>298</v>
      </c>
      <c r="C159" s="11"/>
      <c r="D159" s="10" t="s">
        <v>299</v>
      </c>
      <c r="E159" s="11"/>
      <c r="F159" s="12" t="s">
        <v>303</v>
      </c>
      <c r="G159" s="13">
        <v>1</v>
      </c>
      <c r="H159" s="11" t="s">
        <v>53</v>
      </c>
      <c r="I159" s="13">
        <v>85000</v>
      </c>
      <c r="J159" s="15">
        <v>13938.906752411582</v>
      </c>
      <c r="K159" s="13">
        <v>71061.093247588418</v>
      </c>
      <c r="L159" s="2" t="s">
        <v>301</v>
      </c>
      <c r="M159" s="16">
        <v>46056</v>
      </c>
      <c r="N159" s="17">
        <v>46205</v>
      </c>
      <c r="O159" s="7">
        <v>46205</v>
      </c>
      <c r="P159" s="18">
        <f t="shared" si="4"/>
        <v>149</v>
      </c>
      <c r="Q159" s="18">
        <f t="shared" si="5"/>
        <v>0</v>
      </c>
    </row>
    <row r="160" spans="1:17">
      <c r="A160" s="9">
        <v>159</v>
      </c>
      <c r="B160" s="10" t="s">
        <v>298</v>
      </c>
      <c r="C160" s="11"/>
      <c r="D160" s="10" t="s">
        <v>299</v>
      </c>
      <c r="E160" s="11"/>
      <c r="F160" s="12" t="s">
        <v>304</v>
      </c>
      <c r="G160" s="13">
        <v>1</v>
      </c>
      <c r="H160" s="11" t="s">
        <v>53</v>
      </c>
      <c r="I160" s="13">
        <v>75000</v>
      </c>
      <c r="J160" s="15">
        <v>12299.035369774923</v>
      </c>
      <c r="K160" s="13">
        <v>62700.964630225077</v>
      </c>
      <c r="L160" s="2" t="s">
        <v>301</v>
      </c>
      <c r="M160" s="16">
        <v>46056</v>
      </c>
      <c r="N160" s="17">
        <v>46205</v>
      </c>
      <c r="O160" s="7">
        <v>46205</v>
      </c>
      <c r="P160" s="18">
        <f t="shared" si="4"/>
        <v>149</v>
      </c>
      <c r="Q160" s="18">
        <f t="shared" si="5"/>
        <v>0</v>
      </c>
    </row>
    <row r="161" spans="1:17">
      <c r="A161" s="9">
        <v>160</v>
      </c>
      <c r="B161" s="10" t="s">
        <v>298</v>
      </c>
      <c r="C161" s="11"/>
      <c r="D161" s="10" t="s">
        <v>299</v>
      </c>
      <c r="E161" s="11"/>
      <c r="F161" s="12" t="s">
        <v>305</v>
      </c>
      <c r="G161" s="13">
        <v>1</v>
      </c>
      <c r="H161" s="11" t="s">
        <v>53</v>
      </c>
      <c r="I161" s="13">
        <v>285000</v>
      </c>
      <c r="J161" s="15">
        <v>46736.334405144677</v>
      </c>
      <c r="K161" s="13">
        <v>238263.66559485532</v>
      </c>
      <c r="L161" s="2" t="s">
        <v>301</v>
      </c>
      <c r="M161" s="16">
        <v>46056</v>
      </c>
      <c r="N161" s="17">
        <v>46205</v>
      </c>
      <c r="O161" s="7">
        <v>46205</v>
      </c>
      <c r="P161" s="18">
        <f t="shared" si="4"/>
        <v>149</v>
      </c>
      <c r="Q161" s="18">
        <f t="shared" si="5"/>
        <v>0</v>
      </c>
    </row>
    <row r="162" spans="1:17">
      <c r="A162" s="9">
        <v>161</v>
      </c>
      <c r="B162" s="10" t="s">
        <v>298</v>
      </c>
      <c r="C162" s="11"/>
      <c r="D162" s="10" t="s">
        <v>299</v>
      </c>
      <c r="E162" s="11"/>
      <c r="F162" s="12" t="s">
        <v>306</v>
      </c>
      <c r="G162" s="13">
        <v>1</v>
      </c>
      <c r="H162" s="11" t="s">
        <v>53</v>
      </c>
      <c r="I162" s="13">
        <v>395000</v>
      </c>
      <c r="J162" s="15">
        <v>64774.919614147919</v>
      </c>
      <c r="K162" s="13">
        <v>330225.08038585208</v>
      </c>
      <c r="L162" s="2" t="s">
        <v>301</v>
      </c>
      <c r="M162" s="16">
        <v>46056</v>
      </c>
      <c r="N162" s="17">
        <v>46205</v>
      </c>
      <c r="O162" s="7">
        <v>46205</v>
      </c>
      <c r="P162" s="18">
        <f t="shared" si="4"/>
        <v>149</v>
      </c>
      <c r="Q162" s="18">
        <f t="shared" si="5"/>
        <v>0</v>
      </c>
    </row>
    <row r="163" spans="1:17">
      <c r="A163" s="9">
        <v>162</v>
      </c>
      <c r="B163" s="10" t="s">
        <v>298</v>
      </c>
      <c r="C163" s="11"/>
      <c r="D163" s="10" t="s">
        <v>299</v>
      </c>
      <c r="E163" s="11"/>
      <c r="F163" s="12" t="s">
        <v>307</v>
      </c>
      <c r="G163" s="13">
        <v>1</v>
      </c>
      <c r="H163" s="11" t="s">
        <v>53</v>
      </c>
      <c r="I163" s="13">
        <v>285000</v>
      </c>
      <c r="J163" s="15">
        <v>46736.334405144677</v>
      </c>
      <c r="K163" s="13">
        <v>238263.66559485532</v>
      </c>
      <c r="L163" s="2" t="s">
        <v>301</v>
      </c>
      <c r="M163" s="16">
        <v>46056</v>
      </c>
      <c r="N163" s="17">
        <v>46205</v>
      </c>
      <c r="O163" s="7">
        <v>46205</v>
      </c>
      <c r="P163" s="18">
        <f t="shared" si="4"/>
        <v>149</v>
      </c>
      <c r="Q163" s="18">
        <f t="shared" si="5"/>
        <v>0</v>
      </c>
    </row>
    <row r="164" spans="1:17">
      <c r="A164" s="9">
        <v>163</v>
      </c>
      <c r="B164" s="10" t="s">
        <v>298</v>
      </c>
      <c r="C164" s="11"/>
      <c r="D164" s="10" t="s">
        <v>299</v>
      </c>
      <c r="E164" s="11"/>
      <c r="F164" s="12" t="s">
        <v>308</v>
      </c>
      <c r="G164" s="13">
        <v>1</v>
      </c>
      <c r="H164" s="11" t="s">
        <v>53</v>
      </c>
      <c r="I164" s="13">
        <v>85000</v>
      </c>
      <c r="J164" s="15">
        <v>13938.906752411582</v>
      </c>
      <c r="K164" s="13">
        <v>71061.093247588418</v>
      </c>
      <c r="L164" s="2" t="s">
        <v>301</v>
      </c>
      <c r="M164" s="16">
        <v>46056</v>
      </c>
      <c r="N164" s="17">
        <v>46205</v>
      </c>
      <c r="O164" s="7">
        <v>46205</v>
      </c>
      <c r="P164" s="18">
        <f t="shared" si="4"/>
        <v>149</v>
      </c>
      <c r="Q164" s="18">
        <f t="shared" si="5"/>
        <v>0</v>
      </c>
    </row>
    <row r="165" spans="1:17">
      <c r="A165" s="9">
        <v>164</v>
      </c>
      <c r="B165" s="10" t="s">
        <v>298</v>
      </c>
      <c r="C165" s="11"/>
      <c r="D165" s="10" t="s">
        <v>299</v>
      </c>
      <c r="E165" s="11"/>
      <c r="F165" s="12" t="s">
        <v>309</v>
      </c>
      <c r="G165" s="13">
        <v>1</v>
      </c>
      <c r="H165" s="11" t="s">
        <v>53</v>
      </c>
      <c r="I165" s="13">
        <v>80000</v>
      </c>
      <c r="J165" s="15">
        <v>25263.15789473684</v>
      </c>
      <c r="K165" s="13">
        <f>I165-J165</f>
        <v>54736.84210526316</v>
      </c>
      <c r="L165" s="2" t="s">
        <v>310</v>
      </c>
      <c r="M165" s="16">
        <v>46056</v>
      </c>
      <c r="N165" s="17">
        <v>46205</v>
      </c>
      <c r="O165" s="7">
        <v>46205</v>
      </c>
      <c r="P165" s="18">
        <f t="shared" si="4"/>
        <v>149</v>
      </c>
      <c r="Q165" s="18">
        <f t="shared" si="5"/>
        <v>0</v>
      </c>
    </row>
    <row r="166" spans="1:17">
      <c r="A166" s="9">
        <v>165</v>
      </c>
      <c r="B166" s="10" t="s">
        <v>298</v>
      </c>
      <c r="C166" s="11"/>
      <c r="D166" s="10" t="s">
        <v>299</v>
      </c>
      <c r="E166" s="11"/>
      <c r="F166" s="12" t="s">
        <v>311</v>
      </c>
      <c r="G166" s="13">
        <v>1</v>
      </c>
      <c r="H166" s="11" t="s">
        <v>53</v>
      </c>
      <c r="I166" s="13">
        <v>55000</v>
      </c>
      <c r="J166" s="15">
        <v>17368.421052631573</v>
      </c>
      <c r="K166" s="13">
        <f>I166-J166</f>
        <v>37631.578947368427</v>
      </c>
      <c r="L166" s="2" t="s">
        <v>310</v>
      </c>
      <c r="M166" s="16">
        <v>46056</v>
      </c>
      <c r="N166" s="17">
        <v>46205</v>
      </c>
      <c r="O166" s="7">
        <v>46205</v>
      </c>
      <c r="P166" s="18">
        <f t="shared" si="4"/>
        <v>149</v>
      </c>
      <c r="Q166" s="18">
        <f t="shared" si="5"/>
        <v>0</v>
      </c>
    </row>
    <row r="167" spans="1:17">
      <c r="A167" s="9">
        <v>166</v>
      </c>
      <c r="B167" s="10" t="s">
        <v>298</v>
      </c>
      <c r="C167" s="11"/>
      <c r="D167" s="10" t="s">
        <v>299</v>
      </c>
      <c r="E167" s="11"/>
      <c r="F167" s="12" t="s">
        <v>312</v>
      </c>
      <c r="G167" s="13">
        <v>1</v>
      </c>
      <c r="H167" s="11" t="s">
        <v>53</v>
      </c>
      <c r="I167" s="13">
        <v>75000</v>
      </c>
      <c r="J167" s="15">
        <v>23684.210526315786</v>
      </c>
      <c r="K167" s="13">
        <f>I167-J167</f>
        <v>51315.789473684214</v>
      </c>
      <c r="L167" s="2" t="s">
        <v>310</v>
      </c>
      <c r="M167" s="16">
        <v>46056</v>
      </c>
      <c r="N167" s="17">
        <v>46205</v>
      </c>
      <c r="O167" s="7">
        <v>46205</v>
      </c>
      <c r="P167" s="18">
        <f t="shared" si="4"/>
        <v>149</v>
      </c>
      <c r="Q167" s="18">
        <f t="shared" si="5"/>
        <v>0</v>
      </c>
    </row>
    <row r="168" spans="1:17">
      <c r="A168" s="9">
        <v>167</v>
      </c>
      <c r="B168" s="10" t="s">
        <v>298</v>
      </c>
      <c r="C168" s="11"/>
      <c r="D168" s="10" t="s">
        <v>299</v>
      </c>
      <c r="E168" s="11"/>
      <c r="F168" s="12" t="s">
        <v>313</v>
      </c>
      <c r="G168" s="13">
        <v>1</v>
      </c>
      <c r="H168" s="11" t="s">
        <v>53</v>
      </c>
      <c r="I168" s="13">
        <v>75000</v>
      </c>
      <c r="J168" s="15">
        <v>23684.210526315786</v>
      </c>
      <c r="K168" s="13">
        <f>I168-J168</f>
        <v>51315.789473684214</v>
      </c>
      <c r="L168" s="2" t="s">
        <v>310</v>
      </c>
      <c r="M168" s="16">
        <v>46056</v>
      </c>
      <c r="N168" s="17">
        <v>46205</v>
      </c>
      <c r="O168" s="7">
        <v>46205</v>
      </c>
      <c r="P168" s="18">
        <f t="shared" si="4"/>
        <v>149</v>
      </c>
      <c r="Q168" s="18">
        <f t="shared" si="5"/>
        <v>0</v>
      </c>
    </row>
    <row r="169" spans="1:17">
      <c r="A169" s="9">
        <v>168</v>
      </c>
      <c r="B169" s="10" t="s">
        <v>314</v>
      </c>
      <c r="C169" s="11"/>
      <c r="D169" s="10" t="s">
        <v>315</v>
      </c>
      <c r="E169" s="11"/>
      <c r="F169" s="12" t="s">
        <v>316</v>
      </c>
      <c r="G169" s="13">
        <v>2</v>
      </c>
      <c r="H169" s="11" t="s">
        <v>25</v>
      </c>
      <c r="I169" s="14">
        <v>170</v>
      </c>
      <c r="J169" s="10"/>
      <c r="K169" s="14">
        <v>340</v>
      </c>
      <c r="L169" s="2" t="s">
        <v>317</v>
      </c>
      <c r="M169" s="16">
        <v>46205</v>
      </c>
      <c r="N169" s="17">
        <v>46205</v>
      </c>
      <c r="O169" s="7">
        <v>46205</v>
      </c>
      <c r="P169" s="18">
        <f t="shared" si="4"/>
        <v>0</v>
      </c>
      <c r="Q169" s="18">
        <f t="shared" si="5"/>
        <v>0</v>
      </c>
    </row>
    <row r="170" spans="1:17">
      <c r="A170" s="9">
        <v>169</v>
      </c>
      <c r="B170" s="10" t="s">
        <v>314</v>
      </c>
      <c r="C170" s="11"/>
      <c r="D170" s="10" t="s">
        <v>315</v>
      </c>
      <c r="E170" s="11"/>
      <c r="F170" s="12" t="s">
        <v>318</v>
      </c>
      <c r="G170" s="13">
        <v>2</v>
      </c>
      <c r="H170" s="11" t="s">
        <v>25</v>
      </c>
      <c r="I170" s="14">
        <v>350</v>
      </c>
      <c r="J170" s="10"/>
      <c r="K170" s="14">
        <v>700</v>
      </c>
      <c r="L170" s="2" t="s">
        <v>317</v>
      </c>
      <c r="M170" s="16">
        <v>46205</v>
      </c>
      <c r="N170" s="17">
        <v>46205</v>
      </c>
      <c r="O170" s="7">
        <v>46205</v>
      </c>
      <c r="P170" s="18">
        <f t="shared" si="4"/>
        <v>0</v>
      </c>
      <c r="Q170" s="18">
        <f t="shared" si="5"/>
        <v>0</v>
      </c>
    </row>
    <row r="171" spans="1:17">
      <c r="A171" s="9">
        <v>170</v>
      </c>
      <c r="B171" s="10" t="s">
        <v>103</v>
      </c>
      <c r="C171" s="11"/>
      <c r="D171" s="10" t="s">
        <v>187</v>
      </c>
      <c r="E171" s="11"/>
      <c r="F171" s="12" t="s">
        <v>319</v>
      </c>
      <c r="G171" s="13">
        <v>1</v>
      </c>
      <c r="H171" s="11" t="s">
        <v>25</v>
      </c>
      <c r="I171" s="14">
        <v>38100</v>
      </c>
      <c r="J171" s="15">
        <v>1143</v>
      </c>
      <c r="K171" s="14">
        <v>36957</v>
      </c>
      <c r="L171" s="2" t="s">
        <v>320</v>
      </c>
      <c r="M171" s="16">
        <v>46196</v>
      </c>
      <c r="N171" s="17">
        <v>46206</v>
      </c>
      <c r="O171" s="7">
        <v>46206</v>
      </c>
      <c r="P171" s="18">
        <f t="shared" si="4"/>
        <v>10</v>
      </c>
      <c r="Q171" s="18">
        <f t="shared" si="5"/>
        <v>0</v>
      </c>
    </row>
    <row r="172" spans="1:17">
      <c r="A172" s="9">
        <v>171</v>
      </c>
      <c r="B172" s="10" t="s">
        <v>103</v>
      </c>
      <c r="C172" s="11"/>
      <c r="D172" s="10" t="s">
        <v>187</v>
      </c>
      <c r="E172" s="11"/>
      <c r="F172" s="12" t="s">
        <v>321</v>
      </c>
      <c r="G172" s="13">
        <v>2</v>
      </c>
      <c r="H172" s="11" t="s">
        <v>25</v>
      </c>
      <c r="I172" s="14">
        <v>2380</v>
      </c>
      <c r="J172" s="15">
        <v>238</v>
      </c>
      <c r="K172" s="14">
        <v>4522</v>
      </c>
      <c r="L172" s="2" t="s">
        <v>320</v>
      </c>
      <c r="M172" s="16">
        <v>46196</v>
      </c>
      <c r="N172" s="17">
        <v>46206</v>
      </c>
      <c r="O172" s="7">
        <v>46206</v>
      </c>
      <c r="P172" s="18">
        <f t="shared" si="4"/>
        <v>10</v>
      </c>
      <c r="Q172" s="18">
        <f t="shared" si="5"/>
        <v>0</v>
      </c>
    </row>
    <row r="173" spans="1:17">
      <c r="A173" s="9">
        <v>172</v>
      </c>
      <c r="B173" s="10" t="s">
        <v>103</v>
      </c>
      <c r="C173" s="11"/>
      <c r="D173" s="10" t="s">
        <v>187</v>
      </c>
      <c r="E173" s="11"/>
      <c r="F173" s="12" t="s">
        <v>322</v>
      </c>
      <c r="G173" s="13">
        <v>4</v>
      </c>
      <c r="H173" s="11" t="s">
        <v>25</v>
      </c>
      <c r="I173" s="14">
        <v>2980</v>
      </c>
      <c r="J173" s="15">
        <v>596</v>
      </c>
      <c r="K173" s="14">
        <v>11324</v>
      </c>
      <c r="L173" s="2" t="s">
        <v>320</v>
      </c>
      <c r="M173" s="16">
        <v>46196</v>
      </c>
      <c r="N173" s="17">
        <v>46206</v>
      </c>
      <c r="O173" s="7">
        <v>46206</v>
      </c>
      <c r="P173" s="18">
        <f t="shared" si="4"/>
        <v>10</v>
      </c>
      <c r="Q173" s="18">
        <f t="shared" si="5"/>
        <v>0</v>
      </c>
    </row>
    <row r="174" spans="1:17">
      <c r="A174" s="9">
        <v>173</v>
      </c>
      <c r="B174" s="10" t="s">
        <v>323</v>
      </c>
      <c r="C174" s="11"/>
      <c r="D174" s="10" t="s">
        <v>172</v>
      </c>
      <c r="E174" s="11"/>
      <c r="F174" s="12" t="s">
        <v>324</v>
      </c>
      <c r="G174" s="13">
        <v>4</v>
      </c>
      <c r="H174" s="11" t="s">
        <v>30</v>
      </c>
      <c r="I174" s="14">
        <v>328.78</v>
      </c>
      <c r="J174" s="10"/>
      <c r="K174" s="14">
        <v>1315.12</v>
      </c>
      <c r="L174" s="2" t="s">
        <v>325</v>
      </c>
      <c r="M174" s="16">
        <v>46206</v>
      </c>
      <c r="N174" s="17">
        <v>46209</v>
      </c>
      <c r="O174" s="7">
        <v>46209</v>
      </c>
      <c r="P174" s="18">
        <f t="shared" si="4"/>
        <v>3</v>
      </c>
      <c r="Q174" s="18">
        <f t="shared" si="5"/>
        <v>0</v>
      </c>
    </row>
    <row r="175" spans="1:17">
      <c r="A175" s="9">
        <v>174</v>
      </c>
      <c r="B175" s="10" t="s">
        <v>326</v>
      </c>
      <c r="C175" s="11"/>
      <c r="D175" s="10" t="s">
        <v>327</v>
      </c>
      <c r="E175" s="11"/>
      <c r="F175" s="12" t="s">
        <v>328</v>
      </c>
      <c r="G175" s="13">
        <v>1</v>
      </c>
      <c r="H175" s="11" t="s">
        <v>53</v>
      </c>
      <c r="I175" s="14">
        <v>700</v>
      </c>
      <c r="J175" s="10"/>
      <c r="K175" s="14">
        <v>700</v>
      </c>
      <c r="L175" s="2" t="s">
        <v>329</v>
      </c>
      <c r="M175" s="16">
        <v>46205</v>
      </c>
      <c r="N175" s="17">
        <v>46209</v>
      </c>
      <c r="O175" s="7">
        <v>46209</v>
      </c>
      <c r="P175" s="18">
        <f t="shared" si="4"/>
        <v>4</v>
      </c>
      <c r="Q175" s="18">
        <f t="shared" si="5"/>
        <v>0</v>
      </c>
    </row>
    <row r="176" spans="1:17">
      <c r="A176" s="9">
        <v>175</v>
      </c>
      <c r="B176" s="10" t="s">
        <v>330</v>
      </c>
      <c r="C176" s="11"/>
      <c r="D176" s="10" t="s">
        <v>327</v>
      </c>
      <c r="E176" s="11"/>
      <c r="F176" s="12" t="s">
        <v>331</v>
      </c>
      <c r="G176" s="13">
        <v>22</v>
      </c>
      <c r="H176" s="11" t="s">
        <v>25</v>
      </c>
      <c r="I176" s="14">
        <v>80</v>
      </c>
      <c r="J176" s="10"/>
      <c r="K176" s="14">
        <v>1760</v>
      </c>
      <c r="L176" s="2" t="s">
        <v>332</v>
      </c>
      <c r="M176" s="16">
        <v>46205</v>
      </c>
      <c r="N176" s="17">
        <v>46209</v>
      </c>
      <c r="O176" s="7">
        <v>46209</v>
      </c>
      <c r="P176" s="18">
        <f t="shared" si="4"/>
        <v>4</v>
      </c>
      <c r="Q176" s="18">
        <f t="shared" si="5"/>
        <v>0</v>
      </c>
    </row>
    <row r="177" spans="1:17">
      <c r="A177" s="9">
        <v>176</v>
      </c>
      <c r="B177" s="10" t="s">
        <v>333</v>
      </c>
      <c r="C177" s="11"/>
      <c r="D177" s="10" t="s">
        <v>327</v>
      </c>
      <c r="E177" s="11"/>
      <c r="F177" s="12" t="s">
        <v>334</v>
      </c>
      <c r="G177" s="13">
        <v>1</v>
      </c>
      <c r="H177" s="11" t="s">
        <v>53</v>
      </c>
      <c r="I177" s="14">
        <v>4000</v>
      </c>
      <c r="J177" s="10"/>
      <c r="K177" s="14">
        <v>4000</v>
      </c>
      <c r="L177" s="2" t="s">
        <v>335</v>
      </c>
      <c r="M177" s="16">
        <v>46205</v>
      </c>
      <c r="N177" s="17">
        <v>46209</v>
      </c>
      <c r="O177" s="7">
        <v>46209</v>
      </c>
      <c r="P177" s="18">
        <f t="shared" si="4"/>
        <v>4</v>
      </c>
      <c r="Q177" s="18">
        <f t="shared" si="5"/>
        <v>0</v>
      </c>
    </row>
    <row r="178" spans="1:17">
      <c r="A178" s="9">
        <v>177</v>
      </c>
      <c r="B178" s="10" t="s">
        <v>333</v>
      </c>
      <c r="C178" s="11"/>
      <c r="D178" s="10" t="s">
        <v>327</v>
      </c>
      <c r="E178" s="11"/>
      <c r="F178" s="12" t="s">
        <v>336</v>
      </c>
      <c r="G178" s="13">
        <v>1</v>
      </c>
      <c r="H178" s="11" t="s">
        <v>25</v>
      </c>
      <c r="I178" s="14">
        <v>1500</v>
      </c>
      <c r="J178" s="10"/>
      <c r="K178" s="14">
        <v>1500</v>
      </c>
      <c r="L178" s="2" t="s">
        <v>335</v>
      </c>
      <c r="M178" s="16">
        <v>46205</v>
      </c>
      <c r="N178" s="17">
        <v>46209</v>
      </c>
      <c r="O178" s="7">
        <v>46209</v>
      </c>
      <c r="P178" s="18">
        <f t="shared" si="4"/>
        <v>4</v>
      </c>
      <c r="Q178" s="18">
        <f t="shared" si="5"/>
        <v>0</v>
      </c>
    </row>
    <row r="179" spans="1:17">
      <c r="A179" s="9">
        <v>178</v>
      </c>
      <c r="B179" s="10" t="s">
        <v>333</v>
      </c>
      <c r="C179" s="11"/>
      <c r="D179" s="10" t="s">
        <v>327</v>
      </c>
      <c r="E179" s="11"/>
      <c r="F179" s="12" t="s">
        <v>337</v>
      </c>
      <c r="G179" s="13">
        <v>2</v>
      </c>
      <c r="H179" s="11" t="s">
        <v>25</v>
      </c>
      <c r="I179" s="14">
        <v>1300</v>
      </c>
      <c r="J179" s="10"/>
      <c r="K179" s="14">
        <v>2600</v>
      </c>
      <c r="L179" s="2" t="s">
        <v>335</v>
      </c>
      <c r="M179" s="16">
        <v>46205</v>
      </c>
      <c r="N179" s="17">
        <v>46209</v>
      </c>
      <c r="O179" s="7">
        <v>46209</v>
      </c>
      <c r="P179" s="18">
        <f t="shared" si="4"/>
        <v>4</v>
      </c>
      <c r="Q179" s="18">
        <f t="shared" si="5"/>
        <v>0</v>
      </c>
    </row>
    <row r="180" spans="1:17">
      <c r="A180" s="9">
        <v>179</v>
      </c>
      <c r="B180" s="10" t="s">
        <v>333</v>
      </c>
      <c r="C180" s="11"/>
      <c r="D180" s="10" t="s">
        <v>327</v>
      </c>
      <c r="E180" s="11"/>
      <c r="F180" s="12" t="s">
        <v>338</v>
      </c>
      <c r="G180" s="13">
        <v>1</v>
      </c>
      <c r="H180" s="11" t="s">
        <v>53</v>
      </c>
      <c r="I180" s="14">
        <v>13000</v>
      </c>
      <c r="J180" s="10"/>
      <c r="K180" s="14">
        <v>13000</v>
      </c>
      <c r="L180" s="2" t="s">
        <v>335</v>
      </c>
      <c r="M180" s="16">
        <v>46205</v>
      </c>
      <c r="N180" s="17">
        <v>46209</v>
      </c>
      <c r="O180" s="7">
        <v>46209</v>
      </c>
      <c r="P180" s="18">
        <f t="shared" si="4"/>
        <v>4</v>
      </c>
      <c r="Q180" s="18">
        <f t="shared" si="5"/>
        <v>0</v>
      </c>
    </row>
    <row r="181" spans="1:17">
      <c r="A181" s="9">
        <v>180</v>
      </c>
      <c r="B181" s="10" t="s">
        <v>339</v>
      </c>
      <c r="C181" s="11"/>
      <c r="D181" s="10" t="s">
        <v>109</v>
      </c>
      <c r="E181" s="11"/>
      <c r="F181" s="12" t="s">
        <v>340</v>
      </c>
      <c r="G181" s="13">
        <v>3</v>
      </c>
      <c r="H181" s="11" t="s">
        <v>53</v>
      </c>
      <c r="I181" s="14">
        <v>730</v>
      </c>
      <c r="J181" s="15"/>
      <c r="K181" s="14">
        <v>2190</v>
      </c>
      <c r="L181" s="2" t="s">
        <v>341</v>
      </c>
      <c r="M181" s="16">
        <v>46203</v>
      </c>
      <c r="N181" s="17">
        <v>46210</v>
      </c>
      <c r="O181" s="7">
        <v>46210</v>
      </c>
      <c r="P181" s="18">
        <f t="shared" si="4"/>
        <v>7</v>
      </c>
      <c r="Q181" s="18">
        <f t="shared" si="5"/>
        <v>0</v>
      </c>
    </row>
    <row r="182" spans="1:17">
      <c r="A182" s="9">
        <v>181</v>
      </c>
      <c r="B182" s="10" t="s">
        <v>342</v>
      </c>
      <c r="C182" s="11"/>
      <c r="D182" s="10" t="s">
        <v>343</v>
      </c>
      <c r="E182" s="11"/>
      <c r="F182" s="12" t="s">
        <v>344</v>
      </c>
      <c r="G182" s="13">
        <v>1</v>
      </c>
      <c r="H182" s="11" t="s">
        <v>25</v>
      </c>
      <c r="I182" s="14">
        <v>1610</v>
      </c>
      <c r="J182" s="10"/>
      <c r="K182" s="14">
        <v>1610</v>
      </c>
      <c r="L182" s="2" t="s">
        <v>345</v>
      </c>
      <c r="M182" s="16">
        <v>46206</v>
      </c>
      <c r="N182" s="17">
        <v>46210</v>
      </c>
      <c r="O182" s="7">
        <v>46210</v>
      </c>
      <c r="P182" s="18">
        <f t="shared" si="4"/>
        <v>4</v>
      </c>
      <c r="Q182" s="18">
        <f t="shared" si="5"/>
        <v>0</v>
      </c>
    </row>
    <row r="183" spans="1:17">
      <c r="A183" s="9">
        <v>182</v>
      </c>
      <c r="B183" s="10" t="s">
        <v>221</v>
      </c>
      <c r="C183" s="11"/>
      <c r="D183" s="10" t="s">
        <v>346</v>
      </c>
      <c r="E183" s="11"/>
      <c r="F183" s="12" t="s">
        <v>347</v>
      </c>
      <c r="G183" s="13">
        <v>1</v>
      </c>
      <c r="H183" s="11" t="s">
        <v>214</v>
      </c>
      <c r="I183" s="14">
        <v>287</v>
      </c>
      <c r="J183" s="10"/>
      <c r="K183" s="14">
        <v>287</v>
      </c>
      <c r="L183" s="2" t="s">
        <v>348</v>
      </c>
      <c r="M183" s="16">
        <v>46203</v>
      </c>
      <c r="N183" s="17">
        <v>46210</v>
      </c>
      <c r="O183" s="7">
        <v>46210</v>
      </c>
      <c r="P183" s="18">
        <f t="shared" si="4"/>
        <v>7</v>
      </c>
      <c r="Q183" s="18">
        <f t="shared" si="5"/>
        <v>0</v>
      </c>
    </row>
    <row r="184" spans="1:17">
      <c r="A184" s="9">
        <v>183</v>
      </c>
      <c r="B184" s="10" t="s">
        <v>221</v>
      </c>
      <c r="C184" s="11"/>
      <c r="D184" s="10" t="s">
        <v>346</v>
      </c>
      <c r="E184" s="11"/>
      <c r="F184" s="12" t="s">
        <v>349</v>
      </c>
      <c r="G184" s="13">
        <v>1</v>
      </c>
      <c r="H184" s="11" t="s">
        <v>214</v>
      </c>
      <c r="I184" s="14">
        <v>409</v>
      </c>
      <c r="J184" s="10"/>
      <c r="K184" s="14">
        <v>409</v>
      </c>
      <c r="L184" s="2" t="s">
        <v>348</v>
      </c>
      <c r="M184" s="16">
        <v>46203</v>
      </c>
      <c r="N184" s="17">
        <v>46210</v>
      </c>
      <c r="O184" s="7">
        <v>46210</v>
      </c>
      <c r="P184" s="18">
        <f t="shared" si="4"/>
        <v>7</v>
      </c>
      <c r="Q184" s="18">
        <f t="shared" si="5"/>
        <v>0</v>
      </c>
    </row>
    <row r="185" spans="1:17">
      <c r="A185" s="9">
        <v>184</v>
      </c>
      <c r="B185" s="10" t="s">
        <v>221</v>
      </c>
      <c r="C185" s="11"/>
      <c r="D185" s="10" t="s">
        <v>346</v>
      </c>
      <c r="E185" s="11"/>
      <c r="F185" s="12" t="s">
        <v>350</v>
      </c>
      <c r="G185" s="13">
        <v>7</v>
      </c>
      <c r="H185" s="11" t="s">
        <v>214</v>
      </c>
      <c r="I185" s="14">
        <v>426</v>
      </c>
      <c r="J185" s="10"/>
      <c r="K185" s="14">
        <v>2982</v>
      </c>
      <c r="L185" s="2" t="s">
        <v>348</v>
      </c>
      <c r="M185" s="16">
        <v>46203</v>
      </c>
      <c r="N185" s="17">
        <v>46210</v>
      </c>
      <c r="O185" s="7">
        <v>46210</v>
      </c>
      <c r="P185" s="18">
        <f t="shared" si="4"/>
        <v>7</v>
      </c>
      <c r="Q185" s="18">
        <f t="shared" si="5"/>
        <v>0</v>
      </c>
    </row>
    <row r="186" spans="1:17">
      <c r="A186" s="9">
        <v>185</v>
      </c>
      <c r="B186" s="10" t="s">
        <v>221</v>
      </c>
      <c r="C186" s="11"/>
      <c r="D186" s="10" t="s">
        <v>346</v>
      </c>
      <c r="E186" s="11"/>
      <c r="F186" s="12" t="s">
        <v>351</v>
      </c>
      <c r="G186" s="13">
        <v>1</v>
      </c>
      <c r="H186" s="11" t="s">
        <v>214</v>
      </c>
      <c r="I186" s="14">
        <v>315</v>
      </c>
      <c r="J186" s="10"/>
      <c r="K186" s="14">
        <v>315</v>
      </c>
      <c r="L186" s="2" t="s">
        <v>348</v>
      </c>
      <c r="M186" s="16">
        <v>46203</v>
      </c>
      <c r="N186" s="17">
        <v>46210</v>
      </c>
      <c r="O186" s="7">
        <v>46210</v>
      </c>
      <c r="P186" s="18">
        <f t="shared" si="4"/>
        <v>7</v>
      </c>
      <c r="Q186" s="18">
        <f t="shared" si="5"/>
        <v>0</v>
      </c>
    </row>
    <row r="187" spans="1:17">
      <c r="A187" s="9">
        <v>186</v>
      </c>
      <c r="B187" s="10" t="s">
        <v>221</v>
      </c>
      <c r="C187" s="11"/>
      <c r="D187" s="10" t="s">
        <v>346</v>
      </c>
      <c r="E187" s="11"/>
      <c r="F187" s="12" t="s">
        <v>352</v>
      </c>
      <c r="G187" s="13">
        <v>2</v>
      </c>
      <c r="H187" s="11" t="s">
        <v>214</v>
      </c>
      <c r="I187" s="14">
        <v>204</v>
      </c>
      <c r="J187" s="10"/>
      <c r="K187" s="14">
        <v>408</v>
      </c>
      <c r="L187" s="2" t="s">
        <v>348</v>
      </c>
      <c r="M187" s="16">
        <v>46203</v>
      </c>
      <c r="N187" s="17">
        <v>46210</v>
      </c>
      <c r="O187" s="7">
        <v>46210</v>
      </c>
      <c r="P187" s="18">
        <f t="shared" si="4"/>
        <v>7</v>
      </c>
      <c r="Q187" s="18">
        <f t="shared" si="5"/>
        <v>0</v>
      </c>
    </row>
    <row r="188" spans="1:17">
      <c r="A188" s="9">
        <v>187</v>
      </c>
      <c r="B188" s="10" t="s">
        <v>221</v>
      </c>
      <c r="C188" s="11"/>
      <c r="D188" s="10" t="s">
        <v>346</v>
      </c>
      <c r="E188" s="11"/>
      <c r="F188" s="12" t="s">
        <v>353</v>
      </c>
      <c r="G188" s="13">
        <v>1</v>
      </c>
      <c r="H188" s="11" t="s">
        <v>214</v>
      </c>
      <c r="I188" s="14">
        <v>93</v>
      </c>
      <c r="J188" s="10"/>
      <c r="K188" s="14">
        <v>93</v>
      </c>
      <c r="L188" s="2" t="s">
        <v>348</v>
      </c>
      <c r="M188" s="16">
        <v>46203</v>
      </c>
      <c r="N188" s="17">
        <v>46210</v>
      </c>
      <c r="O188" s="7">
        <v>46210</v>
      </c>
      <c r="P188" s="18">
        <f t="shared" si="4"/>
        <v>7</v>
      </c>
      <c r="Q188" s="18">
        <f t="shared" si="5"/>
        <v>0</v>
      </c>
    </row>
    <row r="189" spans="1:17">
      <c r="A189" s="9">
        <v>188</v>
      </c>
      <c r="B189" s="10" t="s">
        <v>221</v>
      </c>
      <c r="C189" s="11"/>
      <c r="D189" s="10" t="s">
        <v>346</v>
      </c>
      <c r="E189" s="11"/>
      <c r="F189" s="12" t="s">
        <v>354</v>
      </c>
      <c r="G189" s="13">
        <v>2</v>
      </c>
      <c r="H189" s="11" t="s">
        <v>214</v>
      </c>
      <c r="I189" s="14">
        <v>385</v>
      </c>
      <c r="J189" s="10"/>
      <c r="K189" s="14">
        <v>770</v>
      </c>
      <c r="L189" s="2" t="s">
        <v>348</v>
      </c>
      <c r="M189" s="16">
        <v>46203</v>
      </c>
      <c r="N189" s="17">
        <v>46210</v>
      </c>
      <c r="O189" s="7">
        <v>46210</v>
      </c>
      <c r="P189" s="18">
        <f t="shared" si="4"/>
        <v>7</v>
      </c>
      <c r="Q189" s="18">
        <f t="shared" si="5"/>
        <v>0</v>
      </c>
    </row>
    <row r="190" spans="1:17">
      <c r="A190" s="9">
        <v>189</v>
      </c>
      <c r="B190" s="10" t="s">
        <v>221</v>
      </c>
      <c r="C190" s="11"/>
      <c r="D190" s="10" t="s">
        <v>346</v>
      </c>
      <c r="E190" s="11"/>
      <c r="F190" s="12" t="s">
        <v>355</v>
      </c>
      <c r="G190" s="13">
        <v>1</v>
      </c>
      <c r="H190" s="11" t="s">
        <v>56</v>
      </c>
      <c r="I190" s="14">
        <v>1500</v>
      </c>
      <c r="J190" s="10"/>
      <c r="K190" s="14">
        <v>1500</v>
      </c>
      <c r="L190" s="2" t="s">
        <v>348</v>
      </c>
      <c r="M190" s="16">
        <v>46203</v>
      </c>
      <c r="N190" s="17">
        <v>46210</v>
      </c>
      <c r="O190" s="7">
        <v>46210</v>
      </c>
      <c r="P190" s="18">
        <f t="shared" si="4"/>
        <v>7</v>
      </c>
      <c r="Q190" s="18">
        <f t="shared" si="5"/>
        <v>0</v>
      </c>
    </row>
    <row r="191" spans="1:17">
      <c r="A191" s="9">
        <v>190</v>
      </c>
      <c r="B191" s="10" t="s">
        <v>356</v>
      </c>
      <c r="C191" s="11"/>
      <c r="D191" s="10" t="s">
        <v>357</v>
      </c>
      <c r="E191" s="11"/>
      <c r="F191" s="12" t="s">
        <v>358</v>
      </c>
      <c r="G191" s="13">
        <v>1</v>
      </c>
      <c r="H191" s="11" t="s">
        <v>30</v>
      </c>
      <c r="I191" s="14">
        <v>6850</v>
      </c>
      <c r="J191" s="10"/>
      <c r="K191" s="14">
        <v>6850</v>
      </c>
      <c r="L191" s="2" t="s">
        <v>359</v>
      </c>
      <c r="M191" s="16">
        <v>46156</v>
      </c>
      <c r="N191" s="17">
        <v>46211</v>
      </c>
      <c r="O191" s="7">
        <v>46211</v>
      </c>
      <c r="P191" s="18">
        <f t="shared" si="4"/>
        <v>55</v>
      </c>
      <c r="Q191" s="18">
        <f t="shared" si="5"/>
        <v>0</v>
      </c>
    </row>
    <row r="192" spans="1:17">
      <c r="A192" s="9">
        <v>191</v>
      </c>
      <c r="B192" s="10" t="s">
        <v>360</v>
      </c>
      <c r="C192" s="11"/>
      <c r="D192" s="10" t="s">
        <v>361</v>
      </c>
      <c r="E192" s="11"/>
      <c r="F192" s="12" t="s">
        <v>362</v>
      </c>
      <c r="G192" s="13">
        <v>1</v>
      </c>
      <c r="H192" s="11" t="s">
        <v>25</v>
      </c>
      <c r="I192" s="14">
        <v>235</v>
      </c>
      <c r="J192" s="10"/>
      <c r="K192" s="14">
        <v>235</v>
      </c>
      <c r="L192" s="2" t="s">
        <v>363</v>
      </c>
      <c r="M192" s="16">
        <v>46209</v>
      </c>
      <c r="N192" s="17">
        <v>46212</v>
      </c>
      <c r="O192" s="7">
        <v>46212</v>
      </c>
      <c r="P192" s="18">
        <f t="shared" si="4"/>
        <v>3</v>
      </c>
      <c r="Q192" s="18">
        <f t="shared" si="5"/>
        <v>0</v>
      </c>
    </row>
    <row r="193" spans="1:17">
      <c r="A193" s="9">
        <v>192</v>
      </c>
      <c r="B193" s="10" t="s">
        <v>108</v>
      </c>
      <c r="C193" s="11"/>
      <c r="D193" s="10" t="s">
        <v>187</v>
      </c>
      <c r="E193" s="11"/>
      <c r="F193" s="12" t="s">
        <v>364</v>
      </c>
      <c r="G193" s="13">
        <v>4</v>
      </c>
      <c r="H193" s="11" t="s">
        <v>25</v>
      </c>
      <c r="I193" s="14">
        <v>2270</v>
      </c>
      <c r="J193" s="15">
        <v>635.6</v>
      </c>
      <c r="K193" s="14">
        <v>8444.4</v>
      </c>
      <c r="L193" s="2" t="s">
        <v>365</v>
      </c>
      <c r="M193" s="16">
        <v>46199</v>
      </c>
      <c r="N193" s="17">
        <v>46213</v>
      </c>
      <c r="O193" s="7">
        <v>46213</v>
      </c>
      <c r="P193" s="18">
        <f t="shared" si="4"/>
        <v>14</v>
      </c>
      <c r="Q193" s="18">
        <f t="shared" si="5"/>
        <v>0</v>
      </c>
    </row>
    <row r="194" spans="1:17">
      <c r="A194" s="9">
        <v>193</v>
      </c>
      <c r="B194" s="10" t="s">
        <v>108</v>
      </c>
      <c r="C194" s="11"/>
      <c r="D194" s="10" t="s">
        <v>187</v>
      </c>
      <c r="E194" s="11"/>
      <c r="F194" s="12" t="s">
        <v>366</v>
      </c>
      <c r="G194" s="13">
        <v>8</v>
      </c>
      <c r="H194" s="11" t="s">
        <v>25</v>
      </c>
      <c r="I194" s="14">
        <v>1450</v>
      </c>
      <c r="J194" s="15">
        <v>812</v>
      </c>
      <c r="K194" s="14">
        <v>10788</v>
      </c>
      <c r="L194" s="2" t="s">
        <v>365</v>
      </c>
      <c r="M194" s="16">
        <v>46199</v>
      </c>
      <c r="N194" s="17">
        <v>46213</v>
      </c>
      <c r="O194" s="7">
        <v>46213</v>
      </c>
      <c r="P194" s="18">
        <f t="shared" ref="P194:P257" si="6">O194-M194</f>
        <v>14</v>
      </c>
      <c r="Q194" s="18">
        <f t="shared" ref="Q194:Q257" si="7">N194-O194</f>
        <v>0</v>
      </c>
    </row>
    <row r="195" spans="1:17">
      <c r="A195" s="9">
        <v>194</v>
      </c>
      <c r="B195" s="10" t="s">
        <v>108</v>
      </c>
      <c r="C195" s="11"/>
      <c r="D195" s="10" t="s">
        <v>187</v>
      </c>
      <c r="E195" s="11"/>
      <c r="F195" s="12" t="s">
        <v>367</v>
      </c>
      <c r="G195" s="13">
        <v>4</v>
      </c>
      <c r="H195" s="11" t="s">
        <v>25</v>
      </c>
      <c r="I195" s="14">
        <v>380</v>
      </c>
      <c r="J195" s="15">
        <v>106.4</v>
      </c>
      <c r="K195" s="14">
        <v>1413.6</v>
      </c>
      <c r="L195" s="2" t="s">
        <v>365</v>
      </c>
      <c r="M195" s="16">
        <v>46199</v>
      </c>
      <c r="N195" s="17">
        <v>46213</v>
      </c>
      <c r="O195" s="7">
        <v>46213</v>
      </c>
      <c r="P195" s="18">
        <f t="shared" si="6"/>
        <v>14</v>
      </c>
      <c r="Q195" s="18">
        <f t="shared" si="7"/>
        <v>0</v>
      </c>
    </row>
    <row r="196" spans="1:17">
      <c r="A196" s="9">
        <v>195</v>
      </c>
      <c r="B196" s="10" t="s">
        <v>108</v>
      </c>
      <c r="C196" s="11"/>
      <c r="D196" s="10" t="s">
        <v>187</v>
      </c>
      <c r="E196" s="11"/>
      <c r="F196" s="12" t="s">
        <v>368</v>
      </c>
      <c r="G196" s="13">
        <v>8</v>
      </c>
      <c r="H196" s="11" t="s">
        <v>25</v>
      </c>
      <c r="I196" s="14">
        <v>1520</v>
      </c>
      <c r="J196" s="15">
        <v>851.2</v>
      </c>
      <c r="K196" s="14">
        <v>11308.8</v>
      </c>
      <c r="L196" s="2" t="s">
        <v>365</v>
      </c>
      <c r="M196" s="16">
        <v>46199</v>
      </c>
      <c r="N196" s="17">
        <v>46213</v>
      </c>
      <c r="O196" s="7">
        <v>46213</v>
      </c>
      <c r="P196" s="18">
        <f t="shared" si="6"/>
        <v>14</v>
      </c>
      <c r="Q196" s="18">
        <f t="shared" si="7"/>
        <v>0</v>
      </c>
    </row>
    <row r="197" spans="1:17">
      <c r="A197" s="9">
        <v>196</v>
      </c>
      <c r="B197" s="10" t="s">
        <v>108</v>
      </c>
      <c r="C197" s="11"/>
      <c r="D197" s="10" t="s">
        <v>187</v>
      </c>
      <c r="E197" s="11"/>
      <c r="F197" s="12" t="s">
        <v>369</v>
      </c>
      <c r="G197" s="13">
        <v>8</v>
      </c>
      <c r="H197" s="11" t="s">
        <v>25</v>
      </c>
      <c r="I197" s="14">
        <v>380</v>
      </c>
      <c r="J197" s="15">
        <v>212.8</v>
      </c>
      <c r="K197" s="14">
        <v>2827.2</v>
      </c>
      <c r="L197" s="2" t="s">
        <v>365</v>
      </c>
      <c r="M197" s="16">
        <v>46199</v>
      </c>
      <c r="N197" s="17">
        <v>46213</v>
      </c>
      <c r="O197" s="7">
        <v>46213</v>
      </c>
      <c r="P197" s="18">
        <f t="shared" si="6"/>
        <v>14</v>
      </c>
      <c r="Q197" s="18">
        <f t="shared" si="7"/>
        <v>0</v>
      </c>
    </row>
    <row r="198" spans="1:17">
      <c r="A198" s="9">
        <v>197</v>
      </c>
      <c r="B198" s="10" t="s">
        <v>108</v>
      </c>
      <c r="C198" s="11"/>
      <c r="D198" s="10" t="s">
        <v>187</v>
      </c>
      <c r="E198" s="11"/>
      <c r="F198" s="12" t="s">
        <v>370</v>
      </c>
      <c r="G198" s="13">
        <v>4</v>
      </c>
      <c r="H198" s="11" t="s">
        <v>25</v>
      </c>
      <c r="I198" s="14">
        <v>380</v>
      </c>
      <c r="J198" s="15">
        <v>106.4</v>
      </c>
      <c r="K198" s="14">
        <v>1413.6</v>
      </c>
      <c r="L198" s="2" t="s">
        <v>365</v>
      </c>
      <c r="M198" s="16">
        <v>46199</v>
      </c>
      <c r="N198" s="17">
        <v>46213</v>
      </c>
      <c r="O198" s="7">
        <v>46213</v>
      </c>
      <c r="P198" s="18">
        <f t="shared" si="6"/>
        <v>14</v>
      </c>
      <c r="Q198" s="18">
        <f t="shared" si="7"/>
        <v>0</v>
      </c>
    </row>
    <row r="199" spans="1:17">
      <c r="A199" s="9">
        <v>198</v>
      </c>
      <c r="B199" s="10" t="s">
        <v>231</v>
      </c>
      <c r="C199" s="11"/>
      <c r="D199" s="10" t="s">
        <v>371</v>
      </c>
      <c r="E199" s="11"/>
      <c r="F199" s="12" t="s">
        <v>372</v>
      </c>
      <c r="G199" s="13">
        <v>1</v>
      </c>
      <c r="H199" s="11" t="s">
        <v>214</v>
      </c>
      <c r="I199" s="14">
        <v>3755</v>
      </c>
      <c r="J199" s="10"/>
      <c r="K199" s="14">
        <v>3755</v>
      </c>
      <c r="L199" s="2" t="s">
        <v>373</v>
      </c>
      <c r="M199" s="16">
        <v>46209</v>
      </c>
      <c r="N199" s="17">
        <v>46213</v>
      </c>
      <c r="O199" s="7">
        <v>46213</v>
      </c>
      <c r="P199" s="18">
        <f t="shared" si="6"/>
        <v>4</v>
      </c>
      <c r="Q199" s="18">
        <f t="shared" si="7"/>
        <v>0</v>
      </c>
    </row>
    <row r="200" spans="1:17">
      <c r="A200" s="9">
        <v>199</v>
      </c>
      <c r="B200" s="10" t="s">
        <v>231</v>
      </c>
      <c r="C200" s="11"/>
      <c r="D200" s="10" t="s">
        <v>371</v>
      </c>
      <c r="E200" s="11"/>
      <c r="F200" s="12" t="s">
        <v>374</v>
      </c>
      <c r="G200" s="13">
        <v>1</v>
      </c>
      <c r="H200" s="11" t="s">
        <v>214</v>
      </c>
      <c r="I200" s="14">
        <v>5680</v>
      </c>
      <c r="J200" s="10"/>
      <c r="K200" s="14">
        <v>5680</v>
      </c>
      <c r="L200" s="2" t="s">
        <v>373</v>
      </c>
      <c r="M200" s="16">
        <v>46209</v>
      </c>
      <c r="N200" s="17">
        <v>46213</v>
      </c>
      <c r="O200" s="7">
        <v>46213</v>
      </c>
      <c r="P200" s="18">
        <f t="shared" si="6"/>
        <v>4</v>
      </c>
      <c r="Q200" s="18">
        <f t="shared" si="7"/>
        <v>0</v>
      </c>
    </row>
    <row r="201" spans="1:17">
      <c r="A201" s="9">
        <v>200</v>
      </c>
      <c r="B201" s="10" t="s">
        <v>375</v>
      </c>
      <c r="C201" s="11"/>
      <c r="D201" s="10" t="s">
        <v>376</v>
      </c>
      <c r="E201" s="11"/>
      <c r="F201" s="12" t="s">
        <v>377</v>
      </c>
      <c r="G201" s="13">
        <v>1</v>
      </c>
      <c r="H201" s="11" t="s">
        <v>53</v>
      </c>
      <c r="I201" s="14">
        <v>1930</v>
      </c>
      <c r="J201" s="10"/>
      <c r="K201" s="14">
        <v>1930</v>
      </c>
      <c r="L201" s="2" t="s">
        <v>378</v>
      </c>
      <c r="M201" s="16">
        <v>46210</v>
      </c>
      <c r="N201" s="17">
        <v>46213</v>
      </c>
      <c r="O201" s="7">
        <v>46213</v>
      </c>
      <c r="P201" s="18">
        <f t="shared" si="6"/>
        <v>3</v>
      </c>
      <c r="Q201" s="18">
        <f t="shared" si="7"/>
        <v>0</v>
      </c>
    </row>
    <row r="202" spans="1:17">
      <c r="A202" s="9">
        <v>201</v>
      </c>
      <c r="B202" s="10" t="s">
        <v>379</v>
      </c>
      <c r="C202" s="11"/>
      <c r="D202" s="10" t="s">
        <v>380</v>
      </c>
      <c r="E202" s="11"/>
      <c r="F202" s="12" t="s">
        <v>381</v>
      </c>
      <c r="G202" s="13">
        <v>1</v>
      </c>
      <c r="H202" s="11" t="s">
        <v>25</v>
      </c>
      <c r="I202" s="14">
        <v>3066</v>
      </c>
      <c r="J202" s="10"/>
      <c r="K202" s="14">
        <v>3066</v>
      </c>
      <c r="L202" s="2" t="s">
        <v>382</v>
      </c>
      <c r="M202" s="16">
        <v>46209</v>
      </c>
      <c r="N202" s="17">
        <v>46213</v>
      </c>
      <c r="O202" s="7">
        <v>46213</v>
      </c>
      <c r="P202" s="18">
        <f t="shared" si="6"/>
        <v>4</v>
      </c>
      <c r="Q202" s="18">
        <f t="shared" si="7"/>
        <v>0</v>
      </c>
    </row>
    <row r="203" spans="1:17">
      <c r="A203" s="9">
        <v>202</v>
      </c>
      <c r="B203" s="10" t="s">
        <v>182</v>
      </c>
      <c r="C203" s="11"/>
      <c r="D203" s="10" t="s">
        <v>183</v>
      </c>
      <c r="E203" s="11"/>
      <c r="F203" s="12" t="s">
        <v>383</v>
      </c>
      <c r="G203" s="13">
        <v>1</v>
      </c>
      <c r="H203" s="11" t="s">
        <v>25</v>
      </c>
      <c r="I203" s="14">
        <v>11000</v>
      </c>
      <c r="J203" s="10"/>
      <c r="K203" s="14">
        <v>11000</v>
      </c>
      <c r="L203" s="2" t="s">
        <v>185</v>
      </c>
      <c r="M203" s="16">
        <v>46195</v>
      </c>
      <c r="N203" s="17">
        <v>46216</v>
      </c>
      <c r="O203" s="7">
        <v>46216</v>
      </c>
      <c r="P203" s="18">
        <f t="shared" si="6"/>
        <v>21</v>
      </c>
      <c r="Q203" s="18">
        <f t="shared" si="7"/>
        <v>0</v>
      </c>
    </row>
    <row r="204" spans="1:17">
      <c r="A204" s="9">
        <v>203</v>
      </c>
      <c r="B204" s="10" t="s">
        <v>384</v>
      </c>
      <c r="C204" s="11"/>
      <c r="D204" s="10" t="s">
        <v>376</v>
      </c>
      <c r="E204" s="11"/>
      <c r="F204" s="12" t="s">
        <v>385</v>
      </c>
      <c r="G204" s="13">
        <v>1</v>
      </c>
      <c r="H204" s="11" t="s">
        <v>53</v>
      </c>
      <c r="I204" s="14">
        <v>355</v>
      </c>
      <c r="J204" s="10"/>
      <c r="K204" s="14">
        <v>355</v>
      </c>
      <c r="L204" s="2" t="s">
        <v>386</v>
      </c>
      <c r="M204" s="16">
        <v>46212</v>
      </c>
      <c r="N204" s="17">
        <v>46216</v>
      </c>
      <c r="O204" s="7">
        <v>46216</v>
      </c>
      <c r="P204" s="18">
        <f t="shared" si="6"/>
        <v>4</v>
      </c>
      <c r="Q204" s="18">
        <f t="shared" si="7"/>
        <v>0</v>
      </c>
    </row>
    <row r="205" spans="1:17">
      <c r="A205" s="9">
        <v>204</v>
      </c>
      <c r="B205" s="10" t="s">
        <v>387</v>
      </c>
      <c r="C205" s="11"/>
      <c r="D205" s="10" t="s">
        <v>388</v>
      </c>
      <c r="E205" s="11"/>
      <c r="F205" s="12" t="s">
        <v>389</v>
      </c>
      <c r="G205" s="13">
        <v>1</v>
      </c>
      <c r="H205" s="11" t="s">
        <v>296</v>
      </c>
      <c r="I205" s="14">
        <v>6000</v>
      </c>
      <c r="J205" s="15"/>
      <c r="K205" s="14">
        <v>6000</v>
      </c>
      <c r="L205" s="2" t="s">
        <v>390</v>
      </c>
      <c r="M205" s="16">
        <v>46212</v>
      </c>
      <c r="N205" s="17">
        <v>46216</v>
      </c>
      <c r="O205" s="7">
        <v>46216</v>
      </c>
      <c r="P205" s="18">
        <f t="shared" si="6"/>
        <v>4</v>
      </c>
      <c r="Q205" s="18">
        <f t="shared" si="7"/>
        <v>0</v>
      </c>
    </row>
    <row r="206" spans="1:17">
      <c r="A206" s="9">
        <v>205</v>
      </c>
      <c r="B206" s="10" t="s">
        <v>391</v>
      </c>
      <c r="C206" s="11"/>
      <c r="D206" s="10" t="s">
        <v>172</v>
      </c>
      <c r="E206" s="11"/>
      <c r="F206" s="12" t="s">
        <v>392</v>
      </c>
      <c r="G206" s="13">
        <v>1</v>
      </c>
      <c r="H206" s="11" t="s">
        <v>393</v>
      </c>
      <c r="I206" s="14">
        <v>181.97</v>
      </c>
      <c r="J206" s="10"/>
      <c r="K206" s="14">
        <v>181.97</v>
      </c>
      <c r="L206" s="2" t="s">
        <v>394</v>
      </c>
      <c r="M206" s="16">
        <v>46212</v>
      </c>
      <c r="N206" s="17">
        <v>46216</v>
      </c>
      <c r="O206" s="7">
        <v>46216</v>
      </c>
      <c r="P206" s="18">
        <f t="shared" si="6"/>
        <v>4</v>
      </c>
      <c r="Q206" s="18">
        <f t="shared" si="7"/>
        <v>0</v>
      </c>
    </row>
    <row r="207" spans="1:17">
      <c r="A207" s="9">
        <v>206</v>
      </c>
      <c r="B207" s="10" t="s">
        <v>395</v>
      </c>
      <c r="C207" s="11"/>
      <c r="D207" s="10" t="s">
        <v>172</v>
      </c>
      <c r="E207" s="11"/>
      <c r="F207" s="12" t="s">
        <v>396</v>
      </c>
      <c r="G207" s="13">
        <v>7</v>
      </c>
      <c r="H207" s="11" t="s">
        <v>30</v>
      </c>
      <c r="I207" s="14">
        <v>134.61000000000001</v>
      </c>
      <c r="J207" s="10"/>
      <c r="K207" s="14">
        <v>942.27</v>
      </c>
      <c r="L207" s="2" t="s">
        <v>397</v>
      </c>
      <c r="M207" s="16">
        <v>46213</v>
      </c>
      <c r="N207" s="17">
        <v>46216</v>
      </c>
      <c r="O207" s="7">
        <v>46216</v>
      </c>
      <c r="P207" s="18">
        <f t="shared" si="6"/>
        <v>3</v>
      </c>
      <c r="Q207" s="18">
        <f t="shared" si="7"/>
        <v>0</v>
      </c>
    </row>
    <row r="208" spans="1:17">
      <c r="A208" s="9">
        <v>207</v>
      </c>
      <c r="B208" s="10" t="s">
        <v>398</v>
      </c>
      <c r="C208" s="11"/>
      <c r="D208" s="10" t="s">
        <v>104</v>
      </c>
      <c r="E208" s="11"/>
      <c r="F208" s="12" t="s">
        <v>399</v>
      </c>
      <c r="G208" s="13">
        <v>4</v>
      </c>
      <c r="H208" s="11" t="s">
        <v>25</v>
      </c>
      <c r="I208" s="14">
        <v>950</v>
      </c>
      <c r="J208" s="15">
        <v>834.15</v>
      </c>
      <c r="K208" s="14">
        <v>2965.85</v>
      </c>
      <c r="L208" s="2" t="s">
        <v>400</v>
      </c>
      <c r="M208" s="16">
        <v>46205</v>
      </c>
      <c r="N208" s="17">
        <v>46217</v>
      </c>
      <c r="O208" s="7">
        <v>46217</v>
      </c>
      <c r="P208" s="18">
        <f t="shared" si="6"/>
        <v>12</v>
      </c>
      <c r="Q208" s="18">
        <f t="shared" si="7"/>
        <v>0</v>
      </c>
    </row>
    <row r="209" spans="1:17">
      <c r="A209" s="9">
        <v>208</v>
      </c>
      <c r="B209" s="10" t="s">
        <v>398</v>
      </c>
      <c r="C209" s="11"/>
      <c r="D209" s="10" t="s">
        <v>104</v>
      </c>
      <c r="E209" s="11"/>
      <c r="F209" s="12" t="s">
        <v>401</v>
      </c>
      <c r="G209" s="13">
        <v>1</v>
      </c>
      <c r="H209" s="11" t="s">
        <v>25</v>
      </c>
      <c r="I209" s="14">
        <v>450</v>
      </c>
      <c r="J209" s="15">
        <v>98.77</v>
      </c>
      <c r="K209" s="14">
        <v>351.23</v>
      </c>
      <c r="L209" s="2" t="s">
        <v>400</v>
      </c>
      <c r="M209" s="16">
        <v>46205</v>
      </c>
      <c r="N209" s="17">
        <v>46217</v>
      </c>
      <c r="O209" s="7">
        <v>46217</v>
      </c>
      <c r="P209" s="18">
        <f t="shared" si="6"/>
        <v>12</v>
      </c>
      <c r="Q209" s="18">
        <f t="shared" si="7"/>
        <v>0</v>
      </c>
    </row>
    <row r="210" spans="1:17">
      <c r="A210" s="9">
        <v>209</v>
      </c>
      <c r="B210" s="10" t="s">
        <v>398</v>
      </c>
      <c r="C210" s="11"/>
      <c r="D210" s="10" t="s">
        <v>104</v>
      </c>
      <c r="E210" s="11"/>
      <c r="F210" s="12" t="s">
        <v>402</v>
      </c>
      <c r="G210" s="13">
        <v>4</v>
      </c>
      <c r="H210" s="11" t="s">
        <v>25</v>
      </c>
      <c r="I210" s="14">
        <v>750</v>
      </c>
      <c r="J210" s="15">
        <v>658.54</v>
      </c>
      <c r="K210" s="14">
        <v>2341.46</v>
      </c>
      <c r="L210" s="2" t="s">
        <v>400</v>
      </c>
      <c r="M210" s="16">
        <v>46205</v>
      </c>
      <c r="N210" s="17">
        <v>46217</v>
      </c>
      <c r="O210" s="7">
        <v>46217</v>
      </c>
      <c r="P210" s="18">
        <f t="shared" si="6"/>
        <v>12</v>
      </c>
      <c r="Q210" s="18">
        <f t="shared" si="7"/>
        <v>0</v>
      </c>
    </row>
    <row r="211" spans="1:17">
      <c r="A211" s="9">
        <v>210</v>
      </c>
      <c r="B211" s="10" t="s">
        <v>398</v>
      </c>
      <c r="C211" s="11"/>
      <c r="D211" s="10" t="s">
        <v>104</v>
      </c>
      <c r="E211" s="11"/>
      <c r="F211" s="12" t="s">
        <v>403</v>
      </c>
      <c r="G211" s="13">
        <v>4</v>
      </c>
      <c r="H211" s="11" t="s">
        <v>25</v>
      </c>
      <c r="I211" s="14">
        <v>750</v>
      </c>
      <c r="J211" s="15">
        <v>658.54</v>
      </c>
      <c r="K211" s="14">
        <v>2341.46</v>
      </c>
      <c r="L211" s="2" t="s">
        <v>400</v>
      </c>
      <c r="M211" s="16">
        <v>46205</v>
      </c>
      <c r="N211" s="17">
        <v>46217</v>
      </c>
      <c r="O211" s="7">
        <v>46217</v>
      </c>
      <c r="P211" s="18">
        <f t="shared" si="6"/>
        <v>12</v>
      </c>
      <c r="Q211" s="18">
        <f t="shared" si="7"/>
        <v>0</v>
      </c>
    </row>
    <row r="212" spans="1:17">
      <c r="A212" s="9">
        <v>211</v>
      </c>
      <c r="B212" s="10" t="s">
        <v>404</v>
      </c>
      <c r="C212" s="11"/>
      <c r="D212" s="10" t="s">
        <v>104</v>
      </c>
      <c r="E212" s="11"/>
      <c r="F212" s="12" t="s">
        <v>405</v>
      </c>
      <c r="G212" s="13">
        <v>1</v>
      </c>
      <c r="H212" s="11" t="s">
        <v>25</v>
      </c>
      <c r="I212" s="14">
        <v>800</v>
      </c>
      <c r="J212" s="10"/>
      <c r="K212" s="14">
        <v>800</v>
      </c>
      <c r="L212" s="2" t="s">
        <v>406</v>
      </c>
      <c r="M212" s="16">
        <v>46210</v>
      </c>
      <c r="N212" s="17">
        <v>46217</v>
      </c>
      <c r="O212" s="7">
        <v>46217</v>
      </c>
      <c r="P212" s="18">
        <f t="shared" si="6"/>
        <v>7</v>
      </c>
      <c r="Q212" s="18">
        <f t="shared" si="7"/>
        <v>0</v>
      </c>
    </row>
    <row r="213" spans="1:17">
      <c r="A213" s="9">
        <v>212</v>
      </c>
      <c r="B213" s="10" t="s">
        <v>407</v>
      </c>
      <c r="C213" s="11"/>
      <c r="D213" s="10" t="s">
        <v>172</v>
      </c>
      <c r="E213" s="11"/>
      <c r="F213" s="12" t="s">
        <v>408</v>
      </c>
      <c r="G213" s="13">
        <v>1</v>
      </c>
      <c r="H213" s="11" t="s">
        <v>25</v>
      </c>
      <c r="I213" s="14">
        <v>583.75</v>
      </c>
      <c r="J213" s="10"/>
      <c r="K213" s="14">
        <v>583.75</v>
      </c>
      <c r="L213" s="2" t="s">
        <v>409</v>
      </c>
      <c r="M213" s="16">
        <v>46205</v>
      </c>
      <c r="N213" s="17">
        <v>46218</v>
      </c>
      <c r="O213" s="7">
        <v>46218</v>
      </c>
      <c r="P213" s="18">
        <f t="shared" si="6"/>
        <v>13</v>
      </c>
      <c r="Q213" s="18">
        <f t="shared" si="7"/>
        <v>0</v>
      </c>
    </row>
    <row r="214" spans="1:17">
      <c r="A214" s="9">
        <v>213</v>
      </c>
      <c r="B214" s="10" t="s">
        <v>410</v>
      </c>
      <c r="C214" s="11"/>
      <c r="D214" s="10" t="s">
        <v>172</v>
      </c>
      <c r="E214" s="11"/>
      <c r="F214" s="12" t="s">
        <v>411</v>
      </c>
      <c r="G214" s="13">
        <v>4</v>
      </c>
      <c r="H214" s="11" t="s">
        <v>30</v>
      </c>
      <c r="I214" s="14">
        <v>2759</v>
      </c>
      <c r="J214" s="10"/>
      <c r="K214" s="14">
        <v>11036</v>
      </c>
      <c r="L214" s="2" t="s">
        <v>412</v>
      </c>
      <c r="M214" s="16">
        <v>46205</v>
      </c>
      <c r="N214" s="17">
        <v>46218</v>
      </c>
      <c r="O214" s="7">
        <v>46218</v>
      </c>
      <c r="P214" s="18">
        <f t="shared" si="6"/>
        <v>13</v>
      </c>
      <c r="Q214" s="18">
        <f t="shared" si="7"/>
        <v>0</v>
      </c>
    </row>
    <row r="215" spans="1:17">
      <c r="A215" s="9">
        <v>214</v>
      </c>
      <c r="B215" s="10" t="s">
        <v>314</v>
      </c>
      <c r="C215" s="11"/>
      <c r="D215" s="10" t="s">
        <v>315</v>
      </c>
      <c r="E215" s="11"/>
      <c r="F215" s="12" t="s">
        <v>316</v>
      </c>
      <c r="G215" s="13">
        <v>2</v>
      </c>
      <c r="H215" s="11" t="s">
        <v>25</v>
      </c>
      <c r="I215" s="14">
        <v>170</v>
      </c>
      <c r="J215" s="10"/>
      <c r="K215" s="14">
        <v>340</v>
      </c>
      <c r="L215" s="2" t="s">
        <v>413</v>
      </c>
      <c r="M215" s="16">
        <v>46218</v>
      </c>
      <c r="N215" s="17">
        <v>46218</v>
      </c>
      <c r="O215" s="7">
        <v>46218</v>
      </c>
      <c r="P215" s="18">
        <f t="shared" si="6"/>
        <v>0</v>
      </c>
      <c r="Q215" s="18">
        <f t="shared" si="7"/>
        <v>0</v>
      </c>
    </row>
    <row r="216" spans="1:17">
      <c r="A216" s="9">
        <v>215</v>
      </c>
      <c r="B216" s="10" t="s">
        <v>314</v>
      </c>
      <c r="C216" s="11"/>
      <c r="D216" s="10" t="s">
        <v>315</v>
      </c>
      <c r="E216" s="11"/>
      <c r="F216" s="12" t="s">
        <v>318</v>
      </c>
      <c r="G216" s="13">
        <v>2</v>
      </c>
      <c r="H216" s="11" t="s">
        <v>25</v>
      </c>
      <c r="I216" s="14">
        <v>350</v>
      </c>
      <c r="J216" s="10"/>
      <c r="K216" s="14">
        <v>700</v>
      </c>
      <c r="L216" s="2" t="s">
        <v>413</v>
      </c>
      <c r="M216" s="16">
        <v>46218</v>
      </c>
      <c r="N216" s="17">
        <v>46218</v>
      </c>
      <c r="O216" s="7">
        <v>46218</v>
      </c>
      <c r="P216" s="18">
        <f t="shared" si="6"/>
        <v>0</v>
      </c>
      <c r="Q216" s="18">
        <f t="shared" si="7"/>
        <v>0</v>
      </c>
    </row>
    <row r="217" spans="1:17">
      <c r="A217" s="9">
        <v>216</v>
      </c>
      <c r="B217" s="10" t="s">
        <v>314</v>
      </c>
      <c r="C217" s="11"/>
      <c r="D217" s="10" t="s">
        <v>315</v>
      </c>
      <c r="E217" s="11"/>
      <c r="F217" s="12" t="s">
        <v>414</v>
      </c>
      <c r="G217" s="13">
        <v>1</v>
      </c>
      <c r="H217" s="11" t="s">
        <v>25</v>
      </c>
      <c r="I217" s="14">
        <v>750</v>
      </c>
      <c r="J217" s="10"/>
      <c r="K217" s="14">
        <v>750</v>
      </c>
      <c r="L217" s="2" t="s">
        <v>413</v>
      </c>
      <c r="M217" s="16">
        <v>46218</v>
      </c>
      <c r="N217" s="17">
        <v>46218</v>
      </c>
      <c r="O217" s="7">
        <v>46218</v>
      </c>
      <c r="P217" s="18">
        <f t="shared" si="6"/>
        <v>0</v>
      </c>
      <c r="Q217" s="18">
        <f t="shared" si="7"/>
        <v>0</v>
      </c>
    </row>
    <row r="218" spans="1:17">
      <c r="A218" s="9">
        <v>217</v>
      </c>
      <c r="B218" s="10" t="s">
        <v>415</v>
      </c>
      <c r="C218" s="11"/>
      <c r="D218" s="10" t="s">
        <v>109</v>
      </c>
      <c r="E218" s="11"/>
      <c r="F218" s="12" t="s">
        <v>416</v>
      </c>
      <c r="G218" s="13">
        <v>1</v>
      </c>
      <c r="H218" s="11" t="s">
        <v>25</v>
      </c>
      <c r="I218" s="14">
        <v>7863</v>
      </c>
      <c r="J218" s="15">
        <v>1572.6</v>
      </c>
      <c r="K218" s="14">
        <v>6290.4</v>
      </c>
      <c r="L218" s="2" t="s">
        <v>417</v>
      </c>
      <c r="M218" s="16">
        <v>46205</v>
      </c>
      <c r="N218" s="17">
        <v>46219</v>
      </c>
      <c r="O218" s="7">
        <v>46219</v>
      </c>
      <c r="P218" s="18">
        <f t="shared" si="6"/>
        <v>14</v>
      </c>
      <c r="Q218" s="18">
        <f t="shared" si="7"/>
        <v>0</v>
      </c>
    </row>
    <row r="219" spans="1:17">
      <c r="A219" s="9">
        <v>218</v>
      </c>
      <c r="B219" s="10" t="s">
        <v>415</v>
      </c>
      <c r="C219" s="11"/>
      <c r="D219" s="10" t="s">
        <v>109</v>
      </c>
      <c r="E219" s="11"/>
      <c r="F219" s="12" t="s">
        <v>418</v>
      </c>
      <c r="G219" s="13">
        <v>1</v>
      </c>
      <c r="H219" s="11" t="s">
        <v>25</v>
      </c>
      <c r="I219" s="14">
        <v>769</v>
      </c>
      <c r="J219" s="15">
        <v>153.80000000000001</v>
      </c>
      <c r="K219" s="14">
        <v>615.20000000000005</v>
      </c>
      <c r="L219" s="2" t="s">
        <v>417</v>
      </c>
      <c r="M219" s="16">
        <v>46205</v>
      </c>
      <c r="N219" s="17">
        <v>46219</v>
      </c>
      <c r="O219" s="7">
        <v>46219</v>
      </c>
      <c r="P219" s="18">
        <f t="shared" si="6"/>
        <v>14</v>
      </c>
      <c r="Q219" s="18">
        <f t="shared" si="7"/>
        <v>0</v>
      </c>
    </row>
    <row r="220" spans="1:17">
      <c r="A220" s="9">
        <v>219</v>
      </c>
      <c r="B220" s="10" t="s">
        <v>415</v>
      </c>
      <c r="C220" s="11"/>
      <c r="D220" s="10" t="s">
        <v>109</v>
      </c>
      <c r="E220" s="11"/>
      <c r="F220" s="12" t="s">
        <v>419</v>
      </c>
      <c r="G220" s="13">
        <v>2</v>
      </c>
      <c r="H220" s="11" t="s">
        <v>25</v>
      </c>
      <c r="I220" s="14">
        <v>1970</v>
      </c>
      <c r="J220" s="15">
        <v>788</v>
      </c>
      <c r="K220" s="14">
        <v>3152</v>
      </c>
      <c r="L220" s="2" t="s">
        <v>417</v>
      </c>
      <c r="M220" s="16">
        <v>46205</v>
      </c>
      <c r="N220" s="17">
        <v>46219</v>
      </c>
      <c r="O220" s="7">
        <v>46219</v>
      </c>
      <c r="P220" s="18">
        <f t="shared" si="6"/>
        <v>14</v>
      </c>
      <c r="Q220" s="18">
        <f t="shared" si="7"/>
        <v>0</v>
      </c>
    </row>
    <row r="221" spans="1:17">
      <c r="A221" s="9">
        <v>220</v>
      </c>
      <c r="B221" s="10" t="s">
        <v>89</v>
      </c>
      <c r="C221" s="11"/>
      <c r="D221" s="10" t="s">
        <v>90</v>
      </c>
      <c r="E221" s="11"/>
      <c r="F221" s="12" t="s">
        <v>420</v>
      </c>
      <c r="G221" s="13">
        <v>4</v>
      </c>
      <c r="H221" s="11" t="s">
        <v>25</v>
      </c>
      <c r="I221" s="14">
        <v>18</v>
      </c>
      <c r="J221" s="10"/>
      <c r="K221" s="14">
        <v>72</v>
      </c>
      <c r="L221" s="2" t="s">
        <v>92</v>
      </c>
      <c r="M221" s="16">
        <v>46213</v>
      </c>
      <c r="N221" s="17">
        <v>46219</v>
      </c>
      <c r="O221" s="7">
        <v>46219</v>
      </c>
      <c r="P221" s="18">
        <f t="shared" si="6"/>
        <v>6</v>
      </c>
      <c r="Q221" s="18">
        <f t="shared" si="7"/>
        <v>0</v>
      </c>
    </row>
    <row r="222" spans="1:17">
      <c r="A222" s="9">
        <v>221</v>
      </c>
      <c r="B222" s="10" t="s">
        <v>89</v>
      </c>
      <c r="C222" s="11"/>
      <c r="D222" s="10" t="s">
        <v>90</v>
      </c>
      <c r="E222" s="11"/>
      <c r="F222" s="12" t="s">
        <v>421</v>
      </c>
      <c r="G222" s="13">
        <v>8</v>
      </c>
      <c r="H222" s="11" t="s">
        <v>25</v>
      </c>
      <c r="I222" s="14">
        <v>25</v>
      </c>
      <c r="J222" s="10"/>
      <c r="K222" s="14">
        <v>200</v>
      </c>
      <c r="L222" s="2" t="s">
        <v>92</v>
      </c>
      <c r="M222" s="16">
        <v>46213</v>
      </c>
      <c r="N222" s="17">
        <v>46219</v>
      </c>
      <c r="O222" s="7">
        <v>46219</v>
      </c>
      <c r="P222" s="18">
        <f t="shared" si="6"/>
        <v>6</v>
      </c>
      <c r="Q222" s="18">
        <f t="shared" si="7"/>
        <v>0</v>
      </c>
    </row>
    <row r="223" spans="1:17">
      <c r="A223" s="9">
        <v>222</v>
      </c>
      <c r="B223" s="10" t="s">
        <v>89</v>
      </c>
      <c r="C223" s="11"/>
      <c r="D223" s="10" t="s">
        <v>90</v>
      </c>
      <c r="E223" s="11"/>
      <c r="F223" s="12" t="s">
        <v>422</v>
      </c>
      <c r="G223" s="13">
        <v>1</v>
      </c>
      <c r="H223" s="11" t="s">
        <v>25</v>
      </c>
      <c r="I223" s="14">
        <v>48</v>
      </c>
      <c r="J223" s="10"/>
      <c r="K223" s="14">
        <v>48</v>
      </c>
      <c r="L223" s="2" t="s">
        <v>92</v>
      </c>
      <c r="M223" s="16">
        <v>46213</v>
      </c>
      <c r="N223" s="17">
        <v>46219</v>
      </c>
      <c r="O223" s="7">
        <v>46219</v>
      </c>
      <c r="P223" s="18">
        <f t="shared" si="6"/>
        <v>6</v>
      </c>
      <c r="Q223" s="18">
        <f t="shared" si="7"/>
        <v>0</v>
      </c>
    </row>
    <row r="224" spans="1:17">
      <c r="A224" s="9">
        <v>223</v>
      </c>
      <c r="B224" s="10" t="s">
        <v>89</v>
      </c>
      <c r="C224" s="11"/>
      <c r="D224" s="10" t="s">
        <v>90</v>
      </c>
      <c r="E224" s="11"/>
      <c r="F224" s="12" t="s">
        <v>423</v>
      </c>
      <c r="G224" s="13">
        <v>1</v>
      </c>
      <c r="H224" s="11" t="s">
        <v>25</v>
      </c>
      <c r="I224" s="14">
        <v>1050</v>
      </c>
      <c r="J224" s="10"/>
      <c r="K224" s="14">
        <v>1050</v>
      </c>
      <c r="L224" s="2" t="s">
        <v>92</v>
      </c>
      <c r="M224" s="16">
        <v>46213</v>
      </c>
      <c r="N224" s="17">
        <v>46219</v>
      </c>
      <c r="O224" s="7">
        <v>46219</v>
      </c>
      <c r="P224" s="18">
        <f t="shared" si="6"/>
        <v>6</v>
      </c>
      <c r="Q224" s="18">
        <f t="shared" si="7"/>
        <v>0</v>
      </c>
    </row>
    <row r="225" spans="1:17">
      <c r="A225" s="9">
        <v>224</v>
      </c>
      <c r="B225" s="10" t="s">
        <v>89</v>
      </c>
      <c r="C225" s="11"/>
      <c r="D225" s="10" t="s">
        <v>90</v>
      </c>
      <c r="E225" s="11"/>
      <c r="F225" s="12" t="s">
        <v>424</v>
      </c>
      <c r="G225" s="13">
        <v>2</v>
      </c>
      <c r="H225" s="11" t="s">
        <v>25</v>
      </c>
      <c r="I225" s="14">
        <v>44</v>
      </c>
      <c r="J225" s="10"/>
      <c r="K225" s="14">
        <v>88</v>
      </c>
      <c r="L225" s="2" t="s">
        <v>92</v>
      </c>
      <c r="M225" s="16">
        <v>46213</v>
      </c>
      <c r="N225" s="17">
        <v>46219</v>
      </c>
      <c r="O225" s="7">
        <v>46219</v>
      </c>
      <c r="P225" s="18">
        <f t="shared" si="6"/>
        <v>6</v>
      </c>
      <c r="Q225" s="18">
        <f t="shared" si="7"/>
        <v>0</v>
      </c>
    </row>
    <row r="226" spans="1:17">
      <c r="A226" s="9">
        <v>225</v>
      </c>
      <c r="B226" s="10" t="s">
        <v>89</v>
      </c>
      <c r="C226" s="11"/>
      <c r="D226" s="10" t="s">
        <v>90</v>
      </c>
      <c r="E226" s="11"/>
      <c r="F226" s="12" t="s">
        <v>425</v>
      </c>
      <c r="G226" s="13">
        <v>6</v>
      </c>
      <c r="H226" s="11" t="s">
        <v>25</v>
      </c>
      <c r="I226" s="14">
        <v>30</v>
      </c>
      <c r="J226" s="10"/>
      <c r="K226" s="14">
        <v>180</v>
      </c>
      <c r="L226" s="2" t="s">
        <v>92</v>
      </c>
      <c r="M226" s="16">
        <v>46213</v>
      </c>
      <c r="N226" s="17">
        <v>46219</v>
      </c>
      <c r="O226" s="7">
        <v>46219</v>
      </c>
      <c r="P226" s="18">
        <f t="shared" si="6"/>
        <v>6</v>
      </c>
      <c r="Q226" s="18">
        <f t="shared" si="7"/>
        <v>0</v>
      </c>
    </row>
    <row r="227" spans="1:17">
      <c r="A227" s="9">
        <v>226</v>
      </c>
      <c r="B227" s="10" t="s">
        <v>89</v>
      </c>
      <c r="C227" s="11"/>
      <c r="D227" s="10" t="s">
        <v>90</v>
      </c>
      <c r="E227" s="11"/>
      <c r="F227" s="12" t="s">
        <v>426</v>
      </c>
      <c r="G227" s="13">
        <v>1</v>
      </c>
      <c r="H227" s="11" t="s">
        <v>25</v>
      </c>
      <c r="I227" s="14">
        <v>35</v>
      </c>
      <c r="J227" s="10"/>
      <c r="K227" s="14">
        <v>35</v>
      </c>
      <c r="L227" s="2" t="s">
        <v>92</v>
      </c>
      <c r="M227" s="16">
        <v>46213</v>
      </c>
      <c r="N227" s="17">
        <v>46219</v>
      </c>
      <c r="O227" s="7">
        <v>46219</v>
      </c>
      <c r="P227" s="18">
        <f t="shared" si="6"/>
        <v>6</v>
      </c>
      <c r="Q227" s="18">
        <f t="shared" si="7"/>
        <v>0</v>
      </c>
    </row>
    <row r="228" spans="1:17">
      <c r="A228" s="9">
        <v>227</v>
      </c>
      <c r="B228" s="10" t="s">
        <v>89</v>
      </c>
      <c r="C228" s="11"/>
      <c r="D228" s="10" t="s">
        <v>90</v>
      </c>
      <c r="E228" s="11"/>
      <c r="F228" s="12" t="s">
        <v>427</v>
      </c>
      <c r="G228" s="13">
        <v>3</v>
      </c>
      <c r="H228" s="11" t="s">
        <v>25</v>
      </c>
      <c r="I228" s="14">
        <v>18</v>
      </c>
      <c r="J228" s="10"/>
      <c r="K228" s="14">
        <v>54</v>
      </c>
      <c r="L228" s="2" t="s">
        <v>92</v>
      </c>
      <c r="M228" s="16">
        <v>46213</v>
      </c>
      <c r="N228" s="17">
        <v>46219</v>
      </c>
      <c r="O228" s="7">
        <v>46219</v>
      </c>
      <c r="P228" s="18">
        <f t="shared" si="6"/>
        <v>6</v>
      </c>
      <c r="Q228" s="18">
        <f t="shared" si="7"/>
        <v>0</v>
      </c>
    </row>
    <row r="229" spans="1:17">
      <c r="A229" s="9">
        <v>228</v>
      </c>
      <c r="B229" s="10" t="s">
        <v>89</v>
      </c>
      <c r="C229" s="11"/>
      <c r="D229" s="10" t="s">
        <v>90</v>
      </c>
      <c r="E229" s="11"/>
      <c r="F229" s="12" t="s">
        <v>428</v>
      </c>
      <c r="G229" s="13">
        <v>2</v>
      </c>
      <c r="H229" s="11" t="s">
        <v>25</v>
      </c>
      <c r="I229" s="14">
        <v>113</v>
      </c>
      <c r="J229" s="10"/>
      <c r="K229" s="14">
        <v>226</v>
      </c>
      <c r="L229" s="2" t="s">
        <v>92</v>
      </c>
      <c r="M229" s="16">
        <v>46213</v>
      </c>
      <c r="N229" s="17">
        <v>46219</v>
      </c>
      <c r="O229" s="7">
        <v>46219</v>
      </c>
      <c r="P229" s="18">
        <f t="shared" si="6"/>
        <v>6</v>
      </c>
      <c r="Q229" s="18">
        <f t="shared" si="7"/>
        <v>0</v>
      </c>
    </row>
    <row r="230" spans="1:17">
      <c r="A230" s="9">
        <v>229</v>
      </c>
      <c r="B230" s="10" t="s">
        <v>89</v>
      </c>
      <c r="C230" s="11"/>
      <c r="D230" s="10" t="s">
        <v>90</v>
      </c>
      <c r="E230" s="11"/>
      <c r="F230" s="12" t="s">
        <v>429</v>
      </c>
      <c r="G230" s="13">
        <v>2</v>
      </c>
      <c r="H230" s="11" t="s">
        <v>25</v>
      </c>
      <c r="I230" s="14">
        <v>105</v>
      </c>
      <c r="J230" s="10"/>
      <c r="K230" s="14">
        <v>210</v>
      </c>
      <c r="L230" s="2" t="s">
        <v>92</v>
      </c>
      <c r="M230" s="16">
        <v>46213</v>
      </c>
      <c r="N230" s="17">
        <v>46219</v>
      </c>
      <c r="O230" s="7">
        <v>46219</v>
      </c>
      <c r="P230" s="18">
        <f t="shared" si="6"/>
        <v>6</v>
      </c>
      <c r="Q230" s="18">
        <f t="shared" si="7"/>
        <v>0</v>
      </c>
    </row>
    <row r="231" spans="1:17">
      <c r="A231" s="9">
        <v>230</v>
      </c>
      <c r="B231" s="10" t="s">
        <v>89</v>
      </c>
      <c r="C231" s="11"/>
      <c r="D231" s="10" t="s">
        <v>90</v>
      </c>
      <c r="E231" s="11"/>
      <c r="F231" s="12" t="s">
        <v>430</v>
      </c>
      <c r="G231" s="13">
        <v>1</v>
      </c>
      <c r="H231" s="11" t="s">
        <v>25</v>
      </c>
      <c r="I231" s="14">
        <v>1050</v>
      </c>
      <c r="J231" s="10"/>
      <c r="K231" s="14">
        <v>1050</v>
      </c>
      <c r="L231" s="2" t="s">
        <v>92</v>
      </c>
      <c r="M231" s="16">
        <v>46213</v>
      </c>
      <c r="N231" s="17">
        <v>46219</v>
      </c>
      <c r="O231" s="7">
        <v>46219</v>
      </c>
      <c r="P231" s="18">
        <f t="shared" si="6"/>
        <v>6</v>
      </c>
      <c r="Q231" s="18">
        <f t="shared" si="7"/>
        <v>0</v>
      </c>
    </row>
    <row r="232" spans="1:17">
      <c r="A232" s="9">
        <v>231</v>
      </c>
      <c r="B232" s="10" t="s">
        <v>89</v>
      </c>
      <c r="C232" s="11"/>
      <c r="D232" s="10" t="s">
        <v>90</v>
      </c>
      <c r="E232" s="11"/>
      <c r="F232" s="12" t="s">
        <v>431</v>
      </c>
      <c r="G232" s="13">
        <v>4</v>
      </c>
      <c r="H232" s="11" t="s">
        <v>25</v>
      </c>
      <c r="I232" s="14">
        <v>2287.5</v>
      </c>
      <c r="J232" s="10"/>
      <c r="K232" s="14">
        <v>9150</v>
      </c>
      <c r="L232" s="2" t="s">
        <v>92</v>
      </c>
      <c r="M232" s="16">
        <v>46213</v>
      </c>
      <c r="N232" s="17">
        <v>46219</v>
      </c>
      <c r="O232" s="7">
        <v>46219</v>
      </c>
      <c r="P232" s="18">
        <f t="shared" si="6"/>
        <v>6</v>
      </c>
      <c r="Q232" s="18">
        <f t="shared" si="7"/>
        <v>0</v>
      </c>
    </row>
    <row r="233" spans="1:17">
      <c r="A233" s="9">
        <v>232</v>
      </c>
      <c r="B233" s="10" t="s">
        <v>89</v>
      </c>
      <c r="C233" s="11"/>
      <c r="D233" s="10" t="s">
        <v>90</v>
      </c>
      <c r="E233" s="11"/>
      <c r="F233" s="12" t="s">
        <v>432</v>
      </c>
      <c r="G233" s="13">
        <v>2</v>
      </c>
      <c r="H233" s="11" t="s">
        <v>25</v>
      </c>
      <c r="I233" s="14">
        <v>113</v>
      </c>
      <c r="J233" s="10"/>
      <c r="K233" s="14">
        <v>226</v>
      </c>
      <c r="L233" s="2" t="s">
        <v>92</v>
      </c>
      <c r="M233" s="16">
        <v>46213</v>
      </c>
      <c r="N233" s="17">
        <v>46219</v>
      </c>
      <c r="O233" s="7">
        <v>46219</v>
      </c>
      <c r="P233" s="18">
        <f t="shared" si="6"/>
        <v>6</v>
      </c>
      <c r="Q233" s="18">
        <f t="shared" si="7"/>
        <v>0</v>
      </c>
    </row>
    <row r="234" spans="1:17">
      <c r="A234" s="9">
        <v>233</v>
      </c>
      <c r="B234" s="10" t="s">
        <v>89</v>
      </c>
      <c r="C234" s="11"/>
      <c r="D234" s="10" t="s">
        <v>90</v>
      </c>
      <c r="E234" s="11"/>
      <c r="F234" s="12" t="s">
        <v>433</v>
      </c>
      <c r="G234" s="13">
        <v>14</v>
      </c>
      <c r="H234" s="11" t="s">
        <v>25</v>
      </c>
      <c r="I234" s="14">
        <v>25</v>
      </c>
      <c r="J234" s="10"/>
      <c r="K234" s="14">
        <v>350</v>
      </c>
      <c r="L234" s="2" t="s">
        <v>92</v>
      </c>
      <c r="M234" s="16">
        <v>46213</v>
      </c>
      <c r="N234" s="17">
        <v>46219</v>
      </c>
      <c r="O234" s="7">
        <v>46219</v>
      </c>
      <c r="P234" s="18">
        <f t="shared" si="6"/>
        <v>6</v>
      </c>
      <c r="Q234" s="18">
        <f t="shared" si="7"/>
        <v>0</v>
      </c>
    </row>
    <row r="235" spans="1:17">
      <c r="A235" s="9">
        <v>234</v>
      </c>
      <c r="B235" s="10" t="s">
        <v>89</v>
      </c>
      <c r="C235" s="11"/>
      <c r="D235" s="10" t="s">
        <v>90</v>
      </c>
      <c r="E235" s="11"/>
      <c r="F235" s="12" t="s">
        <v>434</v>
      </c>
      <c r="G235" s="13">
        <v>4</v>
      </c>
      <c r="H235" s="11" t="s">
        <v>25</v>
      </c>
      <c r="I235" s="14">
        <v>57</v>
      </c>
      <c r="J235" s="10"/>
      <c r="K235" s="14">
        <v>228</v>
      </c>
      <c r="L235" s="2" t="s">
        <v>92</v>
      </c>
      <c r="M235" s="16">
        <v>46213</v>
      </c>
      <c r="N235" s="17">
        <v>46219</v>
      </c>
      <c r="O235" s="7">
        <v>46219</v>
      </c>
      <c r="P235" s="18">
        <f t="shared" si="6"/>
        <v>6</v>
      </c>
      <c r="Q235" s="18">
        <f t="shared" si="7"/>
        <v>0</v>
      </c>
    </row>
    <row r="236" spans="1:17">
      <c r="A236" s="9">
        <v>235</v>
      </c>
      <c r="B236" s="10" t="s">
        <v>89</v>
      </c>
      <c r="C236" s="11"/>
      <c r="D236" s="10" t="s">
        <v>90</v>
      </c>
      <c r="E236" s="11"/>
      <c r="F236" s="12" t="s">
        <v>435</v>
      </c>
      <c r="G236" s="13">
        <v>4</v>
      </c>
      <c r="H236" s="11" t="s">
        <v>25</v>
      </c>
      <c r="I236" s="14">
        <v>55</v>
      </c>
      <c r="J236" s="10"/>
      <c r="K236" s="14">
        <v>220</v>
      </c>
      <c r="L236" s="2" t="s">
        <v>92</v>
      </c>
      <c r="M236" s="16">
        <v>46213</v>
      </c>
      <c r="N236" s="17">
        <v>46219</v>
      </c>
      <c r="O236" s="7">
        <v>46219</v>
      </c>
      <c r="P236" s="18">
        <f t="shared" si="6"/>
        <v>6</v>
      </c>
      <c r="Q236" s="18">
        <f t="shared" si="7"/>
        <v>0</v>
      </c>
    </row>
    <row r="237" spans="1:17">
      <c r="A237" s="9">
        <v>236</v>
      </c>
      <c r="B237" s="10" t="s">
        <v>89</v>
      </c>
      <c r="C237" s="11"/>
      <c r="D237" s="10" t="s">
        <v>90</v>
      </c>
      <c r="E237" s="11"/>
      <c r="F237" s="12" t="s">
        <v>436</v>
      </c>
      <c r="G237" s="13">
        <v>8</v>
      </c>
      <c r="H237" s="11" t="s">
        <v>25</v>
      </c>
      <c r="I237" s="14">
        <v>44</v>
      </c>
      <c r="J237" s="10"/>
      <c r="K237" s="14">
        <v>352</v>
      </c>
      <c r="L237" s="2" t="s">
        <v>92</v>
      </c>
      <c r="M237" s="16">
        <v>46213</v>
      </c>
      <c r="N237" s="17">
        <v>46219</v>
      </c>
      <c r="O237" s="7">
        <v>46219</v>
      </c>
      <c r="P237" s="18">
        <f t="shared" si="6"/>
        <v>6</v>
      </c>
      <c r="Q237" s="18">
        <f t="shared" si="7"/>
        <v>0</v>
      </c>
    </row>
    <row r="238" spans="1:17">
      <c r="A238" s="9">
        <v>237</v>
      </c>
      <c r="B238" s="10" t="s">
        <v>89</v>
      </c>
      <c r="C238" s="11"/>
      <c r="D238" s="10" t="s">
        <v>90</v>
      </c>
      <c r="E238" s="11"/>
      <c r="F238" s="12" t="s">
        <v>437</v>
      </c>
      <c r="G238" s="13">
        <v>1</v>
      </c>
      <c r="H238" s="11" t="s">
        <v>25</v>
      </c>
      <c r="I238" s="14">
        <v>3200</v>
      </c>
      <c r="J238" s="10"/>
      <c r="K238" s="14">
        <v>3200</v>
      </c>
      <c r="L238" s="2" t="s">
        <v>92</v>
      </c>
      <c r="M238" s="16">
        <v>46213</v>
      </c>
      <c r="N238" s="17">
        <v>46219</v>
      </c>
      <c r="O238" s="7">
        <v>46219</v>
      </c>
      <c r="P238" s="18">
        <f t="shared" si="6"/>
        <v>6</v>
      </c>
      <c r="Q238" s="18">
        <f t="shared" si="7"/>
        <v>0</v>
      </c>
    </row>
    <row r="239" spans="1:17">
      <c r="A239" s="9">
        <v>238</v>
      </c>
      <c r="B239" s="10" t="s">
        <v>89</v>
      </c>
      <c r="C239" s="11"/>
      <c r="D239" s="10" t="s">
        <v>90</v>
      </c>
      <c r="E239" s="11"/>
      <c r="F239" s="12" t="s">
        <v>438</v>
      </c>
      <c r="G239" s="13">
        <v>1</v>
      </c>
      <c r="H239" s="11" t="s">
        <v>25</v>
      </c>
      <c r="I239" s="14">
        <v>105</v>
      </c>
      <c r="J239" s="10"/>
      <c r="K239" s="14">
        <v>105</v>
      </c>
      <c r="L239" s="2" t="s">
        <v>92</v>
      </c>
      <c r="M239" s="16">
        <v>46213</v>
      </c>
      <c r="N239" s="17">
        <v>46219</v>
      </c>
      <c r="O239" s="7">
        <v>46219</v>
      </c>
      <c r="P239" s="18">
        <f t="shared" si="6"/>
        <v>6</v>
      </c>
      <c r="Q239" s="18">
        <f t="shared" si="7"/>
        <v>0</v>
      </c>
    </row>
    <row r="240" spans="1:17">
      <c r="A240" s="9">
        <v>239</v>
      </c>
      <c r="B240" s="10" t="s">
        <v>89</v>
      </c>
      <c r="C240" s="11"/>
      <c r="D240" s="10" t="s">
        <v>90</v>
      </c>
      <c r="E240" s="11"/>
      <c r="F240" s="12" t="s">
        <v>439</v>
      </c>
      <c r="G240" s="13">
        <v>1</v>
      </c>
      <c r="H240" s="11" t="s">
        <v>25</v>
      </c>
      <c r="I240" s="14">
        <v>1450</v>
      </c>
      <c r="J240" s="10"/>
      <c r="K240" s="14">
        <v>1450</v>
      </c>
      <c r="L240" s="2" t="s">
        <v>92</v>
      </c>
      <c r="M240" s="16">
        <v>46213</v>
      </c>
      <c r="N240" s="17">
        <v>46219</v>
      </c>
      <c r="O240" s="7">
        <v>46219</v>
      </c>
      <c r="P240" s="18">
        <f t="shared" si="6"/>
        <v>6</v>
      </c>
      <c r="Q240" s="18">
        <f t="shared" si="7"/>
        <v>0</v>
      </c>
    </row>
    <row r="241" spans="1:17">
      <c r="A241" s="9">
        <v>240</v>
      </c>
      <c r="B241" s="10" t="s">
        <v>89</v>
      </c>
      <c r="C241" s="11"/>
      <c r="D241" s="10" t="s">
        <v>90</v>
      </c>
      <c r="E241" s="11"/>
      <c r="F241" s="12" t="s">
        <v>440</v>
      </c>
      <c r="G241" s="13">
        <v>6</v>
      </c>
      <c r="H241" s="11" t="s">
        <v>25</v>
      </c>
      <c r="I241" s="14">
        <v>182</v>
      </c>
      <c r="J241" s="10"/>
      <c r="K241" s="14">
        <v>1092</v>
      </c>
      <c r="L241" s="2" t="s">
        <v>92</v>
      </c>
      <c r="M241" s="16">
        <v>46213</v>
      </c>
      <c r="N241" s="17">
        <v>46219</v>
      </c>
      <c r="O241" s="7">
        <v>46219</v>
      </c>
      <c r="P241" s="18">
        <f t="shared" si="6"/>
        <v>6</v>
      </c>
      <c r="Q241" s="18">
        <f t="shared" si="7"/>
        <v>0</v>
      </c>
    </row>
    <row r="242" spans="1:17">
      <c r="A242" s="9">
        <v>241</v>
      </c>
      <c r="B242" s="10" t="s">
        <v>89</v>
      </c>
      <c r="C242" s="11"/>
      <c r="D242" s="10" t="s">
        <v>90</v>
      </c>
      <c r="E242" s="11"/>
      <c r="F242" s="12" t="s">
        <v>441</v>
      </c>
      <c r="G242" s="13">
        <v>10</v>
      </c>
      <c r="H242" s="11" t="s">
        <v>25</v>
      </c>
      <c r="I242" s="14">
        <v>135</v>
      </c>
      <c r="J242" s="10"/>
      <c r="K242" s="14">
        <v>1350</v>
      </c>
      <c r="L242" s="2" t="s">
        <v>92</v>
      </c>
      <c r="M242" s="16">
        <v>46213</v>
      </c>
      <c r="N242" s="17">
        <v>46219</v>
      </c>
      <c r="O242" s="7">
        <v>46219</v>
      </c>
      <c r="P242" s="18">
        <f t="shared" si="6"/>
        <v>6</v>
      </c>
      <c r="Q242" s="18">
        <f t="shared" si="7"/>
        <v>0</v>
      </c>
    </row>
    <row r="243" spans="1:17">
      <c r="A243" s="9">
        <v>242</v>
      </c>
      <c r="B243" s="10" t="s">
        <v>89</v>
      </c>
      <c r="C243" s="11"/>
      <c r="D243" s="10" t="s">
        <v>90</v>
      </c>
      <c r="E243" s="11"/>
      <c r="F243" s="12" t="s">
        <v>442</v>
      </c>
      <c r="G243" s="13">
        <v>5</v>
      </c>
      <c r="H243" s="11" t="s">
        <v>25</v>
      </c>
      <c r="I243" s="14">
        <v>18</v>
      </c>
      <c r="J243" s="10"/>
      <c r="K243" s="14">
        <v>90</v>
      </c>
      <c r="L243" s="2" t="s">
        <v>92</v>
      </c>
      <c r="M243" s="16">
        <v>46213</v>
      </c>
      <c r="N243" s="17">
        <v>46219</v>
      </c>
      <c r="O243" s="7">
        <v>46219</v>
      </c>
      <c r="P243" s="18">
        <f t="shared" si="6"/>
        <v>6</v>
      </c>
      <c r="Q243" s="18">
        <f t="shared" si="7"/>
        <v>0</v>
      </c>
    </row>
    <row r="244" spans="1:17">
      <c r="A244" s="9">
        <v>243</v>
      </c>
      <c r="B244" s="10" t="s">
        <v>89</v>
      </c>
      <c r="C244" s="11"/>
      <c r="D244" s="10" t="s">
        <v>90</v>
      </c>
      <c r="E244" s="11"/>
      <c r="F244" s="12" t="s">
        <v>443</v>
      </c>
      <c r="G244" s="13">
        <v>2</v>
      </c>
      <c r="H244" s="11" t="s">
        <v>25</v>
      </c>
      <c r="I244" s="14">
        <v>6500</v>
      </c>
      <c r="J244" s="10"/>
      <c r="K244" s="14">
        <v>13000</v>
      </c>
      <c r="L244" s="2" t="s">
        <v>92</v>
      </c>
      <c r="M244" s="16">
        <v>46213</v>
      </c>
      <c r="N244" s="17">
        <v>46219</v>
      </c>
      <c r="O244" s="7">
        <v>46219</v>
      </c>
      <c r="P244" s="18">
        <f t="shared" si="6"/>
        <v>6</v>
      </c>
      <c r="Q244" s="18">
        <f t="shared" si="7"/>
        <v>0</v>
      </c>
    </row>
    <row r="245" spans="1:17">
      <c r="A245" s="9">
        <v>244</v>
      </c>
      <c r="B245" s="10" t="s">
        <v>89</v>
      </c>
      <c r="C245" s="11"/>
      <c r="D245" s="10" t="s">
        <v>90</v>
      </c>
      <c r="E245" s="11"/>
      <c r="F245" s="12" t="s">
        <v>444</v>
      </c>
      <c r="G245" s="13">
        <v>4</v>
      </c>
      <c r="H245" s="11" t="s">
        <v>25</v>
      </c>
      <c r="I245" s="14">
        <v>206</v>
      </c>
      <c r="J245" s="10"/>
      <c r="K245" s="14">
        <v>824</v>
      </c>
      <c r="L245" s="2" t="s">
        <v>92</v>
      </c>
      <c r="M245" s="16">
        <v>46213</v>
      </c>
      <c r="N245" s="17">
        <v>46219</v>
      </c>
      <c r="O245" s="7">
        <v>46219</v>
      </c>
      <c r="P245" s="18">
        <f t="shared" si="6"/>
        <v>6</v>
      </c>
      <c r="Q245" s="18">
        <f t="shared" si="7"/>
        <v>0</v>
      </c>
    </row>
    <row r="246" spans="1:17">
      <c r="A246" s="9">
        <v>245</v>
      </c>
      <c r="B246" s="10" t="s">
        <v>89</v>
      </c>
      <c r="C246" s="11"/>
      <c r="D246" s="10" t="s">
        <v>90</v>
      </c>
      <c r="E246" s="11"/>
      <c r="F246" s="12" t="s">
        <v>445</v>
      </c>
      <c r="G246" s="13">
        <v>2</v>
      </c>
      <c r="H246" s="11" t="s">
        <v>25</v>
      </c>
      <c r="I246" s="14">
        <v>7150</v>
      </c>
      <c r="J246" s="10"/>
      <c r="K246" s="14">
        <v>14300</v>
      </c>
      <c r="L246" s="2" t="s">
        <v>92</v>
      </c>
      <c r="M246" s="16">
        <v>46213</v>
      </c>
      <c r="N246" s="17">
        <v>46219</v>
      </c>
      <c r="O246" s="7">
        <v>46219</v>
      </c>
      <c r="P246" s="18">
        <f t="shared" si="6"/>
        <v>6</v>
      </c>
      <c r="Q246" s="18">
        <f t="shared" si="7"/>
        <v>0</v>
      </c>
    </row>
    <row r="247" spans="1:17">
      <c r="A247" s="9">
        <v>246</v>
      </c>
      <c r="B247" s="10" t="s">
        <v>379</v>
      </c>
      <c r="C247" s="11"/>
      <c r="D247" s="10" t="s">
        <v>183</v>
      </c>
      <c r="E247" s="11"/>
      <c r="F247" s="12" t="s">
        <v>446</v>
      </c>
      <c r="G247" s="13">
        <v>5</v>
      </c>
      <c r="H247" s="11" t="s">
        <v>224</v>
      </c>
      <c r="I247" s="14">
        <v>1300</v>
      </c>
      <c r="J247" s="10"/>
      <c r="K247" s="14">
        <v>6500</v>
      </c>
      <c r="L247" s="2" t="s">
        <v>447</v>
      </c>
      <c r="M247" s="16">
        <v>46209</v>
      </c>
      <c r="N247" s="17">
        <v>46220</v>
      </c>
      <c r="O247" s="7">
        <v>46220</v>
      </c>
      <c r="P247" s="18">
        <f t="shared" si="6"/>
        <v>11</v>
      </c>
      <c r="Q247" s="18">
        <f t="shared" si="7"/>
        <v>0</v>
      </c>
    </row>
    <row r="248" spans="1:17">
      <c r="A248" s="9">
        <v>247</v>
      </c>
      <c r="B248" s="10" t="s">
        <v>379</v>
      </c>
      <c r="C248" s="11"/>
      <c r="D248" s="10" t="s">
        <v>183</v>
      </c>
      <c r="E248" s="11"/>
      <c r="F248" s="12" t="s">
        <v>448</v>
      </c>
      <c r="G248" s="13">
        <v>2</v>
      </c>
      <c r="H248" s="11" t="s">
        <v>25</v>
      </c>
      <c r="I248" s="14">
        <v>515</v>
      </c>
      <c r="J248" s="10"/>
      <c r="K248" s="14">
        <v>1030</v>
      </c>
      <c r="L248" s="2" t="s">
        <v>447</v>
      </c>
      <c r="M248" s="16">
        <v>46209</v>
      </c>
      <c r="N248" s="17">
        <v>46220</v>
      </c>
      <c r="O248" s="7">
        <v>46220</v>
      </c>
      <c r="P248" s="18">
        <f t="shared" si="6"/>
        <v>11</v>
      </c>
      <c r="Q248" s="18">
        <f t="shared" si="7"/>
        <v>0</v>
      </c>
    </row>
    <row r="249" spans="1:17">
      <c r="A249" s="9">
        <v>248</v>
      </c>
      <c r="B249" s="10" t="s">
        <v>379</v>
      </c>
      <c r="C249" s="11"/>
      <c r="D249" s="10" t="s">
        <v>183</v>
      </c>
      <c r="E249" s="11"/>
      <c r="F249" s="12" t="s">
        <v>449</v>
      </c>
      <c r="G249" s="13">
        <v>1</v>
      </c>
      <c r="H249" s="11" t="s">
        <v>25</v>
      </c>
      <c r="I249" s="14">
        <v>515</v>
      </c>
      <c r="J249" s="10"/>
      <c r="K249" s="14">
        <v>515</v>
      </c>
      <c r="L249" s="2" t="s">
        <v>447</v>
      </c>
      <c r="M249" s="16">
        <v>46209</v>
      </c>
      <c r="N249" s="17">
        <v>46220</v>
      </c>
      <c r="O249" s="7">
        <v>46220</v>
      </c>
      <c r="P249" s="18">
        <f t="shared" si="6"/>
        <v>11</v>
      </c>
      <c r="Q249" s="18">
        <f t="shared" si="7"/>
        <v>0</v>
      </c>
    </row>
    <row r="250" spans="1:17">
      <c r="A250" s="9">
        <v>249</v>
      </c>
      <c r="B250" s="10" t="s">
        <v>379</v>
      </c>
      <c r="C250" s="11"/>
      <c r="D250" s="10" t="s">
        <v>183</v>
      </c>
      <c r="E250" s="11"/>
      <c r="F250" s="12" t="s">
        <v>450</v>
      </c>
      <c r="G250" s="13">
        <v>2</v>
      </c>
      <c r="H250" s="11" t="s">
        <v>25</v>
      </c>
      <c r="I250" s="14">
        <v>645</v>
      </c>
      <c r="J250" s="10"/>
      <c r="K250" s="14">
        <v>1290</v>
      </c>
      <c r="L250" s="2" t="s">
        <v>447</v>
      </c>
      <c r="M250" s="16">
        <v>46209</v>
      </c>
      <c r="N250" s="17">
        <v>46220</v>
      </c>
      <c r="O250" s="7">
        <v>46220</v>
      </c>
      <c r="P250" s="18">
        <f t="shared" si="6"/>
        <v>11</v>
      </c>
      <c r="Q250" s="18">
        <f t="shared" si="7"/>
        <v>0</v>
      </c>
    </row>
    <row r="251" spans="1:17">
      <c r="A251" s="9">
        <v>250</v>
      </c>
      <c r="B251" s="10" t="s">
        <v>379</v>
      </c>
      <c r="C251" s="11"/>
      <c r="D251" s="10" t="s">
        <v>183</v>
      </c>
      <c r="E251" s="11"/>
      <c r="F251" s="12" t="s">
        <v>451</v>
      </c>
      <c r="G251" s="13">
        <v>2</v>
      </c>
      <c r="H251" s="11" t="s">
        <v>25</v>
      </c>
      <c r="I251" s="14">
        <v>515</v>
      </c>
      <c r="J251" s="10"/>
      <c r="K251" s="14">
        <v>1030</v>
      </c>
      <c r="L251" s="2" t="s">
        <v>447</v>
      </c>
      <c r="M251" s="16">
        <v>46209</v>
      </c>
      <c r="N251" s="17">
        <v>46220</v>
      </c>
      <c r="O251" s="7">
        <v>46220</v>
      </c>
      <c r="P251" s="18">
        <f t="shared" si="6"/>
        <v>11</v>
      </c>
      <c r="Q251" s="18">
        <f t="shared" si="7"/>
        <v>0</v>
      </c>
    </row>
    <row r="252" spans="1:17">
      <c r="A252" s="9">
        <v>251</v>
      </c>
      <c r="B252" s="10" t="s">
        <v>379</v>
      </c>
      <c r="C252" s="11"/>
      <c r="D252" s="10" t="s">
        <v>183</v>
      </c>
      <c r="E252" s="11"/>
      <c r="F252" s="12" t="s">
        <v>452</v>
      </c>
      <c r="G252" s="13">
        <v>4</v>
      </c>
      <c r="H252" s="11" t="s">
        <v>25</v>
      </c>
      <c r="I252" s="14">
        <v>105</v>
      </c>
      <c r="J252" s="10"/>
      <c r="K252" s="14">
        <v>420</v>
      </c>
      <c r="L252" s="2" t="s">
        <v>447</v>
      </c>
      <c r="M252" s="16">
        <v>46209</v>
      </c>
      <c r="N252" s="17">
        <v>46220</v>
      </c>
      <c r="O252" s="7">
        <v>46220</v>
      </c>
      <c r="P252" s="18">
        <f t="shared" si="6"/>
        <v>11</v>
      </c>
      <c r="Q252" s="18">
        <f t="shared" si="7"/>
        <v>0</v>
      </c>
    </row>
    <row r="253" spans="1:17">
      <c r="A253" s="9">
        <v>252</v>
      </c>
      <c r="B253" s="10" t="s">
        <v>379</v>
      </c>
      <c r="C253" s="11"/>
      <c r="D253" s="10" t="s">
        <v>183</v>
      </c>
      <c r="E253" s="11"/>
      <c r="F253" s="12" t="s">
        <v>453</v>
      </c>
      <c r="G253" s="13">
        <v>15</v>
      </c>
      <c r="H253" s="11" t="s">
        <v>25</v>
      </c>
      <c r="I253" s="14">
        <v>85</v>
      </c>
      <c r="J253" s="10"/>
      <c r="K253" s="14">
        <v>1275</v>
      </c>
      <c r="L253" s="2" t="s">
        <v>447</v>
      </c>
      <c r="M253" s="16">
        <v>46209</v>
      </c>
      <c r="N253" s="17">
        <v>46220</v>
      </c>
      <c r="O253" s="7">
        <v>46220</v>
      </c>
      <c r="P253" s="18">
        <f t="shared" si="6"/>
        <v>11</v>
      </c>
      <c r="Q253" s="18">
        <f t="shared" si="7"/>
        <v>0</v>
      </c>
    </row>
    <row r="254" spans="1:17">
      <c r="A254" s="9">
        <v>253</v>
      </c>
      <c r="B254" s="10" t="s">
        <v>379</v>
      </c>
      <c r="C254" s="11"/>
      <c r="D254" s="10" t="s">
        <v>183</v>
      </c>
      <c r="E254" s="11"/>
      <c r="F254" s="12" t="s">
        <v>454</v>
      </c>
      <c r="G254" s="13">
        <v>1</v>
      </c>
      <c r="H254" s="11" t="s">
        <v>25</v>
      </c>
      <c r="I254" s="14">
        <v>105</v>
      </c>
      <c r="J254" s="10"/>
      <c r="K254" s="14">
        <v>105</v>
      </c>
      <c r="L254" s="2" t="s">
        <v>447</v>
      </c>
      <c r="M254" s="16">
        <v>46209</v>
      </c>
      <c r="N254" s="17">
        <v>46220</v>
      </c>
      <c r="O254" s="7">
        <v>46220</v>
      </c>
      <c r="P254" s="18">
        <f t="shared" si="6"/>
        <v>11</v>
      </c>
      <c r="Q254" s="18">
        <f t="shared" si="7"/>
        <v>0</v>
      </c>
    </row>
    <row r="255" spans="1:17">
      <c r="A255" s="9">
        <v>254</v>
      </c>
      <c r="B255" s="10" t="s">
        <v>455</v>
      </c>
      <c r="C255" s="11"/>
      <c r="D255" s="10" t="s">
        <v>100</v>
      </c>
      <c r="E255" s="11"/>
      <c r="F255" s="12" t="s">
        <v>456</v>
      </c>
      <c r="G255" s="13">
        <v>30</v>
      </c>
      <c r="H255" s="11" t="s">
        <v>25</v>
      </c>
      <c r="I255" s="14">
        <v>0.22</v>
      </c>
      <c r="J255" s="10"/>
      <c r="K255" s="14">
        <v>6.6</v>
      </c>
      <c r="L255" s="2" t="s">
        <v>457</v>
      </c>
      <c r="M255" s="16">
        <v>46212</v>
      </c>
      <c r="N255" s="17">
        <v>46224</v>
      </c>
      <c r="O255" s="7">
        <v>46224</v>
      </c>
      <c r="P255" s="18">
        <f t="shared" si="6"/>
        <v>12</v>
      </c>
      <c r="Q255" s="18">
        <f t="shared" si="7"/>
        <v>0</v>
      </c>
    </row>
    <row r="256" spans="1:17">
      <c r="A256" s="9">
        <v>255</v>
      </c>
      <c r="B256" s="10" t="s">
        <v>455</v>
      </c>
      <c r="C256" s="11"/>
      <c r="D256" s="10" t="s">
        <v>100</v>
      </c>
      <c r="E256" s="11"/>
      <c r="F256" s="12" t="s">
        <v>458</v>
      </c>
      <c r="G256" s="13">
        <v>30</v>
      </c>
      <c r="H256" s="11" t="s">
        <v>25</v>
      </c>
      <c r="I256" s="14">
        <v>0.2</v>
      </c>
      <c r="J256" s="10"/>
      <c r="K256" s="14">
        <v>6</v>
      </c>
      <c r="L256" s="2" t="s">
        <v>457</v>
      </c>
      <c r="M256" s="16">
        <v>46212</v>
      </c>
      <c r="N256" s="17">
        <v>46224</v>
      </c>
      <c r="O256" s="7">
        <v>46224</v>
      </c>
      <c r="P256" s="18">
        <f t="shared" si="6"/>
        <v>12</v>
      </c>
      <c r="Q256" s="18">
        <f t="shared" si="7"/>
        <v>0</v>
      </c>
    </row>
    <row r="257" spans="1:17">
      <c r="A257" s="9">
        <v>256</v>
      </c>
      <c r="B257" s="10" t="s">
        <v>455</v>
      </c>
      <c r="C257" s="11"/>
      <c r="D257" s="10" t="s">
        <v>100</v>
      </c>
      <c r="E257" s="11"/>
      <c r="F257" s="12" t="s">
        <v>459</v>
      </c>
      <c r="G257" s="13">
        <v>30</v>
      </c>
      <c r="H257" s="11" t="s">
        <v>25</v>
      </c>
      <c r="I257" s="14">
        <v>4</v>
      </c>
      <c r="J257" s="10"/>
      <c r="K257" s="14">
        <v>120</v>
      </c>
      <c r="L257" s="2" t="s">
        <v>457</v>
      </c>
      <c r="M257" s="16">
        <v>46212</v>
      </c>
      <c r="N257" s="17">
        <v>46224</v>
      </c>
      <c r="O257" s="7">
        <v>46224</v>
      </c>
      <c r="P257" s="18">
        <f t="shared" si="6"/>
        <v>12</v>
      </c>
      <c r="Q257" s="18">
        <f t="shared" si="7"/>
        <v>0</v>
      </c>
    </row>
    <row r="258" spans="1:17">
      <c r="A258" s="9">
        <v>257</v>
      </c>
      <c r="B258" s="10" t="s">
        <v>455</v>
      </c>
      <c r="C258" s="11"/>
      <c r="D258" s="10" t="s">
        <v>100</v>
      </c>
      <c r="E258" s="11"/>
      <c r="F258" s="12" t="s">
        <v>460</v>
      </c>
      <c r="G258" s="13">
        <v>50</v>
      </c>
      <c r="H258" s="11" t="s">
        <v>25</v>
      </c>
      <c r="I258" s="14">
        <v>4</v>
      </c>
      <c r="J258" s="10"/>
      <c r="K258" s="14">
        <v>200</v>
      </c>
      <c r="L258" s="2" t="s">
        <v>457</v>
      </c>
      <c r="M258" s="16">
        <v>46212</v>
      </c>
      <c r="N258" s="17">
        <v>46224</v>
      </c>
      <c r="O258" s="7">
        <v>46224</v>
      </c>
      <c r="P258" s="18">
        <f t="shared" ref="P258:P321" si="8">O258-M258</f>
        <v>12</v>
      </c>
      <c r="Q258" s="18">
        <f t="shared" ref="Q258:Q321" si="9">N258-O258</f>
        <v>0</v>
      </c>
    </row>
    <row r="259" spans="1:17">
      <c r="A259" s="9">
        <v>258</v>
      </c>
      <c r="B259" s="10" t="s">
        <v>455</v>
      </c>
      <c r="C259" s="11"/>
      <c r="D259" s="10" t="s">
        <v>100</v>
      </c>
      <c r="E259" s="11"/>
      <c r="F259" s="12" t="s">
        <v>461</v>
      </c>
      <c r="G259" s="13">
        <v>34</v>
      </c>
      <c r="H259" s="11" t="s">
        <v>25</v>
      </c>
      <c r="I259" s="14">
        <v>0.5</v>
      </c>
      <c r="J259" s="10"/>
      <c r="K259" s="14">
        <v>17</v>
      </c>
      <c r="L259" s="2" t="s">
        <v>457</v>
      </c>
      <c r="M259" s="16">
        <v>46212</v>
      </c>
      <c r="N259" s="17">
        <v>46224</v>
      </c>
      <c r="O259" s="7">
        <v>46224</v>
      </c>
      <c r="P259" s="18">
        <f t="shared" si="8"/>
        <v>12</v>
      </c>
      <c r="Q259" s="18">
        <f t="shared" si="9"/>
        <v>0</v>
      </c>
    </row>
    <row r="260" spans="1:17">
      <c r="A260" s="9">
        <v>259</v>
      </c>
      <c r="B260" s="10" t="s">
        <v>455</v>
      </c>
      <c r="C260" s="11"/>
      <c r="D260" s="10" t="s">
        <v>100</v>
      </c>
      <c r="E260" s="11"/>
      <c r="F260" s="12" t="s">
        <v>462</v>
      </c>
      <c r="G260" s="13">
        <v>8</v>
      </c>
      <c r="H260" s="11" t="s">
        <v>25</v>
      </c>
      <c r="I260" s="14">
        <v>4</v>
      </c>
      <c r="J260" s="10"/>
      <c r="K260" s="14">
        <v>32</v>
      </c>
      <c r="L260" s="2" t="s">
        <v>457</v>
      </c>
      <c r="M260" s="16">
        <v>46212</v>
      </c>
      <c r="N260" s="17">
        <v>46224</v>
      </c>
      <c r="O260" s="7">
        <v>46224</v>
      </c>
      <c r="P260" s="18">
        <f t="shared" si="8"/>
        <v>12</v>
      </c>
      <c r="Q260" s="18">
        <f t="shared" si="9"/>
        <v>0</v>
      </c>
    </row>
    <row r="261" spans="1:17">
      <c r="A261" s="9">
        <v>260</v>
      </c>
      <c r="B261" s="10" t="s">
        <v>455</v>
      </c>
      <c r="C261" s="11"/>
      <c r="D261" s="10" t="s">
        <v>100</v>
      </c>
      <c r="E261" s="11"/>
      <c r="F261" s="12" t="s">
        <v>463</v>
      </c>
      <c r="G261" s="13">
        <v>8</v>
      </c>
      <c r="H261" s="11" t="s">
        <v>25</v>
      </c>
      <c r="I261" s="14">
        <v>2.25</v>
      </c>
      <c r="J261" s="10"/>
      <c r="K261" s="14">
        <v>18</v>
      </c>
      <c r="L261" s="2" t="s">
        <v>457</v>
      </c>
      <c r="M261" s="16">
        <v>46212</v>
      </c>
      <c r="N261" s="17">
        <v>46224</v>
      </c>
      <c r="O261" s="7">
        <v>46224</v>
      </c>
      <c r="P261" s="18">
        <f t="shared" si="8"/>
        <v>12</v>
      </c>
      <c r="Q261" s="18">
        <f t="shared" si="9"/>
        <v>0</v>
      </c>
    </row>
    <row r="262" spans="1:17">
      <c r="A262" s="9">
        <v>261</v>
      </c>
      <c r="B262" s="10" t="s">
        <v>464</v>
      </c>
      <c r="C262" s="11"/>
      <c r="D262" s="10" t="s">
        <v>90</v>
      </c>
      <c r="E262" s="11"/>
      <c r="F262" s="12" t="s">
        <v>465</v>
      </c>
      <c r="G262" s="13">
        <v>2</v>
      </c>
      <c r="H262" s="11" t="s">
        <v>25</v>
      </c>
      <c r="I262" s="14">
        <v>2700</v>
      </c>
      <c r="J262" s="10"/>
      <c r="K262" s="14">
        <v>5400</v>
      </c>
      <c r="L262" s="2" t="s">
        <v>466</v>
      </c>
      <c r="M262" s="16">
        <v>46218</v>
      </c>
      <c r="N262" s="17">
        <v>46224</v>
      </c>
      <c r="O262" s="7">
        <v>46224</v>
      </c>
      <c r="P262" s="18">
        <f t="shared" si="8"/>
        <v>6</v>
      </c>
      <c r="Q262" s="18">
        <f t="shared" si="9"/>
        <v>0</v>
      </c>
    </row>
    <row r="263" spans="1:17">
      <c r="A263" s="9">
        <v>262</v>
      </c>
      <c r="B263" s="10" t="s">
        <v>57</v>
      </c>
      <c r="C263" s="11"/>
      <c r="D263" s="10" t="s">
        <v>90</v>
      </c>
      <c r="E263" s="11"/>
      <c r="F263" s="12" t="s">
        <v>467</v>
      </c>
      <c r="G263" s="13">
        <v>2</v>
      </c>
      <c r="H263" s="11" t="s">
        <v>25</v>
      </c>
      <c r="I263" s="14">
        <v>500</v>
      </c>
      <c r="J263" s="10"/>
      <c r="K263" s="14">
        <v>1000</v>
      </c>
      <c r="L263" s="2" t="s">
        <v>468</v>
      </c>
      <c r="M263" s="16">
        <v>46216</v>
      </c>
      <c r="N263" s="17">
        <v>46225</v>
      </c>
      <c r="O263" s="7">
        <v>46225</v>
      </c>
      <c r="P263" s="18">
        <f t="shared" si="8"/>
        <v>9</v>
      </c>
      <c r="Q263" s="18">
        <f t="shared" si="9"/>
        <v>0</v>
      </c>
    </row>
    <row r="264" spans="1:17">
      <c r="A264" s="9">
        <v>263</v>
      </c>
      <c r="B264" s="10" t="s">
        <v>469</v>
      </c>
      <c r="C264" s="11"/>
      <c r="D264" s="10" t="s">
        <v>470</v>
      </c>
      <c r="E264" s="11"/>
      <c r="F264" s="12" t="s">
        <v>471</v>
      </c>
      <c r="G264" s="13">
        <v>1</v>
      </c>
      <c r="H264" s="11" t="s">
        <v>472</v>
      </c>
      <c r="I264" s="14">
        <v>13780</v>
      </c>
      <c r="J264" s="15">
        <v>7027.8</v>
      </c>
      <c r="K264" s="14">
        <v>6752.2</v>
      </c>
      <c r="L264" s="2" t="s">
        <v>473</v>
      </c>
      <c r="M264" s="16">
        <v>46216</v>
      </c>
      <c r="N264" s="17">
        <v>46226</v>
      </c>
      <c r="O264" s="7">
        <v>46226</v>
      </c>
      <c r="P264" s="18">
        <f t="shared" si="8"/>
        <v>10</v>
      </c>
      <c r="Q264" s="18">
        <f t="shared" si="9"/>
        <v>0</v>
      </c>
    </row>
    <row r="265" spans="1:17">
      <c r="A265" s="9">
        <v>264</v>
      </c>
      <c r="B265" s="10" t="s">
        <v>474</v>
      </c>
      <c r="C265" s="11"/>
      <c r="D265" s="10" t="s">
        <v>475</v>
      </c>
      <c r="E265" s="11"/>
      <c r="F265" s="12" t="s">
        <v>476</v>
      </c>
      <c r="G265" s="13">
        <v>1</v>
      </c>
      <c r="H265" s="11" t="s">
        <v>30</v>
      </c>
      <c r="I265" s="14">
        <v>319</v>
      </c>
      <c r="J265" s="15">
        <v>64</v>
      </c>
      <c r="K265" s="14">
        <v>255</v>
      </c>
      <c r="L265" s="2" t="s">
        <v>477</v>
      </c>
      <c r="M265" s="16">
        <v>46224</v>
      </c>
      <c r="N265" s="17">
        <v>46226</v>
      </c>
      <c r="O265" s="7">
        <v>46226</v>
      </c>
      <c r="P265" s="18">
        <f t="shared" si="8"/>
        <v>2</v>
      </c>
      <c r="Q265" s="18">
        <f t="shared" si="9"/>
        <v>0</v>
      </c>
    </row>
    <row r="266" spans="1:17">
      <c r="A266" s="9">
        <v>265</v>
      </c>
      <c r="B266" s="10" t="s">
        <v>478</v>
      </c>
      <c r="C266" s="11"/>
      <c r="D266" s="10" t="s">
        <v>479</v>
      </c>
      <c r="E266" s="11"/>
      <c r="F266" s="12" t="s">
        <v>480</v>
      </c>
      <c r="G266" s="13">
        <v>2</v>
      </c>
      <c r="H266" s="11" t="s">
        <v>25</v>
      </c>
      <c r="I266" s="14">
        <v>19300</v>
      </c>
      <c r="J266" s="15">
        <v>23932</v>
      </c>
      <c r="K266" s="14">
        <v>14668</v>
      </c>
      <c r="L266" s="2" t="s">
        <v>481</v>
      </c>
      <c r="M266" s="16">
        <v>46223</v>
      </c>
      <c r="N266" s="17">
        <v>46227</v>
      </c>
      <c r="O266" s="7">
        <v>46227</v>
      </c>
      <c r="P266" s="18">
        <f t="shared" si="8"/>
        <v>4</v>
      </c>
      <c r="Q266" s="18">
        <f t="shared" si="9"/>
        <v>0</v>
      </c>
    </row>
    <row r="267" spans="1:17">
      <c r="A267" s="9">
        <v>266</v>
      </c>
      <c r="B267" s="10" t="s">
        <v>478</v>
      </c>
      <c r="C267" s="11"/>
      <c r="D267" s="10" t="s">
        <v>479</v>
      </c>
      <c r="E267" s="11"/>
      <c r="F267" s="12" t="s">
        <v>482</v>
      </c>
      <c r="G267" s="13">
        <v>3</v>
      </c>
      <c r="H267" s="11" t="s">
        <v>25</v>
      </c>
      <c r="I267" s="14">
        <v>16900</v>
      </c>
      <c r="J267" s="15">
        <v>31434</v>
      </c>
      <c r="K267" s="14">
        <v>19266</v>
      </c>
      <c r="L267" s="2" t="s">
        <v>481</v>
      </c>
      <c r="M267" s="16">
        <v>46223</v>
      </c>
      <c r="N267" s="17">
        <v>46227</v>
      </c>
      <c r="O267" s="7">
        <v>46227</v>
      </c>
      <c r="P267" s="18">
        <f t="shared" si="8"/>
        <v>4</v>
      </c>
      <c r="Q267" s="18">
        <f t="shared" si="9"/>
        <v>0</v>
      </c>
    </row>
    <row r="268" spans="1:17">
      <c r="A268" s="9">
        <v>267</v>
      </c>
      <c r="B268" s="10" t="s">
        <v>122</v>
      </c>
      <c r="C268" s="11"/>
      <c r="D268" s="10" t="s">
        <v>58</v>
      </c>
      <c r="E268" s="11"/>
      <c r="F268" s="12" t="s">
        <v>483</v>
      </c>
      <c r="G268" s="13">
        <v>25</v>
      </c>
      <c r="H268" s="11" t="s">
        <v>25</v>
      </c>
      <c r="I268" s="14">
        <v>10.95</v>
      </c>
      <c r="J268" s="10"/>
      <c r="K268" s="14">
        <v>273.75</v>
      </c>
      <c r="L268" s="2" t="s">
        <v>484</v>
      </c>
      <c r="M268" s="16">
        <v>46219</v>
      </c>
      <c r="N268" s="17">
        <v>46227</v>
      </c>
      <c r="O268" s="7">
        <v>46227</v>
      </c>
      <c r="P268" s="18">
        <f t="shared" si="8"/>
        <v>8</v>
      </c>
      <c r="Q268" s="18">
        <f t="shared" si="9"/>
        <v>0</v>
      </c>
    </row>
    <row r="269" spans="1:17">
      <c r="A269" s="9">
        <v>268</v>
      </c>
      <c r="B269" s="10" t="s">
        <v>167</v>
      </c>
      <c r="C269" s="11"/>
      <c r="D269" s="10" t="s">
        <v>485</v>
      </c>
      <c r="E269" s="11"/>
      <c r="F269" s="12" t="s">
        <v>486</v>
      </c>
      <c r="G269" s="13">
        <v>1</v>
      </c>
      <c r="H269" s="11" t="s">
        <v>25</v>
      </c>
      <c r="I269" s="14">
        <v>1100</v>
      </c>
      <c r="J269" s="10"/>
      <c r="K269" s="14">
        <v>1100</v>
      </c>
      <c r="L269" s="2" t="s">
        <v>487</v>
      </c>
      <c r="M269" s="16">
        <v>46223</v>
      </c>
      <c r="N269" s="17">
        <v>46227</v>
      </c>
      <c r="O269" s="7">
        <v>46227</v>
      </c>
      <c r="P269" s="18">
        <f t="shared" si="8"/>
        <v>4</v>
      </c>
      <c r="Q269" s="18">
        <f t="shared" si="9"/>
        <v>0</v>
      </c>
    </row>
    <row r="270" spans="1:17">
      <c r="A270" s="9">
        <v>269</v>
      </c>
      <c r="B270" s="10" t="s">
        <v>167</v>
      </c>
      <c r="C270" s="11"/>
      <c r="D270" s="10" t="s">
        <v>485</v>
      </c>
      <c r="E270" s="11"/>
      <c r="F270" s="12" t="s">
        <v>488</v>
      </c>
      <c r="G270" s="13">
        <v>1</v>
      </c>
      <c r="H270" s="11" t="s">
        <v>25</v>
      </c>
      <c r="I270" s="14">
        <v>3300</v>
      </c>
      <c r="J270" s="10"/>
      <c r="K270" s="14">
        <v>3300</v>
      </c>
      <c r="L270" s="2" t="s">
        <v>487</v>
      </c>
      <c r="M270" s="16">
        <v>46223</v>
      </c>
      <c r="N270" s="17">
        <v>46227</v>
      </c>
      <c r="O270" s="7">
        <v>46227</v>
      </c>
      <c r="P270" s="18">
        <f t="shared" si="8"/>
        <v>4</v>
      </c>
      <c r="Q270" s="18">
        <f t="shared" si="9"/>
        <v>0</v>
      </c>
    </row>
    <row r="271" spans="1:17">
      <c r="A271" s="9">
        <v>270</v>
      </c>
      <c r="B271" s="10" t="s">
        <v>167</v>
      </c>
      <c r="C271" s="11"/>
      <c r="D271" s="10" t="s">
        <v>485</v>
      </c>
      <c r="E271" s="11"/>
      <c r="F271" s="12" t="s">
        <v>489</v>
      </c>
      <c r="G271" s="13">
        <v>1</v>
      </c>
      <c r="H271" s="11" t="s">
        <v>25</v>
      </c>
      <c r="I271" s="14">
        <v>8950</v>
      </c>
      <c r="J271" s="10"/>
      <c r="K271" s="14">
        <v>8950</v>
      </c>
      <c r="L271" s="2" t="s">
        <v>487</v>
      </c>
      <c r="M271" s="16">
        <v>46223</v>
      </c>
      <c r="N271" s="17">
        <v>46227</v>
      </c>
      <c r="O271" s="7">
        <v>46227</v>
      </c>
      <c r="P271" s="18">
        <f t="shared" si="8"/>
        <v>4</v>
      </c>
      <c r="Q271" s="18">
        <f t="shared" si="9"/>
        <v>0</v>
      </c>
    </row>
    <row r="272" spans="1:17">
      <c r="A272" s="9">
        <v>271</v>
      </c>
      <c r="B272" s="10" t="s">
        <v>167</v>
      </c>
      <c r="C272" s="11"/>
      <c r="D272" s="10" t="s">
        <v>490</v>
      </c>
      <c r="E272" s="11"/>
      <c r="F272" s="12" t="s">
        <v>491</v>
      </c>
      <c r="G272" s="13">
        <v>1</v>
      </c>
      <c r="H272" s="11" t="s">
        <v>25</v>
      </c>
      <c r="I272" s="14">
        <v>1900</v>
      </c>
      <c r="J272" s="15"/>
      <c r="K272" s="14">
        <v>1900</v>
      </c>
      <c r="L272" s="2" t="s">
        <v>492</v>
      </c>
      <c r="M272" s="16">
        <v>46224</v>
      </c>
      <c r="N272" s="17">
        <v>46227</v>
      </c>
      <c r="O272" s="7">
        <v>46227</v>
      </c>
      <c r="P272" s="18">
        <f t="shared" si="8"/>
        <v>3</v>
      </c>
      <c r="Q272" s="18">
        <f t="shared" si="9"/>
        <v>0</v>
      </c>
    </row>
    <row r="273" spans="1:17">
      <c r="A273" s="9">
        <v>272</v>
      </c>
      <c r="B273" s="10" t="s">
        <v>493</v>
      </c>
      <c r="C273" s="11"/>
      <c r="D273" s="10" t="s">
        <v>90</v>
      </c>
      <c r="E273" s="11"/>
      <c r="F273" s="12" t="s">
        <v>494</v>
      </c>
      <c r="G273" s="13">
        <v>1</v>
      </c>
      <c r="H273" s="11" t="s">
        <v>25</v>
      </c>
      <c r="I273" s="14">
        <v>3700</v>
      </c>
      <c r="J273" s="15"/>
      <c r="K273" s="14">
        <v>3700</v>
      </c>
      <c r="L273" s="2" t="s">
        <v>495</v>
      </c>
      <c r="M273" s="16">
        <v>46223</v>
      </c>
      <c r="N273" s="17">
        <v>46227</v>
      </c>
      <c r="O273" s="7">
        <v>46227</v>
      </c>
      <c r="P273" s="18">
        <f t="shared" si="8"/>
        <v>4</v>
      </c>
      <c r="Q273" s="18">
        <f t="shared" si="9"/>
        <v>0</v>
      </c>
    </row>
    <row r="274" spans="1:17">
      <c r="A274" s="9">
        <v>273</v>
      </c>
      <c r="B274" s="10" t="s">
        <v>254</v>
      </c>
      <c r="C274" s="11"/>
      <c r="D274" s="10" t="s">
        <v>496</v>
      </c>
      <c r="E274" s="11"/>
      <c r="F274" s="12" t="s">
        <v>497</v>
      </c>
      <c r="G274" s="13">
        <v>2</v>
      </c>
      <c r="H274" s="11" t="s">
        <v>498</v>
      </c>
      <c r="I274" s="14">
        <v>230</v>
      </c>
      <c r="J274" s="10"/>
      <c r="K274" s="14">
        <v>460</v>
      </c>
      <c r="L274" s="2" t="s">
        <v>499</v>
      </c>
      <c r="M274" s="16">
        <v>46220</v>
      </c>
      <c r="N274" s="17">
        <v>46227</v>
      </c>
      <c r="O274" s="7">
        <v>46227</v>
      </c>
      <c r="P274" s="18">
        <f t="shared" si="8"/>
        <v>7</v>
      </c>
      <c r="Q274" s="18">
        <f t="shared" si="9"/>
        <v>0</v>
      </c>
    </row>
    <row r="275" spans="1:17">
      <c r="A275" s="9">
        <v>274</v>
      </c>
      <c r="B275" s="10" t="s">
        <v>493</v>
      </c>
      <c r="C275" s="11"/>
      <c r="D275" s="10" t="s">
        <v>500</v>
      </c>
      <c r="E275" s="11"/>
      <c r="F275" s="12" t="s">
        <v>501</v>
      </c>
      <c r="G275" s="13">
        <v>1</v>
      </c>
      <c r="H275" s="11" t="s">
        <v>30</v>
      </c>
      <c r="I275" s="14">
        <v>130</v>
      </c>
      <c r="J275" s="10"/>
      <c r="K275" s="14">
        <v>130</v>
      </c>
      <c r="L275" s="2" t="s">
        <v>502</v>
      </c>
      <c r="M275" s="16">
        <v>46223</v>
      </c>
      <c r="N275" s="17">
        <v>46230</v>
      </c>
      <c r="O275" s="7">
        <v>46230</v>
      </c>
      <c r="P275" s="18">
        <f t="shared" si="8"/>
        <v>7</v>
      </c>
      <c r="Q275" s="18">
        <f t="shared" si="9"/>
        <v>0</v>
      </c>
    </row>
    <row r="276" spans="1:17">
      <c r="A276" s="9">
        <v>275</v>
      </c>
      <c r="B276" s="10" t="s">
        <v>493</v>
      </c>
      <c r="C276" s="11"/>
      <c r="D276" s="10" t="s">
        <v>500</v>
      </c>
      <c r="E276" s="11"/>
      <c r="F276" s="12" t="s">
        <v>503</v>
      </c>
      <c r="G276" s="13">
        <v>5</v>
      </c>
      <c r="H276" s="11" t="s">
        <v>30</v>
      </c>
      <c r="I276" s="14">
        <v>28</v>
      </c>
      <c r="J276" s="10"/>
      <c r="K276" s="14">
        <v>140</v>
      </c>
      <c r="L276" s="2" t="s">
        <v>502</v>
      </c>
      <c r="M276" s="16">
        <v>46223</v>
      </c>
      <c r="N276" s="17">
        <v>46230</v>
      </c>
      <c r="O276" s="7">
        <v>46230</v>
      </c>
      <c r="P276" s="18">
        <f t="shared" si="8"/>
        <v>7</v>
      </c>
      <c r="Q276" s="18">
        <f t="shared" si="9"/>
        <v>0</v>
      </c>
    </row>
    <row r="277" spans="1:17">
      <c r="A277" s="9">
        <v>276</v>
      </c>
      <c r="B277" s="10" t="s">
        <v>493</v>
      </c>
      <c r="C277" s="11"/>
      <c r="D277" s="10" t="s">
        <v>500</v>
      </c>
      <c r="E277" s="11"/>
      <c r="F277" s="12" t="s">
        <v>504</v>
      </c>
      <c r="G277" s="13">
        <v>1</v>
      </c>
      <c r="H277" s="11" t="s">
        <v>30</v>
      </c>
      <c r="I277" s="14">
        <v>120</v>
      </c>
      <c r="J277" s="10"/>
      <c r="K277" s="14">
        <v>120</v>
      </c>
      <c r="L277" s="2" t="s">
        <v>502</v>
      </c>
      <c r="M277" s="16">
        <v>46223</v>
      </c>
      <c r="N277" s="17">
        <v>46230</v>
      </c>
      <c r="O277" s="7">
        <v>46230</v>
      </c>
      <c r="P277" s="18">
        <f t="shared" si="8"/>
        <v>7</v>
      </c>
      <c r="Q277" s="18">
        <f t="shared" si="9"/>
        <v>0</v>
      </c>
    </row>
    <row r="278" spans="1:17">
      <c r="A278" s="9">
        <v>277</v>
      </c>
      <c r="B278" s="10" t="s">
        <v>89</v>
      </c>
      <c r="C278" s="11"/>
      <c r="D278" s="10" t="s">
        <v>90</v>
      </c>
      <c r="E278" s="11"/>
      <c r="F278" s="12" t="s">
        <v>505</v>
      </c>
      <c r="G278" s="13">
        <v>2</v>
      </c>
      <c r="H278" s="11" t="s">
        <v>25</v>
      </c>
      <c r="I278" s="14">
        <v>70</v>
      </c>
      <c r="J278" s="10"/>
      <c r="K278" s="14">
        <v>140</v>
      </c>
      <c r="L278" s="2" t="s">
        <v>92</v>
      </c>
      <c r="M278" s="16">
        <v>46213</v>
      </c>
      <c r="N278" s="17">
        <v>46230</v>
      </c>
      <c r="O278" s="7">
        <v>46230</v>
      </c>
      <c r="P278" s="18">
        <f t="shared" si="8"/>
        <v>17</v>
      </c>
      <c r="Q278" s="18">
        <f t="shared" si="9"/>
        <v>0</v>
      </c>
    </row>
    <row r="279" spans="1:17">
      <c r="A279" s="9">
        <v>278</v>
      </c>
      <c r="B279" s="10" t="s">
        <v>89</v>
      </c>
      <c r="C279" s="11"/>
      <c r="D279" s="10" t="s">
        <v>90</v>
      </c>
      <c r="E279" s="11"/>
      <c r="F279" s="12" t="s">
        <v>506</v>
      </c>
      <c r="G279" s="13">
        <v>1</v>
      </c>
      <c r="H279" s="11" t="s">
        <v>25</v>
      </c>
      <c r="I279" s="14">
        <v>10600</v>
      </c>
      <c r="J279" s="10"/>
      <c r="K279" s="14">
        <v>10600</v>
      </c>
      <c r="L279" s="2" t="s">
        <v>92</v>
      </c>
      <c r="M279" s="16">
        <v>46213</v>
      </c>
      <c r="N279" s="17">
        <v>46230</v>
      </c>
      <c r="O279" s="7">
        <v>46230</v>
      </c>
      <c r="P279" s="18">
        <f t="shared" si="8"/>
        <v>17</v>
      </c>
      <c r="Q279" s="18">
        <f t="shared" si="9"/>
        <v>0</v>
      </c>
    </row>
    <row r="280" spans="1:17">
      <c r="A280" s="9">
        <v>279</v>
      </c>
      <c r="B280" s="10" t="s">
        <v>167</v>
      </c>
      <c r="C280" s="11"/>
      <c r="D280" s="10" t="s">
        <v>343</v>
      </c>
      <c r="E280" s="11"/>
      <c r="F280" s="12" t="s">
        <v>507</v>
      </c>
      <c r="G280" s="13">
        <v>3</v>
      </c>
      <c r="H280" s="11" t="s">
        <v>25</v>
      </c>
      <c r="I280" s="14">
        <v>350</v>
      </c>
      <c r="J280" s="10"/>
      <c r="K280" s="14">
        <v>1050</v>
      </c>
      <c r="L280" s="2" t="s">
        <v>508</v>
      </c>
      <c r="M280" s="16">
        <v>46223</v>
      </c>
      <c r="N280" s="17">
        <v>46230</v>
      </c>
      <c r="O280" s="7">
        <v>46230</v>
      </c>
      <c r="P280" s="18">
        <f t="shared" si="8"/>
        <v>7</v>
      </c>
      <c r="Q280" s="18">
        <f t="shared" si="9"/>
        <v>0</v>
      </c>
    </row>
    <row r="281" spans="1:17">
      <c r="A281" s="9">
        <v>280</v>
      </c>
      <c r="B281" s="10" t="s">
        <v>167</v>
      </c>
      <c r="C281" s="11"/>
      <c r="D281" s="10" t="s">
        <v>343</v>
      </c>
      <c r="E281" s="11"/>
      <c r="F281" s="12" t="s">
        <v>509</v>
      </c>
      <c r="G281" s="13">
        <v>2</v>
      </c>
      <c r="H281" s="11" t="s">
        <v>25</v>
      </c>
      <c r="I281" s="14">
        <v>820</v>
      </c>
      <c r="J281" s="10"/>
      <c r="K281" s="14">
        <v>1640</v>
      </c>
      <c r="L281" s="2" t="s">
        <v>508</v>
      </c>
      <c r="M281" s="16">
        <v>46223</v>
      </c>
      <c r="N281" s="17">
        <v>46230</v>
      </c>
      <c r="O281" s="7">
        <v>46230</v>
      </c>
      <c r="P281" s="18">
        <f t="shared" si="8"/>
        <v>7</v>
      </c>
      <c r="Q281" s="18">
        <f t="shared" si="9"/>
        <v>0</v>
      </c>
    </row>
    <row r="282" spans="1:17">
      <c r="A282" s="9">
        <v>281</v>
      </c>
      <c r="B282" s="10" t="s">
        <v>167</v>
      </c>
      <c r="C282" s="11"/>
      <c r="D282" s="10" t="s">
        <v>343</v>
      </c>
      <c r="E282" s="11"/>
      <c r="F282" s="12" t="s">
        <v>510</v>
      </c>
      <c r="G282" s="13">
        <v>1</v>
      </c>
      <c r="H282" s="11" t="s">
        <v>25</v>
      </c>
      <c r="I282" s="14">
        <v>310</v>
      </c>
      <c r="J282" s="10"/>
      <c r="K282" s="14">
        <v>310</v>
      </c>
      <c r="L282" s="2" t="s">
        <v>508</v>
      </c>
      <c r="M282" s="16">
        <v>46223</v>
      </c>
      <c r="N282" s="17">
        <v>46230</v>
      </c>
      <c r="O282" s="7">
        <v>46230</v>
      </c>
      <c r="P282" s="18">
        <f t="shared" si="8"/>
        <v>7</v>
      </c>
      <c r="Q282" s="18">
        <f t="shared" si="9"/>
        <v>0</v>
      </c>
    </row>
    <row r="283" spans="1:17">
      <c r="A283" s="9">
        <v>282</v>
      </c>
      <c r="B283" s="10" t="s">
        <v>167</v>
      </c>
      <c r="C283" s="11"/>
      <c r="D283" s="10" t="s">
        <v>343</v>
      </c>
      <c r="E283" s="11"/>
      <c r="F283" s="12" t="s">
        <v>511</v>
      </c>
      <c r="G283" s="13">
        <v>5</v>
      </c>
      <c r="H283" s="11" t="s">
        <v>25</v>
      </c>
      <c r="I283" s="14">
        <v>280</v>
      </c>
      <c r="J283" s="10"/>
      <c r="K283" s="14">
        <v>1400</v>
      </c>
      <c r="L283" s="2" t="s">
        <v>508</v>
      </c>
      <c r="M283" s="16">
        <v>46223</v>
      </c>
      <c r="N283" s="17">
        <v>46230</v>
      </c>
      <c r="O283" s="7">
        <v>46230</v>
      </c>
      <c r="P283" s="18">
        <f t="shared" si="8"/>
        <v>7</v>
      </c>
      <c r="Q283" s="18">
        <f t="shared" si="9"/>
        <v>0</v>
      </c>
    </row>
    <row r="284" spans="1:17">
      <c r="A284" s="9">
        <v>283</v>
      </c>
      <c r="B284" s="10" t="s">
        <v>167</v>
      </c>
      <c r="C284" s="11"/>
      <c r="D284" s="10" t="s">
        <v>343</v>
      </c>
      <c r="E284" s="11"/>
      <c r="F284" s="12" t="s">
        <v>512</v>
      </c>
      <c r="G284" s="13">
        <v>1</v>
      </c>
      <c r="H284" s="11" t="s">
        <v>25</v>
      </c>
      <c r="I284" s="14">
        <v>280</v>
      </c>
      <c r="J284" s="10"/>
      <c r="K284" s="14">
        <v>280</v>
      </c>
      <c r="L284" s="2" t="s">
        <v>508</v>
      </c>
      <c r="M284" s="16">
        <v>46223</v>
      </c>
      <c r="N284" s="17">
        <v>46230</v>
      </c>
      <c r="O284" s="7">
        <v>46230</v>
      </c>
      <c r="P284" s="18">
        <f t="shared" si="8"/>
        <v>7</v>
      </c>
      <c r="Q284" s="18">
        <f t="shared" si="9"/>
        <v>0</v>
      </c>
    </row>
    <row r="285" spans="1:17">
      <c r="A285" s="9">
        <v>284</v>
      </c>
      <c r="B285" s="10" t="s">
        <v>167</v>
      </c>
      <c r="C285" s="11"/>
      <c r="D285" s="10" t="s">
        <v>343</v>
      </c>
      <c r="E285" s="11"/>
      <c r="F285" s="12" t="s">
        <v>513</v>
      </c>
      <c r="G285" s="13">
        <v>1</v>
      </c>
      <c r="H285" s="11" t="s">
        <v>25</v>
      </c>
      <c r="I285" s="14">
        <v>1200</v>
      </c>
      <c r="J285" s="10"/>
      <c r="K285" s="14">
        <v>1200</v>
      </c>
      <c r="L285" s="2" t="s">
        <v>508</v>
      </c>
      <c r="M285" s="16">
        <v>46223</v>
      </c>
      <c r="N285" s="17">
        <v>46230</v>
      </c>
      <c r="O285" s="7">
        <v>46230</v>
      </c>
      <c r="P285" s="18">
        <f t="shared" si="8"/>
        <v>7</v>
      </c>
      <c r="Q285" s="18">
        <f t="shared" si="9"/>
        <v>0</v>
      </c>
    </row>
    <row r="286" spans="1:17">
      <c r="A286" s="9">
        <v>285</v>
      </c>
      <c r="B286" s="10" t="s">
        <v>167</v>
      </c>
      <c r="C286" s="11"/>
      <c r="D286" s="10" t="s">
        <v>343</v>
      </c>
      <c r="E286" s="11"/>
      <c r="F286" s="12" t="s">
        <v>514</v>
      </c>
      <c r="G286" s="13">
        <v>1</v>
      </c>
      <c r="H286" s="11" t="s">
        <v>25</v>
      </c>
      <c r="I286" s="14">
        <v>280</v>
      </c>
      <c r="J286" s="10"/>
      <c r="K286" s="14">
        <v>280</v>
      </c>
      <c r="L286" s="2" t="s">
        <v>508</v>
      </c>
      <c r="M286" s="16">
        <v>46223</v>
      </c>
      <c r="N286" s="17">
        <v>46230</v>
      </c>
      <c r="O286" s="7">
        <v>46230</v>
      </c>
      <c r="P286" s="18">
        <f t="shared" si="8"/>
        <v>7</v>
      </c>
      <c r="Q286" s="18">
        <f t="shared" si="9"/>
        <v>0</v>
      </c>
    </row>
    <row r="287" spans="1:17">
      <c r="A287" s="9">
        <v>286</v>
      </c>
      <c r="B287" s="10" t="s">
        <v>167</v>
      </c>
      <c r="C287" s="11"/>
      <c r="D287" s="10" t="s">
        <v>343</v>
      </c>
      <c r="E287" s="11"/>
      <c r="F287" s="12" t="s">
        <v>515</v>
      </c>
      <c r="G287" s="13">
        <v>2</v>
      </c>
      <c r="H287" s="11" t="s">
        <v>25</v>
      </c>
      <c r="I287" s="14">
        <v>700</v>
      </c>
      <c r="J287" s="10"/>
      <c r="K287" s="14">
        <v>1400</v>
      </c>
      <c r="L287" s="2" t="s">
        <v>508</v>
      </c>
      <c r="M287" s="16">
        <v>46223</v>
      </c>
      <c r="N287" s="17">
        <v>46230</v>
      </c>
      <c r="O287" s="7">
        <v>46230</v>
      </c>
      <c r="P287" s="18">
        <f t="shared" si="8"/>
        <v>7</v>
      </c>
      <c r="Q287" s="18">
        <f t="shared" si="9"/>
        <v>0</v>
      </c>
    </row>
    <row r="288" spans="1:17">
      <c r="A288" s="9">
        <v>287</v>
      </c>
      <c r="B288" s="10" t="s">
        <v>167</v>
      </c>
      <c r="C288" s="11"/>
      <c r="D288" s="10" t="s">
        <v>343</v>
      </c>
      <c r="E288" s="11"/>
      <c r="F288" s="12" t="s">
        <v>516</v>
      </c>
      <c r="G288" s="13">
        <v>2</v>
      </c>
      <c r="H288" s="11" t="s">
        <v>25</v>
      </c>
      <c r="I288" s="14">
        <v>280</v>
      </c>
      <c r="J288" s="10"/>
      <c r="K288" s="14">
        <v>560</v>
      </c>
      <c r="L288" s="2" t="s">
        <v>508</v>
      </c>
      <c r="M288" s="16">
        <v>46223</v>
      </c>
      <c r="N288" s="17">
        <v>46230</v>
      </c>
      <c r="O288" s="7">
        <v>46230</v>
      </c>
      <c r="P288" s="18">
        <f t="shared" si="8"/>
        <v>7</v>
      </c>
      <c r="Q288" s="18">
        <f t="shared" si="9"/>
        <v>0</v>
      </c>
    </row>
    <row r="289" spans="1:17">
      <c r="A289" s="9">
        <v>288</v>
      </c>
      <c r="B289" s="10" t="s">
        <v>167</v>
      </c>
      <c r="C289" s="11"/>
      <c r="D289" s="10" t="s">
        <v>343</v>
      </c>
      <c r="E289" s="11"/>
      <c r="F289" s="12" t="s">
        <v>517</v>
      </c>
      <c r="G289" s="13">
        <v>1</v>
      </c>
      <c r="H289" s="11" t="s">
        <v>25</v>
      </c>
      <c r="I289" s="14">
        <v>3730</v>
      </c>
      <c r="J289" s="10"/>
      <c r="K289" s="14">
        <v>3730</v>
      </c>
      <c r="L289" s="2" t="s">
        <v>508</v>
      </c>
      <c r="M289" s="16">
        <v>46223</v>
      </c>
      <c r="N289" s="17">
        <v>46230</v>
      </c>
      <c r="O289" s="7">
        <v>46230</v>
      </c>
      <c r="P289" s="18">
        <f t="shared" si="8"/>
        <v>7</v>
      </c>
      <c r="Q289" s="18">
        <f t="shared" si="9"/>
        <v>0</v>
      </c>
    </row>
    <row r="290" spans="1:17">
      <c r="A290" s="9">
        <v>289</v>
      </c>
      <c r="B290" s="10" t="s">
        <v>314</v>
      </c>
      <c r="C290" s="11"/>
      <c r="D290" s="10" t="s">
        <v>315</v>
      </c>
      <c r="E290" s="11" t="s">
        <v>518</v>
      </c>
      <c r="F290" s="12" t="s">
        <v>519</v>
      </c>
      <c r="G290" s="13">
        <v>3</v>
      </c>
      <c r="H290" s="11" t="s">
        <v>25</v>
      </c>
      <c r="I290" s="14">
        <v>240</v>
      </c>
      <c r="J290" s="10"/>
      <c r="K290" s="14">
        <v>720</v>
      </c>
      <c r="L290" s="2" t="s">
        <v>520</v>
      </c>
      <c r="M290" s="30">
        <v>46230</v>
      </c>
      <c r="N290" s="31">
        <v>46230</v>
      </c>
      <c r="O290" s="7">
        <v>46230</v>
      </c>
      <c r="P290" s="18">
        <f t="shared" si="8"/>
        <v>0</v>
      </c>
      <c r="Q290" s="18">
        <f t="shared" si="9"/>
        <v>0</v>
      </c>
    </row>
    <row r="291" spans="1:17">
      <c r="A291" s="9">
        <v>290</v>
      </c>
      <c r="B291" s="10" t="s">
        <v>314</v>
      </c>
      <c r="C291" s="11"/>
      <c r="D291" s="10" t="s">
        <v>315</v>
      </c>
      <c r="E291" s="11" t="s">
        <v>521</v>
      </c>
      <c r="F291" s="12" t="s">
        <v>522</v>
      </c>
      <c r="G291" s="13">
        <v>1</v>
      </c>
      <c r="H291" s="11" t="s">
        <v>25</v>
      </c>
      <c r="I291" s="14">
        <v>170</v>
      </c>
      <c r="J291" s="10"/>
      <c r="K291" s="14">
        <v>170</v>
      </c>
      <c r="L291" s="2" t="s">
        <v>520</v>
      </c>
      <c r="M291" s="30">
        <v>46230</v>
      </c>
      <c r="N291" s="31">
        <v>46230</v>
      </c>
      <c r="O291" s="7">
        <v>46230</v>
      </c>
      <c r="P291" s="18">
        <f t="shared" si="8"/>
        <v>0</v>
      </c>
      <c r="Q291" s="18">
        <f t="shared" si="9"/>
        <v>0</v>
      </c>
    </row>
    <row r="292" spans="1:17">
      <c r="A292" s="9">
        <v>291</v>
      </c>
      <c r="B292" s="10" t="s">
        <v>314</v>
      </c>
      <c r="C292" s="11"/>
      <c r="D292" s="10" t="s">
        <v>315</v>
      </c>
      <c r="E292" s="11" t="s">
        <v>523</v>
      </c>
      <c r="F292" s="12" t="s">
        <v>524</v>
      </c>
      <c r="G292" s="13">
        <v>1</v>
      </c>
      <c r="H292" s="11" t="s">
        <v>25</v>
      </c>
      <c r="I292" s="14">
        <v>750</v>
      </c>
      <c r="J292" s="10"/>
      <c r="K292" s="14">
        <v>750</v>
      </c>
      <c r="L292" s="2" t="s">
        <v>520</v>
      </c>
      <c r="M292" s="30">
        <v>46230</v>
      </c>
      <c r="N292" s="31">
        <v>46230</v>
      </c>
      <c r="O292" s="7">
        <v>46230</v>
      </c>
      <c r="P292" s="18">
        <f t="shared" si="8"/>
        <v>0</v>
      </c>
      <c r="Q292" s="18">
        <f t="shared" si="9"/>
        <v>0</v>
      </c>
    </row>
    <row r="293" spans="1:17">
      <c r="A293" s="9">
        <v>292</v>
      </c>
      <c r="B293" s="10" t="s">
        <v>167</v>
      </c>
      <c r="C293" s="11"/>
      <c r="D293" s="10" t="s">
        <v>525</v>
      </c>
      <c r="E293" s="11"/>
      <c r="F293" s="12" t="s">
        <v>526</v>
      </c>
      <c r="G293" s="13">
        <v>1</v>
      </c>
      <c r="H293" s="11" t="s">
        <v>25</v>
      </c>
      <c r="I293" s="14">
        <v>2750</v>
      </c>
      <c r="J293" s="10"/>
      <c r="K293" s="14">
        <v>2750</v>
      </c>
      <c r="L293" s="2" t="s">
        <v>527</v>
      </c>
      <c r="M293" s="16">
        <v>46223</v>
      </c>
      <c r="N293" s="17">
        <v>46232</v>
      </c>
      <c r="O293" s="7">
        <v>46232</v>
      </c>
      <c r="P293" s="18">
        <f t="shared" si="8"/>
        <v>9</v>
      </c>
      <c r="Q293" s="18">
        <f t="shared" si="9"/>
        <v>0</v>
      </c>
    </row>
    <row r="294" spans="1:17">
      <c r="A294" s="9">
        <v>293</v>
      </c>
      <c r="B294" s="10" t="s">
        <v>57</v>
      </c>
      <c r="C294" s="11"/>
      <c r="D294" s="10" t="s">
        <v>58</v>
      </c>
      <c r="E294" s="11"/>
      <c r="F294" s="12" t="s">
        <v>528</v>
      </c>
      <c r="G294" s="13">
        <v>4</v>
      </c>
      <c r="H294" s="11" t="s">
        <v>30</v>
      </c>
      <c r="I294" s="14">
        <v>207</v>
      </c>
      <c r="J294" s="10"/>
      <c r="K294" s="14">
        <v>828</v>
      </c>
      <c r="L294" s="2" t="s">
        <v>60</v>
      </c>
      <c r="M294" s="16">
        <v>46216</v>
      </c>
      <c r="N294" s="17">
        <v>46233</v>
      </c>
      <c r="O294" s="7">
        <v>46233</v>
      </c>
      <c r="P294" s="18">
        <f t="shared" si="8"/>
        <v>17</v>
      </c>
      <c r="Q294" s="18">
        <f t="shared" si="9"/>
        <v>0</v>
      </c>
    </row>
    <row r="295" spans="1:17">
      <c r="A295" s="9">
        <v>294</v>
      </c>
      <c r="B295" s="10" t="s">
        <v>57</v>
      </c>
      <c r="C295" s="11"/>
      <c r="D295" s="10" t="s">
        <v>58</v>
      </c>
      <c r="E295" s="11"/>
      <c r="F295" s="12" t="s">
        <v>529</v>
      </c>
      <c r="G295" s="13">
        <v>1</v>
      </c>
      <c r="H295" s="11" t="s">
        <v>25</v>
      </c>
      <c r="I295" s="14">
        <v>2861.99</v>
      </c>
      <c r="J295" s="10"/>
      <c r="K295" s="14">
        <v>2861.99</v>
      </c>
      <c r="L295" s="2" t="s">
        <v>60</v>
      </c>
      <c r="M295" s="16">
        <v>46216</v>
      </c>
      <c r="N295" s="17">
        <v>46233</v>
      </c>
      <c r="O295" s="7">
        <v>46233</v>
      </c>
      <c r="P295" s="18">
        <f t="shared" si="8"/>
        <v>17</v>
      </c>
      <c r="Q295" s="18">
        <f t="shared" si="9"/>
        <v>0</v>
      </c>
    </row>
    <row r="296" spans="1:17">
      <c r="A296" s="9">
        <v>295</v>
      </c>
      <c r="B296" s="10" t="s">
        <v>530</v>
      </c>
      <c r="C296" s="11" t="s">
        <v>531</v>
      </c>
      <c r="D296" s="10" t="s">
        <v>58</v>
      </c>
      <c r="E296" s="11" t="s">
        <v>532</v>
      </c>
      <c r="F296" s="12" t="s">
        <v>533</v>
      </c>
      <c r="G296" s="13">
        <v>20</v>
      </c>
      <c r="H296" s="11" t="s">
        <v>534</v>
      </c>
      <c r="I296" s="14">
        <v>10.95</v>
      </c>
      <c r="J296" s="10"/>
      <c r="K296" s="14">
        <v>219</v>
      </c>
      <c r="L296" s="2" t="s">
        <v>484</v>
      </c>
      <c r="M296" s="16">
        <v>46219</v>
      </c>
      <c r="N296" s="17">
        <v>46233</v>
      </c>
      <c r="O296" s="7">
        <v>46233</v>
      </c>
      <c r="P296" s="18">
        <f t="shared" si="8"/>
        <v>14</v>
      </c>
      <c r="Q296" s="18">
        <f t="shared" si="9"/>
        <v>0</v>
      </c>
    </row>
    <row r="297" spans="1:17">
      <c r="A297" s="9">
        <v>296</v>
      </c>
      <c r="B297" s="10" t="s">
        <v>535</v>
      </c>
      <c r="C297" s="11"/>
      <c r="D297" s="10" t="s">
        <v>536</v>
      </c>
      <c r="E297" s="11"/>
      <c r="F297" s="12" t="s">
        <v>537</v>
      </c>
      <c r="G297" s="13">
        <v>1</v>
      </c>
      <c r="H297" s="11" t="s">
        <v>25</v>
      </c>
      <c r="I297" s="14">
        <v>315</v>
      </c>
      <c r="J297" s="10"/>
      <c r="K297" s="14">
        <v>315</v>
      </c>
      <c r="L297" s="2" t="s">
        <v>538</v>
      </c>
      <c r="M297" s="16">
        <v>46205</v>
      </c>
      <c r="N297" s="17">
        <v>46205</v>
      </c>
      <c r="O297" s="7">
        <v>46204</v>
      </c>
      <c r="P297" s="18">
        <f t="shared" si="8"/>
        <v>-1</v>
      </c>
      <c r="Q297" s="18">
        <f t="shared" si="9"/>
        <v>1</v>
      </c>
    </row>
    <row r="298" spans="1:17">
      <c r="A298" s="9">
        <v>297</v>
      </c>
      <c r="B298" s="10" t="s">
        <v>535</v>
      </c>
      <c r="C298" s="11"/>
      <c r="D298" s="10" t="s">
        <v>536</v>
      </c>
      <c r="E298" s="11"/>
      <c r="F298" s="12" t="s">
        <v>539</v>
      </c>
      <c r="G298" s="13">
        <v>4</v>
      </c>
      <c r="H298" s="11" t="s">
        <v>25</v>
      </c>
      <c r="I298" s="14">
        <v>90</v>
      </c>
      <c r="J298" s="10"/>
      <c r="K298" s="14">
        <v>360</v>
      </c>
      <c r="L298" s="2" t="s">
        <v>540</v>
      </c>
      <c r="M298" s="16">
        <v>46205</v>
      </c>
      <c r="N298" s="17">
        <v>46205</v>
      </c>
      <c r="O298" s="7">
        <v>46204</v>
      </c>
      <c r="P298" s="18">
        <f t="shared" si="8"/>
        <v>-1</v>
      </c>
      <c r="Q298" s="18">
        <f t="shared" si="9"/>
        <v>1</v>
      </c>
    </row>
    <row r="299" spans="1:17">
      <c r="A299" s="9">
        <v>298</v>
      </c>
      <c r="B299" s="10" t="s">
        <v>535</v>
      </c>
      <c r="C299" s="11"/>
      <c r="D299" s="10" t="s">
        <v>536</v>
      </c>
      <c r="E299" s="11"/>
      <c r="F299" s="12" t="s">
        <v>541</v>
      </c>
      <c r="G299" s="13">
        <v>1</v>
      </c>
      <c r="H299" s="11" t="s">
        <v>393</v>
      </c>
      <c r="I299" s="14">
        <v>110</v>
      </c>
      <c r="J299" s="10"/>
      <c r="K299" s="14">
        <v>110</v>
      </c>
      <c r="L299" s="2" t="s">
        <v>540</v>
      </c>
      <c r="M299" s="16">
        <v>46205</v>
      </c>
      <c r="N299" s="17">
        <v>46205</v>
      </c>
      <c r="O299" s="7">
        <v>46204</v>
      </c>
      <c r="P299" s="18">
        <f t="shared" si="8"/>
        <v>-1</v>
      </c>
      <c r="Q299" s="18">
        <f t="shared" si="9"/>
        <v>1</v>
      </c>
    </row>
    <row r="300" spans="1:17">
      <c r="A300" s="9">
        <v>299</v>
      </c>
      <c r="B300" s="10" t="s">
        <v>535</v>
      </c>
      <c r="C300" s="11"/>
      <c r="D300" s="10" t="s">
        <v>536</v>
      </c>
      <c r="E300" s="11"/>
      <c r="F300" s="12" t="s">
        <v>542</v>
      </c>
      <c r="G300" s="13">
        <v>1</v>
      </c>
      <c r="H300" s="11" t="s">
        <v>25</v>
      </c>
      <c r="I300" s="14">
        <v>65</v>
      </c>
      <c r="J300" s="10"/>
      <c r="K300" s="14">
        <v>65</v>
      </c>
      <c r="L300" s="2" t="s">
        <v>540</v>
      </c>
      <c r="M300" s="16">
        <v>46205</v>
      </c>
      <c r="N300" s="17">
        <v>46205</v>
      </c>
      <c r="O300" s="7">
        <v>46204</v>
      </c>
      <c r="P300" s="18">
        <f t="shared" si="8"/>
        <v>-1</v>
      </c>
      <c r="Q300" s="18">
        <f t="shared" si="9"/>
        <v>1</v>
      </c>
    </row>
    <row r="301" spans="1:17">
      <c r="A301" s="9">
        <v>300</v>
      </c>
      <c r="B301" s="10" t="s">
        <v>209</v>
      </c>
      <c r="C301" s="11"/>
      <c r="D301" s="10" t="s">
        <v>153</v>
      </c>
      <c r="E301" s="11"/>
      <c r="F301" s="12" t="s">
        <v>543</v>
      </c>
      <c r="G301" s="13">
        <v>1</v>
      </c>
      <c r="H301" s="11" t="s">
        <v>25</v>
      </c>
      <c r="I301" s="14">
        <v>4800</v>
      </c>
      <c r="J301" s="10"/>
      <c r="K301" s="14">
        <v>4800</v>
      </c>
      <c r="L301" s="2" t="s">
        <v>544</v>
      </c>
      <c r="M301" s="16">
        <v>46195</v>
      </c>
      <c r="N301" s="17">
        <v>46205</v>
      </c>
      <c r="O301" s="7">
        <v>46204</v>
      </c>
      <c r="P301" s="18">
        <f t="shared" si="8"/>
        <v>9</v>
      </c>
      <c r="Q301" s="18">
        <f t="shared" si="9"/>
        <v>1</v>
      </c>
    </row>
    <row r="302" spans="1:17">
      <c r="A302" s="9">
        <v>301</v>
      </c>
      <c r="B302" s="10" t="s">
        <v>209</v>
      </c>
      <c r="C302" s="11"/>
      <c r="D302" s="10" t="s">
        <v>545</v>
      </c>
      <c r="E302" s="11"/>
      <c r="F302" s="12" t="s">
        <v>546</v>
      </c>
      <c r="G302" s="13">
        <v>1</v>
      </c>
      <c r="H302" s="11" t="s">
        <v>25</v>
      </c>
      <c r="I302" s="14">
        <v>7258</v>
      </c>
      <c r="J302" s="10"/>
      <c r="K302" s="14">
        <v>7258</v>
      </c>
      <c r="L302" s="2" t="s">
        <v>547</v>
      </c>
      <c r="M302" s="16">
        <v>46195</v>
      </c>
      <c r="N302" s="17">
        <v>46206</v>
      </c>
      <c r="O302" s="7">
        <v>46205</v>
      </c>
      <c r="P302" s="18">
        <f t="shared" si="8"/>
        <v>10</v>
      </c>
      <c r="Q302" s="18">
        <f t="shared" si="9"/>
        <v>1</v>
      </c>
    </row>
    <row r="303" spans="1:17">
      <c r="A303" s="9">
        <v>302</v>
      </c>
      <c r="B303" s="10" t="s">
        <v>209</v>
      </c>
      <c r="C303" s="11"/>
      <c r="D303" s="10" t="s">
        <v>545</v>
      </c>
      <c r="E303" s="11"/>
      <c r="F303" s="12" t="s">
        <v>548</v>
      </c>
      <c r="G303" s="13">
        <v>1</v>
      </c>
      <c r="H303" s="11" t="s">
        <v>25</v>
      </c>
      <c r="I303" s="14">
        <v>564</v>
      </c>
      <c r="J303" s="10"/>
      <c r="K303" s="14">
        <v>564</v>
      </c>
      <c r="L303" s="2" t="s">
        <v>547</v>
      </c>
      <c r="M303" s="16">
        <v>46195</v>
      </c>
      <c r="N303" s="17">
        <v>46206</v>
      </c>
      <c r="O303" s="7">
        <v>46205</v>
      </c>
      <c r="P303" s="18">
        <f t="shared" si="8"/>
        <v>10</v>
      </c>
      <c r="Q303" s="18">
        <f t="shared" si="9"/>
        <v>1</v>
      </c>
    </row>
    <row r="304" spans="1:17">
      <c r="A304" s="9">
        <v>303</v>
      </c>
      <c r="B304" s="10" t="s">
        <v>209</v>
      </c>
      <c r="C304" s="11"/>
      <c r="D304" s="10" t="s">
        <v>545</v>
      </c>
      <c r="E304" s="11"/>
      <c r="F304" s="12" t="s">
        <v>549</v>
      </c>
      <c r="G304" s="13">
        <v>1</v>
      </c>
      <c r="H304" s="11" t="s">
        <v>25</v>
      </c>
      <c r="I304" s="14">
        <v>2822</v>
      </c>
      <c r="J304" s="10"/>
      <c r="K304" s="14">
        <v>2822</v>
      </c>
      <c r="L304" s="2" t="s">
        <v>547</v>
      </c>
      <c r="M304" s="16">
        <v>46195</v>
      </c>
      <c r="N304" s="17">
        <v>46206</v>
      </c>
      <c r="O304" s="7">
        <v>46205</v>
      </c>
      <c r="P304" s="18">
        <f t="shared" si="8"/>
        <v>10</v>
      </c>
      <c r="Q304" s="18">
        <f t="shared" si="9"/>
        <v>1</v>
      </c>
    </row>
    <row r="305" spans="1:17">
      <c r="A305" s="9">
        <v>304</v>
      </c>
      <c r="B305" s="10" t="s">
        <v>209</v>
      </c>
      <c r="C305" s="11"/>
      <c r="D305" s="10" t="s">
        <v>545</v>
      </c>
      <c r="E305" s="11"/>
      <c r="F305" s="12" t="s">
        <v>550</v>
      </c>
      <c r="G305" s="13">
        <v>1</v>
      </c>
      <c r="H305" s="11" t="s">
        <v>25</v>
      </c>
      <c r="I305" s="14">
        <v>2950</v>
      </c>
      <c r="J305" s="10"/>
      <c r="K305" s="14">
        <v>2950</v>
      </c>
      <c r="L305" s="2" t="s">
        <v>547</v>
      </c>
      <c r="M305" s="16">
        <v>46195</v>
      </c>
      <c r="N305" s="17">
        <v>46206</v>
      </c>
      <c r="O305" s="7">
        <v>46205</v>
      </c>
      <c r="P305" s="18">
        <f t="shared" si="8"/>
        <v>10</v>
      </c>
      <c r="Q305" s="18">
        <f t="shared" si="9"/>
        <v>1</v>
      </c>
    </row>
    <row r="306" spans="1:17">
      <c r="A306" s="9">
        <v>305</v>
      </c>
      <c r="B306" s="10" t="s">
        <v>209</v>
      </c>
      <c r="C306" s="11"/>
      <c r="D306" s="10" t="s">
        <v>545</v>
      </c>
      <c r="E306" s="11"/>
      <c r="F306" s="12" t="s">
        <v>551</v>
      </c>
      <c r="G306" s="13">
        <v>1</v>
      </c>
      <c r="H306" s="11" t="s">
        <v>25</v>
      </c>
      <c r="I306" s="14">
        <v>16738</v>
      </c>
      <c r="J306" s="10"/>
      <c r="K306" s="14">
        <v>16738</v>
      </c>
      <c r="L306" s="2" t="s">
        <v>547</v>
      </c>
      <c r="M306" s="16">
        <v>46195</v>
      </c>
      <c r="N306" s="17">
        <v>46206</v>
      </c>
      <c r="O306" s="7">
        <v>46205</v>
      </c>
      <c r="P306" s="18">
        <f t="shared" si="8"/>
        <v>10</v>
      </c>
      <c r="Q306" s="18">
        <f t="shared" si="9"/>
        <v>1</v>
      </c>
    </row>
    <row r="307" spans="1:17">
      <c r="A307" s="9">
        <v>306</v>
      </c>
      <c r="B307" s="10" t="s">
        <v>209</v>
      </c>
      <c r="C307" s="11"/>
      <c r="D307" s="10" t="s">
        <v>545</v>
      </c>
      <c r="E307" s="11"/>
      <c r="F307" s="12" t="s">
        <v>552</v>
      </c>
      <c r="G307" s="13">
        <v>1</v>
      </c>
      <c r="H307" s="11" t="s">
        <v>25</v>
      </c>
      <c r="I307" s="14">
        <v>7439</v>
      </c>
      <c r="J307" s="10"/>
      <c r="K307" s="14">
        <v>7439</v>
      </c>
      <c r="L307" s="2" t="s">
        <v>547</v>
      </c>
      <c r="M307" s="16">
        <v>46195</v>
      </c>
      <c r="N307" s="17">
        <v>46206</v>
      </c>
      <c r="O307" s="7">
        <v>46205</v>
      </c>
      <c r="P307" s="18">
        <f t="shared" si="8"/>
        <v>10</v>
      </c>
      <c r="Q307" s="18">
        <f t="shared" si="9"/>
        <v>1</v>
      </c>
    </row>
    <row r="308" spans="1:17">
      <c r="A308" s="9">
        <v>307</v>
      </c>
      <c r="B308" s="10" t="s">
        <v>209</v>
      </c>
      <c r="C308" s="11"/>
      <c r="D308" s="10" t="s">
        <v>545</v>
      </c>
      <c r="E308" s="11"/>
      <c r="F308" s="12" t="s">
        <v>553</v>
      </c>
      <c r="G308" s="13">
        <v>1</v>
      </c>
      <c r="H308" s="11" t="s">
        <v>25</v>
      </c>
      <c r="I308" s="14">
        <v>2693</v>
      </c>
      <c r="J308" s="10"/>
      <c r="K308" s="14">
        <v>2693</v>
      </c>
      <c r="L308" s="2" t="s">
        <v>547</v>
      </c>
      <c r="M308" s="16">
        <v>46195</v>
      </c>
      <c r="N308" s="17">
        <v>46206</v>
      </c>
      <c r="O308" s="7">
        <v>46205</v>
      </c>
      <c r="P308" s="18">
        <f t="shared" si="8"/>
        <v>10</v>
      </c>
      <c r="Q308" s="18">
        <f t="shared" si="9"/>
        <v>1</v>
      </c>
    </row>
    <row r="309" spans="1:17">
      <c r="A309" s="9">
        <v>308</v>
      </c>
      <c r="B309" s="10" t="s">
        <v>209</v>
      </c>
      <c r="C309" s="11"/>
      <c r="D309" s="10" t="s">
        <v>545</v>
      </c>
      <c r="E309" s="11"/>
      <c r="F309" s="12" t="s">
        <v>554</v>
      </c>
      <c r="G309" s="13">
        <v>1</v>
      </c>
      <c r="H309" s="11" t="s">
        <v>25</v>
      </c>
      <c r="I309" s="14">
        <v>2693</v>
      </c>
      <c r="J309" s="10"/>
      <c r="K309" s="14">
        <v>2693</v>
      </c>
      <c r="L309" s="2" t="s">
        <v>547</v>
      </c>
      <c r="M309" s="16">
        <v>46195</v>
      </c>
      <c r="N309" s="17">
        <v>46206</v>
      </c>
      <c r="O309" s="7">
        <v>46205</v>
      </c>
      <c r="P309" s="18">
        <f t="shared" si="8"/>
        <v>10</v>
      </c>
      <c r="Q309" s="18">
        <f t="shared" si="9"/>
        <v>1</v>
      </c>
    </row>
    <row r="310" spans="1:17">
      <c r="A310" s="9">
        <v>309</v>
      </c>
      <c r="B310" s="10" t="s">
        <v>209</v>
      </c>
      <c r="C310" s="11"/>
      <c r="D310" s="10" t="s">
        <v>545</v>
      </c>
      <c r="E310" s="11"/>
      <c r="F310" s="12" t="s">
        <v>555</v>
      </c>
      <c r="G310" s="13">
        <v>1</v>
      </c>
      <c r="H310" s="11" t="s">
        <v>25</v>
      </c>
      <c r="I310" s="14">
        <v>4874</v>
      </c>
      <c r="J310" s="10"/>
      <c r="K310" s="14">
        <v>4874</v>
      </c>
      <c r="L310" s="2" t="s">
        <v>547</v>
      </c>
      <c r="M310" s="16">
        <v>46195</v>
      </c>
      <c r="N310" s="17">
        <v>46206</v>
      </c>
      <c r="O310" s="7">
        <v>46205</v>
      </c>
      <c r="P310" s="18">
        <f t="shared" si="8"/>
        <v>10</v>
      </c>
      <c r="Q310" s="18">
        <f t="shared" si="9"/>
        <v>1</v>
      </c>
    </row>
    <row r="311" spans="1:17">
      <c r="A311" s="9">
        <v>310</v>
      </c>
      <c r="B311" s="10" t="s">
        <v>209</v>
      </c>
      <c r="C311" s="11"/>
      <c r="D311" s="10" t="s">
        <v>545</v>
      </c>
      <c r="E311" s="11"/>
      <c r="F311" s="12" t="s">
        <v>556</v>
      </c>
      <c r="G311" s="13">
        <v>2</v>
      </c>
      <c r="H311" s="11" t="s">
        <v>25</v>
      </c>
      <c r="I311" s="14">
        <v>875</v>
      </c>
      <c r="J311" s="10"/>
      <c r="K311" s="14">
        <v>1750</v>
      </c>
      <c r="L311" s="2" t="s">
        <v>547</v>
      </c>
      <c r="M311" s="16">
        <v>46195</v>
      </c>
      <c r="N311" s="17">
        <v>46206</v>
      </c>
      <c r="O311" s="7">
        <v>46205</v>
      </c>
      <c r="P311" s="18">
        <f t="shared" si="8"/>
        <v>10</v>
      </c>
      <c r="Q311" s="18">
        <f t="shared" si="9"/>
        <v>1</v>
      </c>
    </row>
    <row r="312" spans="1:17">
      <c r="A312" s="9">
        <v>311</v>
      </c>
      <c r="B312" s="10" t="s">
        <v>557</v>
      </c>
      <c r="C312" s="11"/>
      <c r="D312" s="10" t="s">
        <v>558</v>
      </c>
      <c r="E312" s="11"/>
      <c r="F312" s="12" t="s">
        <v>559</v>
      </c>
      <c r="G312" s="13">
        <v>1</v>
      </c>
      <c r="H312" s="11" t="s">
        <v>25</v>
      </c>
      <c r="I312" s="14">
        <v>280</v>
      </c>
      <c r="J312" s="10"/>
      <c r="K312" s="14">
        <v>280</v>
      </c>
      <c r="L312" s="2" t="s">
        <v>560</v>
      </c>
      <c r="M312" s="16">
        <v>46198</v>
      </c>
      <c r="N312" s="17">
        <v>46210</v>
      </c>
      <c r="O312" s="7">
        <v>46209</v>
      </c>
      <c r="P312" s="18">
        <f t="shared" si="8"/>
        <v>11</v>
      </c>
      <c r="Q312" s="18">
        <f t="shared" si="9"/>
        <v>1</v>
      </c>
    </row>
    <row r="313" spans="1:17">
      <c r="A313" s="9">
        <v>312</v>
      </c>
      <c r="B313" s="10" t="s">
        <v>557</v>
      </c>
      <c r="C313" s="11"/>
      <c r="D313" s="10" t="s">
        <v>558</v>
      </c>
      <c r="E313" s="11"/>
      <c r="F313" s="12" t="s">
        <v>561</v>
      </c>
      <c r="G313" s="13">
        <v>1</v>
      </c>
      <c r="H313" s="11" t="s">
        <v>25</v>
      </c>
      <c r="I313" s="14">
        <v>280</v>
      </c>
      <c r="J313" s="10"/>
      <c r="K313" s="14">
        <v>280</v>
      </c>
      <c r="L313" s="2" t="s">
        <v>560</v>
      </c>
      <c r="M313" s="16">
        <v>46198</v>
      </c>
      <c r="N313" s="17">
        <v>46210</v>
      </c>
      <c r="O313" s="7">
        <v>46209</v>
      </c>
      <c r="P313" s="18">
        <f t="shared" si="8"/>
        <v>11</v>
      </c>
      <c r="Q313" s="18">
        <f t="shared" si="9"/>
        <v>1</v>
      </c>
    </row>
    <row r="314" spans="1:17">
      <c r="A314" s="9">
        <v>313</v>
      </c>
      <c r="B314" s="10" t="s">
        <v>557</v>
      </c>
      <c r="C314" s="11"/>
      <c r="D314" s="10" t="s">
        <v>558</v>
      </c>
      <c r="E314" s="11"/>
      <c r="F314" s="12" t="s">
        <v>562</v>
      </c>
      <c r="G314" s="13">
        <v>1</v>
      </c>
      <c r="H314" s="11" t="s">
        <v>25</v>
      </c>
      <c r="I314" s="14">
        <v>280</v>
      </c>
      <c r="J314" s="10"/>
      <c r="K314" s="14">
        <v>280</v>
      </c>
      <c r="L314" s="2" t="s">
        <v>560</v>
      </c>
      <c r="M314" s="16">
        <v>46198</v>
      </c>
      <c r="N314" s="17">
        <v>46210</v>
      </c>
      <c r="O314" s="7">
        <v>46209</v>
      </c>
      <c r="P314" s="18">
        <f t="shared" si="8"/>
        <v>11</v>
      </c>
      <c r="Q314" s="18">
        <f t="shared" si="9"/>
        <v>1</v>
      </c>
    </row>
    <row r="315" spans="1:17">
      <c r="A315" s="9">
        <v>314</v>
      </c>
      <c r="B315" s="10" t="s">
        <v>563</v>
      </c>
      <c r="C315" s="11"/>
      <c r="D315" s="10" t="s">
        <v>564</v>
      </c>
      <c r="E315" s="11"/>
      <c r="F315" s="12" t="s">
        <v>565</v>
      </c>
      <c r="G315" s="13">
        <v>1</v>
      </c>
      <c r="H315" s="11" t="s">
        <v>53</v>
      </c>
      <c r="I315" s="14">
        <v>1177</v>
      </c>
      <c r="J315" s="15">
        <v>236</v>
      </c>
      <c r="K315" s="14">
        <v>941</v>
      </c>
      <c r="L315" s="2" t="s">
        <v>566</v>
      </c>
      <c r="M315" s="16">
        <v>46204</v>
      </c>
      <c r="N315" s="17">
        <v>46212</v>
      </c>
      <c r="O315" s="7">
        <v>46211</v>
      </c>
      <c r="P315" s="18">
        <f t="shared" si="8"/>
        <v>7</v>
      </c>
      <c r="Q315" s="18">
        <f t="shared" si="9"/>
        <v>1</v>
      </c>
    </row>
    <row r="316" spans="1:17">
      <c r="A316" s="9">
        <v>315</v>
      </c>
      <c r="B316" s="10" t="s">
        <v>379</v>
      </c>
      <c r="C316" s="11"/>
      <c r="D316" s="10" t="s">
        <v>172</v>
      </c>
      <c r="E316" s="11"/>
      <c r="F316" s="12" t="s">
        <v>567</v>
      </c>
      <c r="G316" s="13">
        <v>2</v>
      </c>
      <c r="H316" s="11" t="s">
        <v>25</v>
      </c>
      <c r="I316" s="14">
        <v>377.52</v>
      </c>
      <c r="J316" s="10"/>
      <c r="K316" s="14">
        <v>755.04</v>
      </c>
      <c r="L316" s="2" t="s">
        <v>568</v>
      </c>
      <c r="M316" s="16">
        <v>46209</v>
      </c>
      <c r="N316" s="17">
        <v>46213</v>
      </c>
      <c r="O316" s="7">
        <v>46212</v>
      </c>
      <c r="P316" s="18">
        <f t="shared" si="8"/>
        <v>3</v>
      </c>
      <c r="Q316" s="18">
        <f t="shared" si="9"/>
        <v>1</v>
      </c>
    </row>
    <row r="317" spans="1:17">
      <c r="A317" s="9">
        <v>316</v>
      </c>
      <c r="B317" s="10" t="s">
        <v>379</v>
      </c>
      <c r="C317" s="11"/>
      <c r="D317" s="10" t="s">
        <v>380</v>
      </c>
      <c r="E317" s="11"/>
      <c r="F317" s="12" t="s">
        <v>569</v>
      </c>
      <c r="G317" s="13">
        <v>2</v>
      </c>
      <c r="H317" s="11" t="s">
        <v>25</v>
      </c>
      <c r="I317" s="14">
        <v>927.53</v>
      </c>
      <c r="J317" s="10"/>
      <c r="K317" s="14">
        <v>1855.06</v>
      </c>
      <c r="L317" s="2" t="s">
        <v>382</v>
      </c>
      <c r="M317" s="16">
        <v>46209</v>
      </c>
      <c r="N317" s="17">
        <v>46213</v>
      </c>
      <c r="O317" s="7">
        <v>46212</v>
      </c>
      <c r="P317" s="18">
        <f t="shared" si="8"/>
        <v>3</v>
      </c>
      <c r="Q317" s="18">
        <f t="shared" si="9"/>
        <v>1</v>
      </c>
    </row>
    <row r="318" spans="1:17">
      <c r="A318" s="9">
        <v>317</v>
      </c>
      <c r="B318" s="10" t="s">
        <v>231</v>
      </c>
      <c r="C318" s="11"/>
      <c r="D318" s="10" t="s">
        <v>376</v>
      </c>
      <c r="E318" s="11"/>
      <c r="F318" s="12" t="s">
        <v>570</v>
      </c>
      <c r="G318" s="13">
        <v>50</v>
      </c>
      <c r="H318" s="11" t="s">
        <v>25</v>
      </c>
      <c r="I318" s="14">
        <v>8</v>
      </c>
      <c r="J318" s="10"/>
      <c r="K318" s="14">
        <v>400</v>
      </c>
      <c r="L318" s="2" t="s">
        <v>571</v>
      </c>
      <c r="M318" s="16">
        <v>46209</v>
      </c>
      <c r="N318" s="17">
        <v>46213</v>
      </c>
      <c r="O318" s="7">
        <v>46212</v>
      </c>
      <c r="P318" s="18">
        <f t="shared" si="8"/>
        <v>3</v>
      </c>
      <c r="Q318" s="18">
        <f t="shared" si="9"/>
        <v>1</v>
      </c>
    </row>
    <row r="319" spans="1:17">
      <c r="A319" s="9">
        <v>318</v>
      </c>
      <c r="B319" s="10" t="s">
        <v>572</v>
      </c>
      <c r="C319" s="11"/>
      <c r="D319" s="10" t="s">
        <v>172</v>
      </c>
      <c r="E319" s="11"/>
      <c r="F319" s="12" t="s">
        <v>573</v>
      </c>
      <c r="G319" s="13">
        <v>2</v>
      </c>
      <c r="H319" s="11" t="s">
        <v>25</v>
      </c>
      <c r="I319" s="14">
        <v>260.58999999999997</v>
      </c>
      <c r="J319" s="10"/>
      <c r="K319" s="14">
        <v>521.17999999999995</v>
      </c>
      <c r="L319" s="2" t="s">
        <v>574</v>
      </c>
      <c r="M319" s="16">
        <v>46210</v>
      </c>
      <c r="N319" s="17">
        <v>46213</v>
      </c>
      <c r="O319" s="7">
        <v>46212</v>
      </c>
      <c r="P319" s="18">
        <f t="shared" si="8"/>
        <v>2</v>
      </c>
      <c r="Q319" s="18">
        <f t="shared" si="9"/>
        <v>1</v>
      </c>
    </row>
    <row r="320" spans="1:17">
      <c r="A320" s="9">
        <v>319</v>
      </c>
      <c r="B320" s="10" t="s">
        <v>575</v>
      </c>
      <c r="C320" s="11"/>
      <c r="D320" s="10" t="s">
        <v>172</v>
      </c>
      <c r="E320" s="11"/>
      <c r="F320" s="12" t="s">
        <v>576</v>
      </c>
      <c r="G320" s="13">
        <v>2</v>
      </c>
      <c r="H320" s="11" t="s">
        <v>30</v>
      </c>
      <c r="I320" s="14">
        <v>3271.63</v>
      </c>
      <c r="J320" s="10"/>
      <c r="K320" s="14">
        <v>6543.26</v>
      </c>
      <c r="L320" s="2" t="s">
        <v>577</v>
      </c>
      <c r="M320" s="16">
        <v>46210</v>
      </c>
      <c r="N320" s="17">
        <v>46213</v>
      </c>
      <c r="O320" s="7">
        <v>46212</v>
      </c>
      <c r="P320" s="18">
        <f t="shared" si="8"/>
        <v>2</v>
      </c>
      <c r="Q320" s="18">
        <f t="shared" si="9"/>
        <v>1</v>
      </c>
    </row>
    <row r="321" spans="1:17">
      <c r="A321" s="9">
        <v>320</v>
      </c>
      <c r="B321" s="10" t="s">
        <v>314</v>
      </c>
      <c r="C321" s="11"/>
      <c r="D321" s="10" t="s">
        <v>315</v>
      </c>
      <c r="E321" s="11"/>
      <c r="F321" s="12" t="s">
        <v>316</v>
      </c>
      <c r="G321" s="13">
        <v>2</v>
      </c>
      <c r="H321" s="11" t="s">
        <v>25</v>
      </c>
      <c r="I321" s="14">
        <v>170</v>
      </c>
      <c r="J321" s="10"/>
      <c r="K321" s="14">
        <v>340</v>
      </c>
      <c r="L321" s="2" t="s">
        <v>578</v>
      </c>
      <c r="M321" s="16">
        <v>46213</v>
      </c>
      <c r="N321" s="17">
        <v>46213</v>
      </c>
      <c r="O321" s="7">
        <v>46212</v>
      </c>
      <c r="P321" s="18">
        <f t="shared" si="8"/>
        <v>-1</v>
      </c>
      <c r="Q321" s="18">
        <f t="shared" si="9"/>
        <v>1</v>
      </c>
    </row>
    <row r="322" spans="1:17">
      <c r="A322" s="9">
        <v>321</v>
      </c>
      <c r="B322" s="10" t="s">
        <v>314</v>
      </c>
      <c r="C322" s="11"/>
      <c r="D322" s="10" t="s">
        <v>315</v>
      </c>
      <c r="E322" s="11"/>
      <c r="F322" s="12" t="s">
        <v>318</v>
      </c>
      <c r="G322" s="13">
        <v>2</v>
      </c>
      <c r="H322" s="11" t="s">
        <v>25</v>
      </c>
      <c r="I322" s="14">
        <v>350</v>
      </c>
      <c r="J322" s="10"/>
      <c r="K322" s="14">
        <v>700</v>
      </c>
      <c r="L322" s="2" t="s">
        <v>578</v>
      </c>
      <c r="M322" s="16">
        <v>46213</v>
      </c>
      <c r="N322" s="17">
        <v>46213</v>
      </c>
      <c r="O322" s="7">
        <v>46212</v>
      </c>
      <c r="P322" s="18">
        <f t="shared" ref="P322:P385" si="10">O322-M322</f>
        <v>-1</v>
      </c>
      <c r="Q322" s="18">
        <f t="shared" ref="Q322:Q385" si="11">N322-O322</f>
        <v>1</v>
      </c>
    </row>
    <row r="323" spans="1:17">
      <c r="A323" s="9">
        <v>322</v>
      </c>
      <c r="B323" s="10" t="s">
        <v>579</v>
      </c>
      <c r="C323" s="11"/>
      <c r="D323" s="10" t="s">
        <v>580</v>
      </c>
      <c r="E323" s="11"/>
      <c r="F323" s="12" t="s">
        <v>581</v>
      </c>
      <c r="G323" s="13">
        <v>1</v>
      </c>
      <c r="H323" s="11" t="s">
        <v>393</v>
      </c>
      <c r="I323" s="14">
        <v>245</v>
      </c>
      <c r="J323" s="10"/>
      <c r="K323" s="14">
        <v>245</v>
      </c>
      <c r="L323" s="2" t="s">
        <v>582</v>
      </c>
      <c r="M323" s="16">
        <v>46213</v>
      </c>
      <c r="N323" s="17">
        <v>46213</v>
      </c>
      <c r="O323" s="7">
        <v>46212</v>
      </c>
      <c r="P323" s="18">
        <f t="shared" si="10"/>
        <v>-1</v>
      </c>
      <c r="Q323" s="18">
        <f t="shared" si="11"/>
        <v>1</v>
      </c>
    </row>
    <row r="324" spans="1:17">
      <c r="A324" s="9">
        <v>323</v>
      </c>
      <c r="B324" s="10" t="s">
        <v>579</v>
      </c>
      <c r="C324" s="11"/>
      <c r="D324" s="10" t="s">
        <v>580</v>
      </c>
      <c r="E324" s="11"/>
      <c r="F324" s="12" t="s">
        <v>583</v>
      </c>
      <c r="G324" s="13">
        <v>1</v>
      </c>
      <c r="H324" s="11" t="s">
        <v>67</v>
      </c>
      <c r="I324" s="14">
        <v>1840</v>
      </c>
      <c r="J324" s="10"/>
      <c r="K324" s="14">
        <v>1840</v>
      </c>
      <c r="L324" s="2" t="s">
        <v>582</v>
      </c>
      <c r="M324" s="16">
        <v>46213</v>
      </c>
      <c r="N324" s="17">
        <v>46213</v>
      </c>
      <c r="O324" s="7">
        <v>46212</v>
      </c>
      <c r="P324" s="18">
        <f t="shared" si="10"/>
        <v>-1</v>
      </c>
      <c r="Q324" s="18">
        <f t="shared" si="11"/>
        <v>1</v>
      </c>
    </row>
    <row r="325" spans="1:17">
      <c r="A325" s="9">
        <v>324</v>
      </c>
      <c r="B325" s="10" t="s">
        <v>579</v>
      </c>
      <c r="C325" s="11"/>
      <c r="D325" s="10" t="s">
        <v>580</v>
      </c>
      <c r="E325" s="11"/>
      <c r="F325" s="12" t="s">
        <v>584</v>
      </c>
      <c r="G325" s="13">
        <v>2</v>
      </c>
      <c r="H325" s="11" t="s">
        <v>67</v>
      </c>
      <c r="I325" s="14">
        <v>16</v>
      </c>
      <c r="J325" s="10"/>
      <c r="K325" s="14">
        <v>32</v>
      </c>
      <c r="L325" s="2" t="s">
        <v>582</v>
      </c>
      <c r="M325" s="16">
        <v>46213</v>
      </c>
      <c r="N325" s="17">
        <v>46213</v>
      </c>
      <c r="O325" s="7">
        <v>46212</v>
      </c>
      <c r="P325" s="18">
        <f t="shared" si="10"/>
        <v>-1</v>
      </c>
      <c r="Q325" s="18">
        <f t="shared" si="11"/>
        <v>1</v>
      </c>
    </row>
    <row r="326" spans="1:17">
      <c r="A326" s="9">
        <v>325</v>
      </c>
      <c r="B326" s="10" t="s">
        <v>579</v>
      </c>
      <c r="C326" s="11"/>
      <c r="D326" s="10" t="s">
        <v>580</v>
      </c>
      <c r="E326" s="11"/>
      <c r="F326" s="12" t="s">
        <v>585</v>
      </c>
      <c r="G326" s="13">
        <v>2</v>
      </c>
      <c r="H326" s="11" t="s">
        <v>25</v>
      </c>
      <c r="I326" s="14">
        <v>67</v>
      </c>
      <c r="J326" s="10"/>
      <c r="K326" s="14">
        <v>134</v>
      </c>
      <c r="L326" s="2" t="s">
        <v>582</v>
      </c>
      <c r="M326" s="16">
        <v>46213</v>
      </c>
      <c r="N326" s="17">
        <v>46213</v>
      </c>
      <c r="O326" s="7">
        <v>46212</v>
      </c>
      <c r="P326" s="18">
        <f t="shared" si="10"/>
        <v>-1</v>
      </c>
      <c r="Q326" s="18">
        <f t="shared" si="11"/>
        <v>1</v>
      </c>
    </row>
    <row r="327" spans="1:17">
      <c r="A327" s="9">
        <v>326</v>
      </c>
      <c r="B327" s="10" t="s">
        <v>579</v>
      </c>
      <c r="C327" s="11"/>
      <c r="D327" s="10" t="s">
        <v>580</v>
      </c>
      <c r="E327" s="11"/>
      <c r="F327" s="12" t="s">
        <v>586</v>
      </c>
      <c r="G327" s="13">
        <v>2</v>
      </c>
      <c r="H327" s="11" t="s">
        <v>25</v>
      </c>
      <c r="I327" s="14">
        <v>5.5</v>
      </c>
      <c r="J327" s="10"/>
      <c r="K327" s="14">
        <v>11</v>
      </c>
      <c r="L327" s="2" t="s">
        <v>582</v>
      </c>
      <c r="M327" s="16">
        <v>46213</v>
      </c>
      <c r="N327" s="17">
        <v>46213</v>
      </c>
      <c r="O327" s="7">
        <v>46212</v>
      </c>
      <c r="P327" s="18">
        <f t="shared" si="10"/>
        <v>-1</v>
      </c>
      <c r="Q327" s="18">
        <f t="shared" si="11"/>
        <v>1</v>
      </c>
    </row>
    <row r="328" spans="1:17">
      <c r="A328" s="9">
        <v>327</v>
      </c>
      <c r="B328" s="10" t="s">
        <v>579</v>
      </c>
      <c r="C328" s="11"/>
      <c r="D328" s="10" t="s">
        <v>580</v>
      </c>
      <c r="E328" s="11"/>
      <c r="F328" s="12" t="s">
        <v>587</v>
      </c>
      <c r="G328" s="13">
        <v>2</v>
      </c>
      <c r="H328" s="11" t="s">
        <v>393</v>
      </c>
      <c r="I328" s="14">
        <v>40</v>
      </c>
      <c r="J328" s="10"/>
      <c r="K328" s="14">
        <v>80</v>
      </c>
      <c r="L328" s="2" t="s">
        <v>582</v>
      </c>
      <c r="M328" s="16">
        <v>46213</v>
      </c>
      <c r="N328" s="17">
        <v>46213</v>
      </c>
      <c r="O328" s="7">
        <v>46212</v>
      </c>
      <c r="P328" s="18">
        <f t="shared" si="10"/>
        <v>-1</v>
      </c>
      <c r="Q328" s="18">
        <f t="shared" si="11"/>
        <v>1</v>
      </c>
    </row>
    <row r="329" spans="1:17">
      <c r="A329" s="9">
        <v>328</v>
      </c>
      <c r="B329" s="10" t="s">
        <v>579</v>
      </c>
      <c r="C329" s="11"/>
      <c r="D329" s="10" t="s">
        <v>580</v>
      </c>
      <c r="E329" s="11"/>
      <c r="F329" s="12" t="s">
        <v>588</v>
      </c>
      <c r="G329" s="13">
        <v>3</v>
      </c>
      <c r="H329" s="11" t="s">
        <v>25</v>
      </c>
      <c r="I329" s="14">
        <v>14</v>
      </c>
      <c r="J329" s="10"/>
      <c r="K329" s="14">
        <v>42</v>
      </c>
      <c r="L329" s="2" t="s">
        <v>582</v>
      </c>
      <c r="M329" s="16">
        <v>46213</v>
      </c>
      <c r="N329" s="17">
        <v>46213</v>
      </c>
      <c r="O329" s="7">
        <v>46212</v>
      </c>
      <c r="P329" s="18">
        <f t="shared" si="10"/>
        <v>-1</v>
      </c>
      <c r="Q329" s="18">
        <f t="shared" si="11"/>
        <v>1</v>
      </c>
    </row>
    <row r="330" spans="1:17">
      <c r="A330" s="9">
        <v>329</v>
      </c>
      <c r="B330" s="10" t="s">
        <v>579</v>
      </c>
      <c r="C330" s="11"/>
      <c r="D330" s="10" t="s">
        <v>580</v>
      </c>
      <c r="E330" s="11"/>
      <c r="F330" s="12" t="s">
        <v>589</v>
      </c>
      <c r="G330" s="13">
        <v>2</v>
      </c>
      <c r="H330" s="11" t="s">
        <v>25</v>
      </c>
      <c r="I330" s="14">
        <v>13</v>
      </c>
      <c r="J330" s="10"/>
      <c r="K330" s="14">
        <v>26</v>
      </c>
      <c r="L330" s="2" t="s">
        <v>582</v>
      </c>
      <c r="M330" s="16">
        <v>46213</v>
      </c>
      <c r="N330" s="17">
        <v>46213</v>
      </c>
      <c r="O330" s="7">
        <v>46212</v>
      </c>
      <c r="P330" s="18">
        <f t="shared" si="10"/>
        <v>-1</v>
      </c>
      <c r="Q330" s="18">
        <f t="shared" si="11"/>
        <v>1</v>
      </c>
    </row>
    <row r="331" spans="1:17">
      <c r="A331" s="9">
        <v>330</v>
      </c>
      <c r="B331" s="10" t="s">
        <v>579</v>
      </c>
      <c r="C331" s="11"/>
      <c r="D331" s="10" t="s">
        <v>580</v>
      </c>
      <c r="E331" s="11"/>
      <c r="F331" s="12" t="s">
        <v>590</v>
      </c>
      <c r="G331" s="13">
        <v>2</v>
      </c>
      <c r="H331" s="11" t="s">
        <v>25</v>
      </c>
      <c r="I331" s="14">
        <v>50</v>
      </c>
      <c r="J331" s="10"/>
      <c r="K331" s="14">
        <v>100</v>
      </c>
      <c r="L331" s="2" t="s">
        <v>582</v>
      </c>
      <c r="M331" s="16">
        <v>46213</v>
      </c>
      <c r="N331" s="17">
        <v>46213</v>
      </c>
      <c r="O331" s="7">
        <v>46212</v>
      </c>
      <c r="P331" s="18">
        <f t="shared" si="10"/>
        <v>-1</v>
      </c>
      <c r="Q331" s="18">
        <f t="shared" si="11"/>
        <v>1</v>
      </c>
    </row>
    <row r="332" spans="1:17">
      <c r="A332" s="9">
        <v>331</v>
      </c>
      <c r="B332" s="10" t="s">
        <v>579</v>
      </c>
      <c r="C332" s="11"/>
      <c r="D332" s="10" t="s">
        <v>580</v>
      </c>
      <c r="E332" s="11"/>
      <c r="F332" s="12" t="s">
        <v>591</v>
      </c>
      <c r="G332" s="13">
        <v>3</v>
      </c>
      <c r="H332" s="11" t="s">
        <v>25</v>
      </c>
      <c r="I332" s="14">
        <v>20</v>
      </c>
      <c r="J332" s="10"/>
      <c r="K332" s="14">
        <v>60</v>
      </c>
      <c r="L332" s="2" t="s">
        <v>582</v>
      </c>
      <c r="M332" s="16">
        <v>46213</v>
      </c>
      <c r="N332" s="17">
        <v>46213</v>
      </c>
      <c r="O332" s="7">
        <v>46212</v>
      </c>
      <c r="P332" s="18">
        <f t="shared" si="10"/>
        <v>-1</v>
      </c>
      <c r="Q332" s="18">
        <f t="shared" si="11"/>
        <v>1</v>
      </c>
    </row>
    <row r="333" spans="1:17">
      <c r="A333" s="9">
        <v>332</v>
      </c>
      <c r="B333" s="10" t="s">
        <v>579</v>
      </c>
      <c r="C333" s="11"/>
      <c r="D333" s="10" t="s">
        <v>580</v>
      </c>
      <c r="E333" s="11"/>
      <c r="F333" s="12" t="s">
        <v>592</v>
      </c>
      <c r="G333" s="13">
        <v>4</v>
      </c>
      <c r="H333" s="11" t="s">
        <v>25</v>
      </c>
      <c r="I333" s="14">
        <v>12</v>
      </c>
      <c r="J333" s="10"/>
      <c r="K333" s="14">
        <v>48</v>
      </c>
      <c r="L333" s="2" t="s">
        <v>582</v>
      </c>
      <c r="M333" s="16">
        <v>46213</v>
      </c>
      <c r="N333" s="17">
        <v>46213</v>
      </c>
      <c r="O333" s="7">
        <v>46212</v>
      </c>
      <c r="P333" s="18">
        <f t="shared" si="10"/>
        <v>-1</v>
      </c>
      <c r="Q333" s="18">
        <f t="shared" si="11"/>
        <v>1</v>
      </c>
    </row>
    <row r="334" spans="1:17">
      <c r="A334" s="9">
        <v>333</v>
      </c>
      <c r="B334" s="10" t="s">
        <v>593</v>
      </c>
      <c r="C334" s="11"/>
      <c r="D334" s="10" t="s">
        <v>100</v>
      </c>
      <c r="E334" s="11"/>
      <c r="F334" s="12" t="s">
        <v>594</v>
      </c>
      <c r="G334" s="13">
        <v>1</v>
      </c>
      <c r="H334" s="11" t="s">
        <v>224</v>
      </c>
      <c r="I334" s="14">
        <v>320</v>
      </c>
      <c r="J334" s="10"/>
      <c r="K334" s="14">
        <v>320</v>
      </c>
      <c r="L334" s="2" t="s">
        <v>595</v>
      </c>
      <c r="M334" s="16">
        <v>46213</v>
      </c>
      <c r="N334" s="17">
        <v>46213</v>
      </c>
      <c r="O334" s="7">
        <v>46212</v>
      </c>
      <c r="P334" s="18">
        <f t="shared" si="10"/>
        <v>-1</v>
      </c>
      <c r="Q334" s="18">
        <f t="shared" si="11"/>
        <v>1</v>
      </c>
    </row>
    <row r="335" spans="1:17">
      <c r="A335" s="9">
        <v>334</v>
      </c>
      <c r="B335" s="10" t="s">
        <v>596</v>
      </c>
      <c r="C335" s="11"/>
      <c r="D335" s="10" t="s">
        <v>597</v>
      </c>
      <c r="E335" s="11"/>
      <c r="F335" s="12" t="s">
        <v>598</v>
      </c>
      <c r="G335" s="13">
        <v>1</v>
      </c>
      <c r="H335" s="11" t="s">
        <v>25</v>
      </c>
      <c r="I335" s="14">
        <v>17865.419999999998</v>
      </c>
      <c r="J335" s="10"/>
      <c r="K335" s="14">
        <v>17865.419999999998</v>
      </c>
      <c r="L335" s="2" t="s">
        <v>599</v>
      </c>
      <c r="M335" s="16">
        <v>46210</v>
      </c>
      <c r="N335" s="17">
        <v>46213</v>
      </c>
      <c r="O335" s="7">
        <v>46212</v>
      </c>
      <c r="P335" s="18">
        <f t="shared" si="10"/>
        <v>2</v>
      </c>
      <c r="Q335" s="18">
        <f t="shared" si="11"/>
        <v>1</v>
      </c>
    </row>
    <row r="336" spans="1:17">
      <c r="A336" s="9">
        <v>335</v>
      </c>
      <c r="B336" s="10" t="s">
        <v>379</v>
      </c>
      <c r="C336" s="11"/>
      <c r="D336" s="10" t="s">
        <v>172</v>
      </c>
      <c r="E336" s="11"/>
      <c r="F336" s="12" t="s">
        <v>600</v>
      </c>
      <c r="G336" s="13">
        <v>1</v>
      </c>
      <c r="H336" s="11" t="s">
        <v>25</v>
      </c>
      <c r="I336" s="14">
        <v>1577.03</v>
      </c>
      <c r="J336" s="10"/>
      <c r="K336" s="14">
        <v>1577.03</v>
      </c>
      <c r="L336" s="2" t="s">
        <v>568</v>
      </c>
      <c r="M336" s="16">
        <v>46209</v>
      </c>
      <c r="N336" s="17">
        <v>46213</v>
      </c>
      <c r="O336" s="7">
        <v>46212</v>
      </c>
      <c r="P336" s="18">
        <f t="shared" si="10"/>
        <v>3</v>
      </c>
      <c r="Q336" s="18">
        <f t="shared" si="11"/>
        <v>1</v>
      </c>
    </row>
    <row r="337" spans="1:17">
      <c r="A337" s="9">
        <v>336</v>
      </c>
      <c r="B337" s="10" t="s">
        <v>601</v>
      </c>
      <c r="C337" s="11"/>
      <c r="D337" s="10" t="s">
        <v>172</v>
      </c>
      <c r="E337" s="11"/>
      <c r="F337" s="12" t="s">
        <v>602</v>
      </c>
      <c r="G337" s="13">
        <v>4</v>
      </c>
      <c r="H337" s="11" t="s">
        <v>30</v>
      </c>
      <c r="I337" s="14">
        <v>340.51</v>
      </c>
      <c r="J337" s="10"/>
      <c r="K337" s="14">
        <v>1362.04</v>
      </c>
      <c r="L337" s="2" t="s">
        <v>603</v>
      </c>
      <c r="M337" s="16">
        <v>46203</v>
      </c>
      <c r="N337" s="17">
        <v>46218</v>
      </c>
      <c r="O337" s="7">
        <v>46217</v>
      </c>
      <c r="P337" s="18">
        <f t="shared" si="10"/>
        <v>14</v>
      </c>
      <c r="Q337" s="18">
        <f t="shared" si="11"/>
        <v>1</v>
      </c>
    </row>
    <row r="338" spans="1:17">
      <c r="A338" s="9">
        <v>337</v>
      </c>
      <c r="B338" s="10" t="s">
        <v>254</v>
      </c>
      <c r="C338" s="11"/>
      <c r="D338" s="10" t="s">
        <v>604</v>
      </c>
      <c r="E338" s="11"/>
      <c r="F338" s="12" t="s">
        <v>605</v>
      </c>
      <c r="G338" s="13">
        <v>1</v>
      </c>
      <c r="H338" s="11" t="s">
        <v>25</v>
      </c>
      <c r="I338" s="14">
        <v>495</v>
      </c>
      <c r="J338" s="10"/>
      <c r="K338" s="14">
        <v>495</v>
      </c>
      <c r="L338" s="2" t="s">
        <v>606</v>
      </c>
      <c r="M338" s="16">
        <v>46219</v>
      </c>
      <c r="N338" s="17">
        <v>46226</v>
      </c>
      <c r="O338" s="7">
        <v>46225</v>
      </c>
      <c r="P338" s="18">
        <f t="shared" si="10"/>
        <v>6</v>
      </c>
      <c r="Q338" s="18">
        <f t="shared" si="11"/>
        <v>1</v>
      </c>
    </row>
    <row r="339" spans="1:17">
      <c r="A339" s="9">
        <v>338</v>
      </c>
      <c r="B339" s="10" t="s">
        <v>167</v>
      </c>
      <c r="C339" s="11"/>
      <c r="D339" s="10" t="s">
        <v>96</v>
      </c>
      <c r="E339" s="11"/>
      <c r="F339" s="12" t="s">
        <v>607</v>
      </c>
      <c r="G339" s="13">
        <v>1</v>
      </c>
      <c r="H339" s="11" t="s">
        <v>25</v>
      </c>
      <c r="I339" s="14">
        <v>880</v>
      </c>
      <c r="J339" s="10"/>
      <c r="K339" s="14">
        <v>880</v>
      </c>
      <c r="L339" s="2" t="s">
        <v>608</v>
      </c>
      <c r="M339" s="16">
        <v>46223</v>
      </c>
      <c r="N339" s="17">
        <v>46227</v>
      </c>
      <c r="O339" s="7">
        <v>46226</v>
      </c>
      <c r="P339" s="18">
        <f t="shared" si="10"/>
        <v>3</v>
      </c>
      <c r="Q339" s="18">
        <f t="shared" si="11"/>
        <v>1</v>
      </c>
    </row>
    <row r="340" spans="1:17">
      <c r="A340" s="9">
        <v>339</v>
      </c>
      <c r="B340" s="32" t="s">
        <v>609</v>
      </c>
      <c r="C340" s="33"/>
      <c r="D340" s="32" t="s">
        <v>580</v>
      </c>
      <c r="E340" s="33" t="s">
        <v>610</v>
      </c>
      <c r="F340" s="32" t="s">
        <v>611</v>
      </c>
      <c r="G340" s="34">
        <v>4</v>
      </c>
      <c r="H340" s="33" t="s">
        <v>25</v>
      </c>
      <c r="I340" s="35">
        <v>50</v>
      </c>
      <c r="J340" s="35">
        <v>0</v>
      </c>
      <c r="K340" s="35">
        <v>200</v>
      </c>
      <c r="L340" s="36" t="s">
        <v>612</v>
      </c>
      <c r="M340" s="37">
        <v>46227</v>
      </c>
      <c r="N340" s="38">
        <v>46227</v>
      </c>
      <c r="O340" s="7">
        <v>46226</v>
      </c>
      <c r="P340" s="18">
        <f t="shared" si="10"/>
        <v>-1</v>
      </c>
      <c r="Q340" s="18">
        <f t="shared" si="11"/>
        <v>1</v>
      </c>
    </row>
    <row r="341" spans="1:17">
      <c r="A341" s="9">
        <v>340</v>
      </c>
      <c r="B341" s="32" t="s">
        <v>609</v>
      </c>
      <c r="C341" s="33"/>
      <c r="D341" s="32" t="s">
        <v>580</v>
      </c>
      <c r="E341" s="33" t="s">
        <v>613</v>
      </c>
      <c r="F341" s="32" t="s">
        <v>614</v>
      </c>
      <c r="G341" s="34">
        <v>1</v>
      </c>
      <c r="H341" s="33" t="s">
        <v>67</v>
      </c>
      <c r="I341" s="35">
        <v>2245</v>
      </c>
      <c r="J341" s="35">
        <v>0</v>
      </c>
      <c r="K341" s="35">
        <v>2245</v>
      </c>
      <c r="L341" s="36" t="s">
        <v>612</v>
      </c>
      <c r="M341" s="37">
        <v>46227</v>
      </c>
      <c r="N341" s="38">
        <v>46227</v>
      </c>
      <c r="O341" s="7">
        <v>46226</v>
      </c>
      <c r="P341" s="18">
        <f t="shared" si="10"/>
        <v>-1</v>
      </c>
      <c r="Q341" s="18">
        <f t="shared" si="11"/>
        <v>1</v>
      </c>
    </row>
    <row r="342" spans="1:17">
      <c r="A342" s="9">
        <v>341</v>
      </c>
      <c r="B342" s="32" t="s">
        <v>609</v>
      </c>
      <c r="C342" s="33"/>
      <c r="D342" s="32" t="s">
        <v>580</v>
      </c>
      <c r="E342" s="33" t="s">
        <v>615</v>
      </c>
      <c r="F342" s="32" t="s">
        <v>616</v>
      </c>
      <c r="G342" s="34">
        <v>2</v>
      </c>
      <c r="H342" s="33" t="s">
        <v>25</v>
      </c>
      <c r="I342" s="35">
        <v>50</v>
      </c>
      <c r="J342" s="35">
        <v>0</v>
      </c>
      <c r="K342" s="35">
        <v>100</v>
      </c>
      <c r="L342" s="36" t="s">
        <v>617</v>
      </c>
      <c r="M342" s="37">
        <v>46227</v>
      </c>
      <c r="N342" s="38">
        <v>46227</v>
      </c>
      <c r="O342" s="7">
        <v>46226</v>
      </c>
      <c r="P342" s="18">
        <f t="shared" si="10"/>
        <v>-1</v>
      </c>
      <c r="Q342" s="18">
        <f t="shared" si="11"/>
        <v>1</v>
      </c>
    </row>
    <row r="343" spans="1:17">
      <c r="A343" s="9">
        <v>342</v>
      </c>
      <c r="B343" s="32" t="s">
        <v>609</v>
      </c>
      <c r="C343" s="33"/>
      <c r="D343" s="32" t="s">
        <v>580</v>
      </c>
      <c r="E343" s="33" t="s">
        <v>618</v>
      </c>
      <c r="F343" s="32" t="s">
        <v>619</v>
      </c>
      <c r="G343" s="34">
        <v>1</v>
      </c>
      <c r="H343" s="33" t="s">
        <v>393</v>
      </c>
      <c r="I343" s="35">
        <v>21</v>
      </c>
      <c r="J343" s="35">
        <v>0</v>
      </c>
      <c r="K343" s="35">
        <v>21</v>
      </c>
      <c r="L343" s="36" t="s">
        <v>617</v>
      </c>
      <c r="M343" s="37">
        <v>46227</v>
      </c>
      <c r="N343" s="38">
        <v>46227</v>
      </c>
      <c r="O343" s="7">
        <v>46226</v>
      </c>
      <c r="P343" s="18">
        <f t="shared" si="10"/>
        <v>-1</v>
      </c>
      <c r="Q343" s="18">
        <f t="shared" si="11"/>
        <v>1</v>
      </c>
    </row>
    <row r="344" spans="1:17">
      <c r="A344" s="9">
        <v>343</v>
      </c>
      <c r="B344" s="32" t="s">
        <v>620</v>
      </c>
      <c r="C344" s="33" t="s">
        <v>621</v>
      </c>
      <c r="D344" s="32" t="s">
        <v>327</v>
      </c>
      <c r="E344" s="33" t="s">
        <v>622</v>
      </c>
      <c r="F344" s="32" t="s">
        <v>623</v>
      </c>
      <c r="G344" s="34">
        <v>1</v>
      </c>
      <c r="H344" s="33" t="s">
        <v>25</v>
      </c>
      <c r="I344" s="35">
        <v>3500</v>
      </c>
      <c r="J344" s="35">
        <v>583.33000000000004</v>
      </c>
      <c r="K344" s="35">
        <v>2916.67</v>
      </c>
      <c r="L344" s="36" t="s">
        <v>624</v>
      </c>
      <c r="M344" s="37">
        <v>46226</v>
      </c>
      <c r="N344" s="38">
        <v>46227</v>
      </c>
      <c r="O344" s="7">
        <v>46226</v>
      </c>
      <c r="P344" s="18">
        <f t="shared" si="10"/>
        <v>0</v>
      </c>
      <c r="Q344" s="18">
        <f t="shared" si="11"/>
        <v>1</v>
      </c>
    </row>
    <row r="345" spans="1:17">
      <c r="A345" s="9">
        <v>344</v>
      </c>
      <c r="B345" s="32" t="s">
        <v>620</v>
      </c>
      <c r="C345" s="33" t="s">
        <v>621</v>
      </c>
      <c r="D345" s="32" t="s">
        <v>327</v>
      </c>
      <c r="E345" s="33" t="s">
        <v>625</v>
      </c>
      <c r="F345" s="32" t="s">
        <v>626</v>
      </c>
      <c r="G345" s="34">
        <v>1</v>
      </c>
      <c r="H345" s="33" t="s">
        <v>25</v>
      </c>
      <c r="I345" s="35">
        <v>1300</v>
      </c>
      <c r="J345" s="35">
        <v>216.67</v>
      </c>
      <c r="K345" s="35">
        <v>1083.33</v>
      </c>
      <c r="L345" s="36" t="s">
        <v>624</v>
      </c>
      <c r="M345" s="37">
        <v>46226</v>
      </c>
      <c r="N345" s="38">
        <v>46227</v>
      </c>
      <c r="O345" s="7">
        <v>46226</v>
      </c>
      <c r="P345" s="18">
        <f t="shared" si="10"/>
        <v>0</v>
      </c>
      <c r="Q345" s="18">
        <f t="shared" si="11"/>
        <v>1</v>
      </c>
    </row>
    <row r="346" spans="1:17">
      <c r="A346" s="9">
        <v>345</v>
      </c>
      <c r="B346" s="32" t="s">
        <v>627</v>
      </c>
      <c r="C346" s="33" t="s">
        <v>628</v>
      </c>
      <c r="D346" s="32" t="s">
        <v>90</v>
      </c>
      <c r="E346" s="33" t="s">
        <v>629</v>
      </c>
      <c r="F346" s="32" t="s">
        <v>630</v>
      </c>
      <c r="G346" s="34">
        <v>1</v>
      </c>
      <c r="H346" s="33" t="s">
        <v>25</v>
      </c>
      <c r="I346" s="35">
        <v>5500</v>
      </c>
      <c r="J346" s="35">
        <v>0</v>
      </c>
      <c r="K346" s="35">
        <v>5500</v>
      </c>
      <c r="L346" s="36" t="s">
        <v>631</v>
      </c>
      <c r="M346" s="37">
        <v>46226</v>
      </c>
      <c r="N346" s="38">
        <v>46231</v>
      </c>
      <c r="O346" s="7">
        <v>46230</v>
      </c>
      <c r="P346" s="18">
        <f t="shared" si="10"/>
        <v>4</v>
      </c>
      <c r="Q346" s="18">
        <f t="shared" si="11"/>
        <v>1</v>
      </c>
    </row>
    <row r="347" spans="1:17">
      <c r="A347" s="9">
        <v>346</v>
      </c>
      <c r="B347" s="10" t="s">
        <v>632</v>
      </c>
      <c r="C347" s="11"/>
      <c r="D347" s="10" t="s">
        <v>206</v>
      </c>
      <c r="E347" s="11"/>
      <c r="F347" s="12" t="s">
        <v>633</v>
      </c>
      <c r="G347" s="13">
        <v>2</v>
      </c>
      <c r="H347" s="11" t="s">
        <v>25</v>
      </c>
      <c r="I347" s="14">
        <v>2900</v>
      </c>
      <c r="J347" s="10"/>
      <c r="K347" s="14">
        <v>5800</v>
      </c>
      <c r="L347" s="2" t="s">
        <v>634</v>
      </c>
      <c r="M347" s="16">
        <v>46220</v>
      </c>
      <c r="N347" s="17">
        <v>46234</v>
      </c>
      <c r="O347" s="7">
        <v>46233</v>
      </c>
      <c r="P347" s="18">
        <f t="shared" si="10"/>
        <v>13</v>
      </c>
      <c r="Q347" s="18">
        <f t="shared" si="11"/>
        <v>1</v>
      </c>
    </row>
    <row r="348" spans="1:17">
      <c r="A348" s="9">
        <v>347</v>
      </c>
      <c r="B348" s="10" t="s">
        <v>632</v>
      </c>
      <c r="C348" s="11"/>
      <c r="D348" s="10" t="s">
        <v>206</v>
      </c>
      <c r="E348" s="11"/>
      <c r="F348" s="12" t="s">
        <v>635</v>
      </c>
      <c r="G348" s="13">
        <v>1</v>
      </c>
      <c r="H348" s="11" t="s">
        <v>25</v>
      </c>
      <c r="I348" s="14">
        <v>9300</v>
      </c>
      <c r="J348" s="10"/>
      <c r="K348" s="14">
        <v>9300</v>
      </c>
      <c r="L348" s="2" t="s">
        <v>634</v>
      </c>
      <c r="M348" s="16">
        <v>46220</v>
      </c>
      <c r="N348" s="17">
        <v>46234</v>
      </c>
      <c r="O348" s="7">
        <v>46233</v>
      </c>
      <c r="P348" s="18">
        <f t="shared" si="10"/>
        <v>13</v>
      </c>
      <c r="Q348" s="18">
        <f t="shared" si="11"/>
        <v>1</v>
      </c>
    </row>
    <row r="349" spans="1:17">
      <c r="A349" s="9">
        <v>348</v>
      </c>
      <c r="B349" s="10" t="s">
        <v>636</v>
      </c>
      <c r="C349" s="11" t="s">
        <v>637</v>
      </c>
      <c r="D349" s="10" t="s">
        <v>64</v>
      </c>
      <c r="E349" s="11" t="s">
        <v>638</v>
      </c>
      <c r="F349" s="12" t="s">
        <v>639</v>
      </c>
      <c r="G349" s="13">
        <v>16</v>
      </c>
      <c r="H349" s="11" t="s">
        <v>534</v>
      </c>
      <c r="I349" s="14">
        <v>18.5</v>
      </c>
      <c r="J349" s="10"/>
      <c r="K349" s="14">
        <v>296</v>
      </c>
      <c r="L349" s="2" t="s">
        <v>640</v>
      </c>
      <c r="M349" s="30">
        <v>46230</v>
      </c>
      <c r="N349" s="31">
        <v>46234</v>
      </c>
      <c r="O349" s="7">
        <v>46233</v>
      </c>
      <c r="P349" s="18">
        <f t="shared" si="10"/>
        <v>3</v>
      </c>
      <c r="Q349" s="18">
        <f t="shared" si="11"/>
        <v>1</v>
      </c>
    </row>
    <row r="350" spans="1:17">
      <c r="A350" s="9">
        <v>349</v>
      </c>
      <c r="B350" s="10" t="s">
        <v>636</v>
      </c>
      <c r="C350" s="11" t="s">
        <v>637</v>
      </c>
      <c r="D350" s="10" t="s">
        <v>64</v>
      </c>
      <c r="E350" s="11" t="s">
        <v>641</v>
      </c>
      <c r="F350" s="12" t="s">
        <v>642</v>
      </c>
      <c r="G350" s="13">
        <v>1</v>
      </c>
      <c r="H350" s="11" t="s">
        <v>534</v>
      </c>
      <c r="I350" s="14">
        <v>25</v>
      </c>
      <c r="J350" s="10"/>
      <c r="K350" s="14">
        <v>25</v>
      </c>
      <c r="L350" s="2" t="s">
        <v>640</v>
      </c>
      <c r="M350" s="30">
        <v>46230</v>
      </c>
      <c r="N350" s="31">
        <v>46234</v>
      </c>
      <c r="O350" s="7">
        <v>46233</v>
      </c>
      <c r="P350" s="18">
        <f t="shared" si="10"/>
        <v>3</v>
      </c>
      <c r="Q350" s="18">
        <f t="shared" si="11"/>
        <v>1</v>
      </c>
    </row>
    <row r="351" spans="1:17">
      <c r="A351" s="9">
        <v>350</v>
      </c>
      <c r="B351" s="10" t="s">
        <v>636</v>
      </c>
      <c r="C351" s="11" t="s">
        <v>637</v>
      </c>
      <c r="D351" s="10" t="s">
        <v>64</v>
      </c>
      <c r="E351" s="11" t="s">
        <v>641</v>
      </c>
      <c r="F351" s="12" t="s">
        <v>643</v>
      </c>
      <c r="G351" s="13">
        <v>2</v>
      </c>
      <c r="H351" s="11" t="s">
        <v>534</v>
      </c>
      <c r="I351" s="14">
        <v>44</v>
      </c>
      <c r="J351" s="10"/>
      <c r="K351" s="14">
        <v>88</v>
      </c>
      <c r="L351" s="2" t="s">
        <v>640</v>
      </c>
      <c r="M351" s="30">
        <v>46230</v>
      </c>
      <c r="N351" s="31">
        <v>46234</v>
      </c>
      <c r="O351" s="7">
        <v>46233</v>
      </c>
      <c r="P351" s="18">
        <f t="shared" si="10"/>
        <v>3</v>
      </c>
      <c r="Q351" s="18">
        <f t="shared" si="11"/>
        <v>1</v>
      </c>
    </row>
    <row r="352" spans="1:17">
      <c r="A352" s="9">
        <v>351</v>
      </c>
      <c r="B352" s="10" t="s">
        <v>557</v>
      </c>
      <c r="C352" s="11"/>
      <c r="D352" s="10" t="s">
        <v>236</v>
      </c>
      <c r="E352" s="11"/>
      <c r="F352" s="12" t="s">
        <v>644</v>
      </c>
      <c r="G352" s="13">
        <v>4</v>
      </c>
      <c r="H352" s="11" t="s">
        <v>25</v>
      </c>
      <c r="I352" s="14">
        <v>280</v>
      </c>
      <c r="J352" s="10"/>
      <c r="K352" s="14">
        <v>1120</v>
      </c>
      <c r="L352" s="2" t="s">
        <v>645</v>
      </c>
      <c r="M352" s="16">
        <v>46197</v>
      </c>
      <c r="N352" s="17">
        <v>46206</v>
      </c>
      <c r="O352" s="7">
        <v>46204</v>
      </c>
      <c r="P352" s="18">
        <f t="shared" si="10"/>
        <v>7</v>
      </c>
      <c r="Q352" s="18">
        <f t="shared" si="11"/>
        <v>2</v>
      </c>
    </row>
    <row r="353" spans="1:17">
      <c r="A353" s="9">
        <v>352</v>
      </c>
      <c r="B353" s="10" t="s">
        <v>557</v>
      </c>
      <c r="C353" s="11"/>
      <c r="D353" s="10" t="s">
        <v>236</v>
      </c>
      <c r="E353" s="11"/>
      <c r="F353" s="12" t="s">
        <v>646</v>
      </c>
      <c r="G353" s="13">
        <v>10</v>
      </c>
      <c r="H353" s="11" t="s">
        <v>25</v>
      </c>
      <c r="I353" s="14">
        <v>10.25</v>
      </c>
      <c r="J353" s="10"/>
      <c r="K353" s="14">
        <v>102.5</v>
      </c>
      <c r="L353" s="2" t="s">
        <v>645</v>
      </c>
      <c r="M353" s="16">
        <v>46197</v>
      </c>
      <c r="N353" s="17">
        <v>46206</v>
      </c>
      <c r="O353" s="7">
        <v>46204</v>
      </c>
      <c r="P353" s="18">
        <f t="shared" si="10"/>
        <v>7</v>
      </c>
      <c r="Q353" s="18">
        <f t="shared" si="11"/>
        <v>2</v>
      </c>
    </row>
    <row r="354" spans="1:17">
      <c r="A354" s="9">
        <v>353</v>
      </c>
      <c r="B354" s="10" t="s">
        <v>557</v>
      </c>
      <c r="C354" s="11"/>
      <c r="D354" s="10" t="s">
        <v>236</v>
      </c>
      <c r="E354" s="11"/>
      <c r="F354" s="12" t="s">
        <v>647</v>
      </c>
      <c r="G354" s="13">
        <v>20</v>
      </c>
      <c r="H354" s="11" t="s">
        <v>25</v>
      </c>
      <c r="I354" s="14">
        <v>60</v>
      </c>
      <c r="J354" s="10"/>
      <c r="K354" s="14">
        <v>1200</v>
      </c>
      <c r="L354" s="2" t="s">
        <v>645</v>
      </c>
      <c r="M354" s="16">
        <v>46197</v>
      </c>
      <c r="N354" s="17">
        <v>46206</v>
      </c>
      <c r="O354" s="7">
        <v>46204</v>
      </c>
      <c r="P354" s="18">
        <f t="shared" si="10"/>
        <v>7</v>
      </c>
      <c r="Q354" s="18">
        <f t="shared" si="11"/>
        <v>2</v>
      </c>
    </row>
    <row r="355" spans="1:17">
      <c r="A355" s="9">
        <v>354</v>
      </c>
      <c r="B355" s="10" t="s">
        <v>557</v>
      </c>
      <c r="C355" s="11"/>
      <c r="D355" s="10" t="s">
        <v>236</v>
      </c>
      <c r="E355" s="11"/>
      <c r="F355" s="12" t="s">
        <v>648</v>
      </c>
      <c r="G355" s="13">
        <v>2</v>
      </c>
      <c r="H355" s="11" t="s">
        <v>25</v>
      </c>
      <c r="I355" s="14">
        <v>26.2</v>
      </c>
      <c r="J355" s="10"/>
      <c r="K355" s="14">
        <v>52.4</v>
      </c>
      <c r="L355" s="2" t="s">
        <v>645</v>
      </c>
      <c r="M355" s="16">
        <v>46197</v>
      </c>
      <c r="N355" s="17">
        <v>46206</v>
      </c>
      <c r="O355" s="7">
        <v>46204</v>
      </c>
      <c r="P355" s="18">
        <f t="shared" si="10"/>
        <v>7</v>
      </c>
      <c r="Q355" s="18">
        <f t="shared" si="11"/>
        <v>2</v>
      </c>
    </row>
    <row r="356" spans="1:17">
      <c r="A356" s="9">
        <v>355</v>
      </c>
      <c r="B356" s="10" t="s">
        <v>557</v>
      </c>
      <c r="C356" s="11"/>
      <c r="D356" s="10" t="s">
        <v>236</v>
      </c>
      <c r="E356" s="11"/>
      <c r="F356" s="12" t="s">
        <v>649</v>
      </c>
      <c r="G356" s="13">
        <v>20</v>
      </c>
      <c r="H356" s="11" t="s">
        <v>25</v>
      </c>
      <c r="I356" s="14">
        <v>23</v>
      </c>
      <c r="J356" s="10"/>
      <c r="K356" s="14">
        <v>460</v>
      </c>
      <c r="L356" s="2" t="s">
        <v>645</v>
      </c>
      <c r="M356" s="16">
        <v>46197</v>
      </c>
      <c r="N356" s="17">
        <v>46206</v>
      </c>
      <c r="O356" s="7">
        <v>46204</v>
      </c>
      <c r="P356" s="18">
        <f t="shared" si="10"/>
        <v>7</v>
      </c>
      <c r="Q356" s="18">
        <f t="shared" si="11"/>
        <v>2</v>
      </c>
    </row>
    <row r="357" spans="1:17">
      <c r="A357" s="9">
        <v>356</v>
      </c>
      <c r="B357" s="10" t="s">
        <v>557</v>
      </c>
      <c r="C357" s="11"/>
      <c r="D357" s="10" t="s">
        <v>236</v>
      </c>
      <c r="E357" s="11"/>
      <c r="F357" s="12" t="s">
        <v>650</v>
      </c>
      <c r="G357" s="13">
        <v>10</v>
      </c>
      <c r="H357" s="11" t="s">
        <v>25</v>
      </c>
      <c r="I357" s="14">
        <v>10.3</v>
      </c>
      <c r="J357" s="10"/>
      <c r="K357" s="14">
        <v>103</v>
      </c>
      <c r="L357" s="2" t="s">
        <v>645</v>
      </c>
      <c r="M357" s="16">
        <v>46197</v>
      </c>
      <c r="N357" s="17">
        <v>46206</v>
      </c>
      <c r="O357" s="7">
        <v>46204</v>
      </c>
      <c r="P357" s="18">
        <f t="shared" si="10"/>
        <v>7</v>
      </c>
      <c r="Q357" s="18">
        <f t="shared" si="11"/>
        <v>2</v>
      </c>
    </row>
    <row r="358" spans="1:17">
      <c r="A358" s="9">
        <v>357</v>
      </c>
      <c r="B358" s="10" t="s">
        <v>557</v>
      </c>
      <c r="C358" s="11"/>
      <c r="D358" s="10" t="s">
        <v>236</v>
      </c>
      <c r="E358" s="11"/>
      <c r="F358" s="12" t="s">
        <v>651</v>
      </c>
      <c r="G358" s="13">
        <v>2</v>
      </c>
      <c r="H358" s="11" t="s">
        <v>25</v>
      </c>
      <c r="I358" s="14">
        <v>170</v>
      </c>
      <c r="J358" s="10"/>
      <c r="K358" s="14">
        <v>340</v>
      </c>
      <c r="L358" s="2" t="s">
        <v>645</v>
      </c>
      <c r="M358" s="16">
        <v>46197</v>
      </c>
      <c r="N358" s="17">
        <v>46206</v>
      </c>
      <c r="O358" s="7">
        <v>46204</v>
      </c>
      <c r="P358" s="18">
        <f t="shared" si="10"/>
        <v>7</v>
      </c>
      <c r="Q358" s="18">
        <f t="shared" si="11"/>
        <v>2</v>
      </c>
    </row>
    <row r="359" spans="1:17">
      <c r="A359" s="9">
        <v>358</v>
      </c>
      <c r="B359" s="10" t="s">
        <v>557</v>
      </c>
      <c r="C359" s="11"/>
      <c r="D359" s="10" t="s">
        <v>236</v>
      </c>
      <c r="E359" s="11"/>
      <c r="F359" s="12" t="s">
        <v>652</v>
      </c>
      <c r="G359" s="13">
        <v>5</v>
      </c>
      <c r="H359" s="11" t="s">
        <v>25</v>
      </c>
      <c r="I359" s="14">
        <v>190</v>
      </c>
      <c r="J359" s="10"/>
      <c r="K359" s="14">
        <v>950</v>
      </c>
      <c r="L359" s="2" t="s">
        <v>645</v>
      </c>
      <c r="M359" s="16">
        <v>46197</v>
      </c>
      <c r="N359" s="17">
        <v>46206</v>
      </c>
      <c r="O359" s="7">
        <v>46204</v>
      </c>
      <c r="P359" s="18">
        <f t="shared" si="10"/>
        <v>7</v>
      </c>
      <c r="Q359" s="18">
        <f t="shared" si="11"/>
        <v>2</v>
      </c>
    </row>
    <row r="360" spans="1:17">
      <c r="A360" s="9">
        <v>359</v>
      </c>
      <c r="B360" s="10" t="s">
        <v>557</v>
      </c>
      <c r="C360" s="11"/>
      <c r="D360" s="10" t="s">
        <v>236</v>
      </c>
      <c r="E360" s="11"/>
      <c r="F360" s="12" t="s">
        <v>653</v>
      </c>
      <c r="G360" s="13">
        <v>10</v>
      </c>
      <c r="H360" s="11" t="s">
        <v>25</v>
      </c>
      <c r="I360" s="14">
        <v>50</v>
      </c>
      <c r="J360" s="10"/>
      <c r="K360" s="14">
        <v>500</v>
      </c>
      <c r="L360" s="2" t="s">
        <v>645</v>
      </c>
      <c r="M360" s="16">
        <v>46197</v>
      </c>
      <c r="N360" s="17">
        <v>46206</v>
      </c>
      <c r="O360" s="7">
        <v>46204</v>
      </c>
      <c r="P360" s="18">
        <f t="shared" si="10"/>
        <v>7</v>
      </c>
      <c r="Q360" s="18">
        <f t="shared" si="11"/>
        <v>2</v>
      </c>
    </row>
    <row r="361" spans="1:17">
      <c r="A361" s="9">
        <v>360</v>
      </c>
      <c r="B361" s="10" t="s">
        <v>557</v>
      </c>
      <c r="C361" s="11"/>
      <c r="D361" s="10" t="s">
        <v>236</v>
      </c>
      <c r="E361" s="11"/>
      <c r="F361" s="12" t="s">
        <v>654</v>
      </c>
      <c r="G361" s="13">
        <v>3</v>
      </c>
      <c r="H361" s="11" t="s">
        <v>25</v>
      </c>
      <c r="I361" s="14">
        <v>65</v>
      </c>
      <c r="J361" s="10"/>
      <c r="K361" s="14">
        <v>195</v>
      </c>
      <c r="L361" s="2" t="s">
        <v>645</v>
      </c>
      <c r="M361" s="16">
        <v>46197</v>
      </c>
      <c r="N361" s="17">
        <v>46206</v>
      </c>
      <c r="O361" s="7">
        <v>46204</v>
      </c>
      <c r="P361" s="18">
        <f t="shared" si="10"/>
        <v>7</v>
      </c>
      <c r="Q361" s="18">
        <f t="shared" si="11"/>
        <v>2</v>
      </c>
    </row>
    <row r="362" spans="1:17">
      <c r="A362" s="9">
        <v>361</v>
      </c>
      <c r="B362" s="10" t="s">
        <v>557</v>
      </c>
      <c r="C362" s="11"/>
      <c r="D362" s="10" t="s">
        <v>236</v>
      </c>
      <c r="E362" s="11"/>
      <c r="F362" s="12" t="s">
        <v>655</v>
      </c>
      <c r="G362" s="13">
        <v>2</v>
      </c>
      <c r="H362" s="11" t="s">
        <v>25</v>
      </c>
      <c r="I362" s="14">
        <v>295</v>
      </c>
      <c r="J362" s="10"/>
      <c r="K362" s="14">
        <v>590</v>
      </c>
      <c r="L362" s="2" t="s">
        <v>645</v>
      </c>
      <c r="M362" s="16">
        <v>46197</v>
      </c>
      <c r="N362" s="17">
        <v>46206</v>
      </c>
      <c r="O362" s="7">
        <v>46204</v>
      </c>
      <c r="P362" s="18">
        <f t="shared" si="10"/>
        <v>7</v>
      </c>
      <c r="Q362" s="18">
        <f t="shared" si="11"/>
        <v>2</v>
      </c>
    </row>
    <row r="363" spans="1:17">
      <c r="A363" s="9">
        <v>362</v>
      </c>
      <c r="B363" s="10" t="s">
        <v>557</v>
      </c>
      <c r="C363" s="11"/>
      <c r="D363" s="10" t="s">
        <v>236</v>
      </c>
      <c r="E363" s="11"/>
      <c r="F363" s="12" t="s">
        <v>656</v>
      </c>
      <c r="G363" s="13">
        <v>1</v>
      </c>
      <c r="H363" s="11" t="s">
        <v>25</v>
      </c>
      <c r="I363" s="14">
        <v>135</v>
      </c>
      <c r="J363" s="10"/>
      <c r="K363" s="14">
        <v>135</v>
      </c>
      <c r="L363" s="2" t="s">
        <v>645</v>
      </c>
      <c r="M363" s="16">
        <v>46197</v>
      </c>
      <c r="N363" s="17">
        <v>46206</v>
      </c>
      <c r="O363" s="7">
        <v>46204</v>
      </c>
      <c r="P363" s="18">
        <f t="shared" si="10"/>
        <v>7</v>
      </c>
      <c r="Q363" s="18">
        <f t="shared" si="11"/>
        <v>2</v>
      </c>
    </row>
    <row r="364" spans="1:17">
      <c r="A364" s="9">
        <v>363</v>
      </c>
      <c r="B364" s="10" t="s">
        <v>557</v>
      </c>
      <c r="C364" s="11"/>
      <c r="D364" s="10" t="s">
        <v>236</v>
      </c>
      <c r="E364" s="11"/>
      <c r="F364" s="12" t="s">
        <v>657</v>
      </c>
      <c r="G364" s="13">
        <v>20</v>
      </c>
      <c r="H364" s="11" t="s">
        <v>25</v>
      </c>
      <c r="I364" s="14">
        <v>22</v>
      </c>
      <c r="J364" s="10"/>
      <c r="K364" s="14">
        <v>440</v>
      </c>
      <c r="L364" s="2" t="s">
        <v>645</v>
      </c>
      <c r="M364" s="16">
        <v>46197</v>
      </c>
      <c r="N364" s="17">
        <v>46206</v>
      </c>
      <c r="O364" s="7">
        <v>46204</v>
      </c>
      <c r="P364" s="18">
        <f t="shared" si="10"/>
        <v>7</v>
      </c>
      <c r="Q364" s="18">
        <f t="shared" si="11"/>
        <v>2</v>
      </c>
    </row>
    <row r="365" spans="1:17">
      <c r="A365" s="9">
        <v>364</v>
      </c>
      <c r="B365" s="10" t="s">
        <v>557</v>
      </c>
      <c r="C365" s="11"/>
      <c r="D365" s="10" t="s">
        <v>236</v>
      </c>
      <c r="E365" s="11"/>
      <c r="F365" s="12" t="s">
        <v>658</v>
      </c>
      <c r="G365" s="13">
        <v>20</v>
      </c>
      <c r="H365" s="11" t="s">
        <v>25</v>
      </c>
      <c r="I365" s="14">
        <v>18</v>
      </c>
      <c r="J365" s="10"/>
      <c r="K365" s="14">
        <v>360</v>
      </c>
      <c r="L365" s="2" t="s">
        <v>645</v>
      </c>
      <c r="M365" s="16">
        <v>46197</v>
      </c>
      <c r="N365" s="17">
        <v>46206</v>
      </c>
      <c r="O365" s="7">
        <v>46204</v>
      </c>
      <c r="P365" s="18">
        <f t="shared" si="10"/>
        <v>7</v>
      </c>
      <c r="Q365" s="18">
        <f t="shared" si="11"/>
        <v>2</v>
      </c>
    </row>
    <row r="366" spans="1:17">
      <c r="A366" s="9">
        <v>365</v>
      </c>
      <c r="B366" s="10" t="s">
        <v>557</v>
      </c>
      <c r="C366" s="11"/>
      <c r="D366" s="10" t="s">
        <v>236</v>
      </c>
      <c r="E366" s="11"/>
      <c r="F366" s="12" t="s">
        <v>659</v>
      </c>
      <c r="G366" s="13">
        <v>50</v>
      </c>
      <c r="H366" s="11" t="s">
        <v>148</v>
      </c>
      <c r="I366" s="14">
        <v>23</v>
      </c>
      <c r="J366" s="10"/>
      <c r="K366" s="14">
        <v>1150</v>
      </c>
      <c r="L366" s="2" t="s">
        <v>645</v>
      </c>
      <c r="M366" s="16">
        <v>46197</v>
      </c>
      <c r="N366" s="17">
        <v>46206</v>
      </c>
      <c r="O366" s="7">
        <v>46204</v>
      </c>
      <c r="P366" s="18">
        <f t="shared" si="10"/>
        <v>7</v>
      </c>
      <c r="Q366" s="18">
        <f t="shared" si="11"/>
        <v>2</v>
      </c>
    </row>
    <row r="367" spans="1:17">
      <c r="A367" s="9">
        <v>366</v>
      </c>
      <c r="B367" s="10" t="s">
        <v>557</v>
      </c>
      <c r="C367" s="11"/>
      <c r="D367" s="10" t="s">
        <v>236</v>
      </c>
      <c r="E367" s="11"/>
      <c r="F367" s="12" t="s">
        <v>660</v>
      </c>
      <c r="G367" s="13">
        <v>50</v>
      </c>
      <c r="H367" s="11" t="s">
        <v>148</v>
      </c>
      <c r="I367" s="14">
        <v>16</v>
      </c>
      <c r="J367" s="10"/>
      <c r="K367" s="14">
        <v>800</v>
      </c>
      <c r="L367" s="2" t="s">
        <v>645</v>
      </c>
      <c r="M367" s="16">
        <v>46197</v>
      </c>
      <c r="N367" s="17">
        <v>46206</v>
      </c>
      <c r="O367" s="7">
        <v>46204</v>
      </c>
      <c r="P367" s="18">
        <f t="shared" si="10"/>
        <v>7</v>
      </c>
      <c r="Q367" s="18">
        <f t="shared" si="11"/>
        <v>2</v>
      </c>
    </row>
    <row r="368" spans="1:17">
      <c r="A368" s="9">
        <v>367</v>
      </c>
      <c r="B368" s="10" t="s">
        <v>557</v>
      </c>
      <c r="C368" s="11"/>
      <c r="D368" s="10" t="s">
        <v>236</v>
      </c>
      <c r="E368" s="11"/>
      <c r="F368" s="12" t="s">
        <v>661</v>
      </c>
      <c r="G368" s="13">
        <v>1</v>
      </c>
      <c r="H368" s="11" t="s">
        <v>25</v>
      </c>
      <c r="I368" s="14">
        <v>2900</v>
      </c>
      <c r="J368" s="10"/>
      <c r="K368" s="14">
        <v>2900</v>
      </c>
      <c r="L368" s="2" t="s">
        <v>645</v>
      </c>
      <c r="M368" s="16">
        <v>46197</v>
      </c>
      <c r="N368" s="17">
        <v>46206</v>
      </c>
      <c r="O368" s="7">
        <v>46204</v>
      </c>
      <c r="P368" s="18">
        <f t="shared" si="10"/>
        <v>7</v>
      </c>
      <c r="Q368" s="18">
        <f t="shared" si="11"/>
        <v>2</v>
      </c>
    </row>
    <row r="369" spans="1:17">
      <c r="A369" s="9">
        <v>368</v>
      </c>
      <c r="B369" s="10" t="s">
        <v>557</v>
      </c>
      <c r="C369" s="11"/>
      <c r="D369" s="10" t="s">
        <v>153</v>
      </c>
      <c r="E369" s="11"/>
      <c r="F369" s="12" t="s">
        <v>662</v>
      </c>
      <c r="G369" s="13">
        <v>1</v>
      </c>
      <c r="H369" s="11" t="s">
        <v>25</v>
      </c>
      <c r="I369" s="14">
        <v>385</v>
      </c>
      <c r="J369" s="13">
        <v>96.25</v>
      </c>
      <c r="K369" s="14">
        <v>288.75</v>
      </c>
      <c r="L369" s="2" t="s">
        <v>663</v>
      </c>
      <c r="M369" s="16">
        <v>46197</v>
      </c>
      <c r="N369" s="17">
        <v>46206</v>
      </c>
      <c r="O369" s="7">
        <v>46204</v>
      </c>
      <c r="P369" s="18">
        <f t="shared" si="10"/>
        <v>7</v>
      </c>
      <c r="Q369" s="18">
        <f t="shared" si="11"/>
        <v>2</v>
      </c>
    </row>
    <row r="370" spans="1:17">
      <c r="A370" s="9">
        <v>369</v>
      </c>
      <c r="B370" s="10" t="s">
        <v>557</v>
      </c>
      <c r="C370" s="11"/>
      <c r="D370" s="10" t="s">
        <v>153</v>
      </c>
      <c r="E370" s="11"/>
      <c r="F370" s="12" t="s">
        <v>664</v>
      </c>
      <c r="G370" s="13">
        <v>1</v>
      </c>
      <c r="H370" s="11" t="s">
        <v>665</v>
      </c>
      <c r="I370" s="14">
        <v>225</v>
      </c>
      <c r="J370" s="13">
        <v>56.25</v>
      </c>
      <c r="K370" s="14">
        <v>168.75</v>
      </c>
      <c r="L370" s="2" t="s">
        <v>663</v>
      </c>
      <c r="M370" s="16">
        <v>46197</v>
      </c>
      <c r="N370" s="17">
        <v>46206</v>
      </c>
      <c r="O370" s="7">
        <v>46204</v>
      </c>
      <c r="P370" s="18">
        <f t="shared" si="10"/>
        <v>7</v>
      </c>
      <c r="Q370" s="18">
        <f t="shared" si="11"/>
        <v>2</v>
      </c>
    </row>
    <row r="371" spans="1:17">
      <c r="A371" s="9">
        <v>370</v>
      </c>
      <c r="B371" s="10" t="s">
        <v>557</v>
      </c>
      <c r="C371" s="11"/>
      <c r="D371" s="10" t="s">
        <v>153</v>
      </c>
      <c r="E371" s="11"/>
      <c r="F371" s="12" t="s">
        <v>666</v>
      </c>
      <c r="G371" s="13">
        <v>1</v>
      </c>
      <c r="H371" s="11" t="s">
        <v>25</v>
      </c>
      <c r="I371" s="14">
        <v>18</v>
      </c>
      <c r="J371" s="13"/>
      <c r="K371" s="14">
        <v>18</v>
      </c>
      <c r="L371" s="2" t="s">
        <v>663</v>
      </c>
      <c r="M371" s="16">
        <v>46197</v>
      </c>
      <c r="N371" s="17">
        <v>46206</v>
      </c>
      <c r="O371" s="7">
        <v>46204</v>
      </c>
      <c r="P371" s="18">
        <f t="shared" si="10"/>
        <v>7</v>
      </c>
      <c r="Q371" s="18">
        <f t="shared" si="11"/>
        <v>2</v>
      </c>
    </row>
    <row r="372" spans="1:17">
      <c r="A372" s="9">
        <v>371</v>
      </c>
      <c r="B372" s="10" t="s">
        <v>557</v>
      </c>
      <c r="C372" s="11"/>
      <c r="D372" s="10" t="s">
        <v>153</v>
      </c>
      <c r="E372" s="11"/>
      <c r="F372" s="12" t="s">
        <v>667</v>
      </c>
      <c r="G372" s="13">
        <v>1</v>
      </c>
      <c r="H372" s="11" t="s">
        <v>665</v>
      </c>
      <c r="I372" s="14">
        <v>10</v>
      </c>
      <c r="J372" s="13"/>
      <c r="K372" s="14">
        <v>10</v>
      </c>
      <c r="L372" s="2" t="s">
        <v>663</v>
      </c>
      <c r="M372" s="16">
        <v>46197</v>
      </c>
      <c r="N372" s="17">
        <v>46206</v>
      </c>
      <c r="O372" s="7">
        <v>46204</v>
      </c>
      <c r="P372" s="18">
        <f t="shared" si="10"/>
        <v>7</v>
      </c>
      <c r="Q372" s="18">
        <f t="shared" si="11"/>
        <v>2</v>
      </c>
    </row>
    <row r="373" spans="1:17">
      <c r="A373" s="9">
        <v>372</v>
      </c>
      <c r="B373" s="10" t="s">
        <v>557</v>
      </c>
      <c r="C373" s="11"/>
      <c r="D373" s="10" t="s">
        <v>153</v>
      </c>
      <c r="E373" s="11"/>
      <c r="F373" s="12" t="s">
        <v>668</v>
      </c>
      <c r="G373" s="13">
        <v>3</v>
      </c>
      <c r="H373" s="11" t="s">
        <v>665</v>
      </c>
      <c r="I373" s="14">
        <v>623</v>
      </c>
      <c r="J373" s="13">
        <v>1121.4000000000001</v>
      </c>
      <c r="K373" s="14">
        <v>747.6</v>
      </c>
      <c r="L373" s="2" t="s">
        <v>663</v>
      </c>
      <c r="M373" s="16">
        <v>46197</v>
      </c>
      <c r="N373" s="17">
        <v>46206</v>
      </c>
      <c r="O373" s="7">
        <v>46204</v>
      </c>
      <c r="P373" s="18">
        <f t="shared" si="10"/>
        <v>7</v>
      </c>
      <c r="Q373" s="18">
        <f t="shared" si="11"/>
        <v>2</v>
      </c>
    </row>
    <row r="374" spans="1:17">
      <c r="A374" s="9">
        <v>373</v>
      </c>
      <c r="B374" s="10" t="s">
        <v>557</v>
      </c>
      <c r="C374" s="11"/>
      <c r="D374" s="10" t="s">
        <v>153</v>
      </c>
      <c r="E374" s="11"/>
      <c r="F374" s="12" t="s">
        <v>669</v>
      </c>
      <c r="G374" s="13">
        <v>2</v>
      </c>
      <c r="H374" s="11" t="s">
        <v>665</v>
      </c>
      <c r="I374" s="14">
        <v>538</v>
      </c>
      <c r="J374" s="13">
        <v>645.6</v>
      </c>
      <c r="K374" s="14">
        <v>430.4</v>
      </c>
      <c r="L374" s="2" t="s">
        <v>663</v>
      </c>
      <c r="M374" s="16">
        <v>46197</v>
      </c>
      <c r="N374" s="17">
        <v>46206</v>
      </c>
      <c r="O374" s="7">
        <v>46204</v>
      </c>
      <c r="P374" s="18">
        <f t="shared" si="10"/>
        <v>7</v>
      </c>
      <c r="Q374" s="18">
        <f t="shared" si="11"/>
        <v>2</v>
      </c>
    </row>
    <row r="375" spans="1:17">
      <c r="A375" s="9">
        <v>374</v>
      </c>
      <c r="B375" s="10" t="s">
        <v>557</v>
      </c>
      <c r="C375" s="11"/>
      <c r="D375" s="10" t="s">
        <v>153</v>
      </c>
      <c r="E375" s="11"/>
      <c r="F375" s="12" t="s">
        <v>670</v>
      </c>
      <c r="G375" s="13">
        <v>2</v>
      </c>
      <c r="H375" s="11" t="s">
        <v>665</v>
      </c>
      <c r="I375" s="14">
        <v>538</v>
      </c>
      <c r="J375" s="13">
        <v>645.6</v>
      </c>
      <c r="K375" s="14">
        <v>430.4</v>
      </c>
      <c r="L375" s="2" t="s">
        <v>663</v>
      </c>
      <c r="M375" s="16">
        <v>46197</v>
      </c>
      <c r="N375" s="17">
        <v>46206</v>
      </c>
      <c r="O375" s="7">
        <v>46204</v>
      </c>
      <c r="P375" s="18">
        <f t="shared" si="10"/>
        <v>7</v>
      </c>
      <c r="Q375" s="18">
        <f t="shared" si="11"/>
        <v>2</v>
      </c>
    </row>
    <row r="376" spans="1:17">
      <c r="A376" s="9">
        <v>375</v>
      </c>
      <c r="B376" s="10" t="s">
        <v>557</v>
      </c>
      <c r="C376" s="11"/>
      <c r="D376" s="10" t="s">
        <v>153</v>
      </c>
      <c r="E376" s="11"/>
      <c r="F376" s="12" t="s">
        <v>671</v>
      </c>
      <c r="G376" s="13">
        <v>20</v>
      </c>
      <c r="H376" s="11" t="s">
        <v>25</v>
      </c>
      <c r="I376" s="14">
        <v>45</v>
      </c>
      <c r="J376" s="13"/>
      <c r="K376" s="14">
        <v>900</v>
      </c>
      <c r="L376" s="2" t="s">
        <v>663</v>
      </c>
      <c r="M376" s="16">
        <v>46197</v>
      </c>
      <c r="N376" s="17">
        <v>46206</v>
      </c>
      <c r="O376" s="7">
        <v>46204</v>
      </c>
      <c r="P376" s="18">
        <f t="shared" si="10"/>
        <v>7</v>
      </c>
      <c r="Q376" s="18">
        <f t="shared" si="11"/>
        <v>2</v>
      </c>
    </row>
    <row r="377" spans="1:17">
      <c r="A377" s="9">
        <v>376</v>
      </c>
      <c r="B377" s="10" t="s">
        <v>557</v>
      </c>
      <c r="C377" s="11"/>
      <c r="D377" s="10" t="s">
        <v>153</v>
      </c>
      <c r="E377" s="11"/>
      <c r="F377" s="12" t="s">
        <v>672</v>
      </c>
      <c r="G377" s="13">
        <v>20</v>
      </c>
      <c r="H377" s="11" t="s">
        <v>25</v>
      </c>
      <c r="I377" s="14">
        <v>5</v>
      </c>
      <c r="J377" s="13"/>
      <c r="K377" s="14">
        <v>100</v>
      </c>
      <c r="L377" s="2" t="s">
        <v>663</v>
      </c>
      <c r="M377" s="16">
        <v>46197</v>
      </c>
      <c r="N377" s="17">
        <v>46206</v>
      </c>
      <c r="O377" s="7">
        <v>46204</v>
      </c>
      <c r="P377" s="18">
        <f t="shared" si="10"/>
        <v>7</v>
      </c>
      <c r="Q377" s="18">
        <f t="shared" si="11"/>
        <v>2</v>
      </c>
    </row>
    <row r="378" spans="1:17">
      <c r="A378" s="9">
        <v>377</v>
      </c>
      <c r="B378" s="10" t="s">
        <v>557</v>
      </c>
      <c r="C378" s="11"/>
      <c r="D378" s="10" t="s">
        <v>153</v>
      </c>
      <c r="E378" s="11"/>
      <c r="F378" s="12" t="s">
        <v>673</v>
      </c>
      <c r="G378" s="13">
        <v>10</v>
      </c>
      <c r="H378" s="11" t="s">
        <v>25</v>
      </c>
      <c r="I378" s="14">
        <v>18</v>
      </c>
      <c r="J378" s="13">
        <v>72</v>
      </c>
      <c r="K378" s="14">
        <v>108</v>
      </c>
      <c r="L378" s="2" t="s">
        <v>663</v>
      </c>
      <c r="M378" s="16">
        <v>46197</v>
      </c>
      <c r="N378" s="17">
        <v>46206</v>
      </c>
      <c r="O378" s="7">
        <v>46204</v>
      </c>
      <c r="P378" s="18">
        <f t="shared" si="10"/>
        <v>7</v>
      </c>
      <c r="Q378" s="18">
        <f t="shared" si="11"/>
        <v>2</v>
      </c>
    </row>
    <row r="379" spans="1:17">
      <c r="A379" s="9">
        <v>378</v>
      </c>
      <c r="B379" s="10" t="s">
        <v>557</v>
      </c>
      <c r="C379" s="11"/>
      <c r="D379" s="10" t="s">
        <v>153</v>
      </c>
      <c r="E379" s="11"/>
      <c r="F379" s="12" t="s">
        <v>674</v>
      </c>
      <c r="G379" s="13">
        <v>10</v>
      </c>
      <c r="H379" s="11" t="s">
        <v>25</v>
      </c>
      <c r="I379" s="14">
        <v>15</v>
      </c>
      <c r="J379" s="13">
        <v>60</v>
      </c>
      <c r="K379" s="14">
        <v>90</v>
      </c>
      <c r="L379" s="2" t="s">
        <v>663</v>
      </c>
      <c r="M379" s="16">
        <v>46197</v>
      </c>
      <c r="N379" s="17">
        <v>46206</v>
      </c>
      <c r="O379" s="7">
        <v>46204</v>
      </c>
      <c r="P379" s="18">
        <f t="shared" si="10"/>
        <v>7</v>
      </c>
      <c r="Q379" s="18">
        <f t="shared" si="11"/>
        <v>2</v>
      </c>
    </row>
    <row r="380" spans="1:17">
      <c r="A380" s="9">
        <v>379</v>
      </c>
      <c r="B380" s="10" t="s">
        <v>557</v>
      </c>
      <c r="C380" s="11"/>
      <c r="D380" s="10" t="s">
        <v>190</v>
      </c>
      <c r="E380" s="11"/>
      <c r="F380" s="12" t="s">
        <v>675</v>
      </c>
      <c r="G380" s="13">
        <v>1</v>
      </c>
      <c r="H380" s="11" t="s">
        <v>25</v>
      </c>
      <c r="I380" s="14">
        <v>1130</v>
      </c>
      <c r="J380" s="10"/>
      <c r="K380" s="14">
        <v>1130</v>
      </c>
      <c r="L380" s="2" t="s">
        <v>676</v>
      </c>
      <c r="M380" s="16">
        <v>46197</v>
      </c>
      <c r="N380" s="17">
        <v>46206</v>
      </c>
      <c r="O380" s="7">
        <v>46204</v>
      </c>
      <c r="P380" s="18">
        <f t="shared" si="10"/>
        <v>7</v>
      </c>
      <c r="Q380" s="18">
        <f t="shared" si="11"/>
        <v>2</v>
      </c>
    </row>
    <row r="381" spans="1:17">
      <c r="A381" s="9">
        <v>380</v>
      </c>
      <c r="B381" s="10" t="s">
        <v>557</v>
      </c>
      <c r="C381" s="11"/>
      <c r="D381" s="10" t="s">
        <v>190</v>
      </c>
      <c r="E381" s="11"/>
      <c r="F381" s="12" t="s">
        <v>677</v>
      </c>
      <c r="G381" s="13">
        <v>1</v>
      </c>
      <c r="H381" s="11" t="s">
        <v>25</v>
      </c>
      <c r="I381" s="14">
        <v>212</v>
      </c>
      <c r="J381" s="13">
        <v>133.56</v>
      </c>
      <c r="K381" s="14">
        <v>78.44</v>
      </c>
      <c r="L381" s="2" t="s">
        <v>676</v>
      </c>
      <c r="M381" s="16">
        <v>46197</v>
      </c>
      <c r="N381" s="17">
        <v>46206</v>
      </c>
      <c r="O381" s="7">
        <v>46204</v>
      </c>
      <c r="P381" s="18">
        <f t="shared" si="10"/>
        <v>7</v>
      </c>
      <c r="Q381" s="18">
        <f t="shared" si="11"/>
        <v>2</v>
      </c>
    </row>
    <row r="382" spans="1:17">
      <c r="A382" s="9">
        <v>381</v>
      </c>
      <c r="B382" s="10" t="s">
        <v>379</v>
      </c>
      <c r="C382" s="11"/>
      <c r="D382" s="10" t="s">
        <v>153</v>
      </c>
      <c r="E382" s="11"/>
      <c r="F382" s="12" t="s">
        <v>678</v>
      </c>
      <c r="G382" s="13">
        <v>10</v>
      </c>
      <c r="H382" s="11" t="s">
        <v>25</v>
      </c>
      <c r="I382" s="14">
        <v>20</v>
      </c>
      <c r="J382" s="15">
        <v>50</v>
      </c>
      <c r="K382" s="14">
        <v>150</v>
      </c>
      <c r="L382" s="2" t="s">
        <v>679</v>
      </c>
      <c r="M382" s="16">
        <v>46209</v>
      </c>
      <c r="N382" s="17">
        <v>46213</v>
      </c>
      <c r="O382" s="7">
        <v>46211</v>
      </c>
      <c r="P382" s="18">
        <f t="shared" si="10"/>
        <v>2</v>
      </c>
      <c r="Q382" s="18">
        <f t="shared" si="11"/>
        <v>2</v>
      </c>
    </row>
    <row r="383" spans="1:17">
      <c r="A383" s="9">
        <v>382</v>
      </c>
      <c r="B383" s="10" t="s">
        <v>379</v>
      </c>
      <c r="C383" s="11"/>
      <c r="D383" s="10" t="s">
        <v>153</v>
      </c>
      <c r="E383" s="11"/>
      <c r="F383" s="12" t="s">
        <v>680</v>
      </c>
      <c r="G383" s="13">
        <v>2</v>
      </c>
      <c r="H383" s="11" t="s">
        <v>25</v>
      </c>
      <c r="I383" s="14">
        <v>2150</v>
      </c>
      <c r="J383" s="15">
        <v>215</v>
      </c>
      <c r="K383" s="14">
        <v>4085</v>
      </c>
      <c r="L383" s="2" t="s">
        <v>679</v>
      </c>
      <c r="M383" s="16">
        <v>46209</v>
      </c>
      <c r="N383" s="17">
        <v>46213</v>
      </c>
      <c r="O383" s="7">
        <v>46211</v>
      </c>
      <c r="P383" s="18">
        <f t="shared" si="10"/>
        <v>2</v>
      </c>
      <c r="Q383" s="18">
        <f t="shared" si="11"/>
        <v>2</v>
      </c>
    </row>
    <row r="384" spans="1:17">
      <c r="A384" s="9">
        <v>383</v>
      </c>
      <c r="B384" s="10" t="s">
        <v>379</v>
      </c>
      <c r="C384" s="11"/>
      <c r="D384" s="10" t="s">
        <v>153</v>
      </c>
      <c r="E384" s="11"/>
      <c r="F384" s="12" t="s">
        <v>681</v>
      </c>
      <c r="G384" s="13">
        <v>2</v>
      </c>
      <c r="H384" s="11" t="s">
        <v>25</v>
      </c>
      <c r="I384" s="14">
        <v>951</v>
      </c>
      <c r="J384" s="15">
        <v>1141.2</v>
      </c>
      <c r="K384" s="14">
        <v>760.8</v>
      </c>
      <c r="L384" s="2" t="s">
        <v>679</v>
      </c>
      <c r="M384" s="16">
        <v>46209</v>
      </c>
      <c r="N384" s="17">
        <v>46213</v>
      </c>
      <c r="O384" s="7">
        <v>46211</v>
      </c>
      <c r="P384" s="18">
        <f t="shared" si="10"/>
        <v>2</v>
      </c>
      <c r="Q384" s="18">
        <f t="shared" si="11"/>
        <v>2</v>
      </c>
    </row>
    <row r="385" spans="1:17">
      <c r="A385" s="9">
        <v>384</v>
      </c>
      <c r="B385" s="10" t="s">
        <v>379</v>
      </c>
      <c r="C385" s="11"/>
      <c r="D385" s="10" t="s">
        <v>153</v>
      </c>
      <c r="E385" s="11"/>
      <c r="F385" s="12" t="s">
        <v>682</v>
      </c>
      <c r="G385" s="13">
        <v>1</v>
      </c>
      <c r="H385" s="11" t="s">
        <v>25</v>
      </c>
      <c r="I385" s="14">
        <v>1078</v>
      </c>
      <c r="J385" s="15">
        <v>646.79999999999995</v>
      </c>
      <c r="K385" s="14">
        <v>431.2</v>
      </c>
      <c r="L385" s="2" t="s">
        <v>679</v>
      </c>
      <c r="M385" s="16">
        <v>46209</v>
      </c>
      <c r="N385" s="17">
        <v>46213</v>
      </c>
      <c r="O385" s="7">
        <v>46211</v>
      </c>
      <c r="P385" s="18">
        <f t="shared" si="10"/>
        <v>2</v>
      </c>
      <c r="Q385" s="18">
        <f t="shared" si="11"/>
        <v>2</v>
      </c>
    </row>
    <row r="386" spans="1:17">
      <c r="A386" s="9">
        <v>385</v>
      </c>
      <c r="B386" s="10" t="s">
        <v>379</v>
      </c>
      <c r="C386" s="11"/>
      <c r="D386" s="10" t="s">
        <v>153</v>
      </c>
      <c r="E386" s="11"/>
      <c r="F386" s="12" t="s">
        <v>683</v>
      </c>
      <c r="G386" s="13">
        <v>1</v>
      </c>
      <c r="H386" s="11" t="s">
        <v>25</v>
      </c>
      <c r="I386" s="14">
        <v>371</v>
      </c>
      <c r="J386" s="15">
        <v>222.6</v>
      </c>
      <c r="K386" s="14">
        <v>148.4</v>
      </c>
      <c r="L386" s="2" t="s">
        <v>679</v>
      </c>
      <c r="M386" s="16">
        <v>46209</v>
      </c>
      <c r="N386" s="17">
        <v>46213</v>
      </c>
      <c r="O386" s="7">
        <v>46211</v>
      </c>
      <c r="P386" s="18">
        <f t="shared" ref="P386:P449" si="12">O386-M386</f>
        <v>2</v>
      </c>
      <c r="Q386" s="18">
        <f t="shared" ref="Q386:Q449" si="13">N386-O386</f>
        <v>2</v>
      </c>
    </row>
    <row r="387" spans="1:17">
      <c r="A387" s="9">
        <v>386</v>
      </c>
      <c r="B387" s="10" t="s">
        <v>379</v>
      </c>
      <c r="C387" s="11"/>
      <c r="D387" s="10" t="s">
        <v>153</v>
      </c>
      <c r="E387" s="11"/>
      <c r="F387" s="12" t="s">
        <v>684</v>
      </c>
      <c r="G387" s="13">
        <v>1</v>
      </c>
      <c r="H387" s="11" t="s">
        <v>665</v>
      </c>
      <c r="I387" s="14">
        <v>623</v>
      </c>
      <c r="J387" s="15">
        <v>373.8</v>
      </c>
      <c r="K387" s="14">
        <v>249.2</v>
      </c>
      <c r="L387" s="2" t="s">
        <v>679</v>
      </c>
      <c r="M387" s="16">
        <v>46209</v>
      </c>
      <c r="N387" s="17">
        <v>46213</v>
      </c>
      <c r="O387" s="7">
        <v>46211</v>
      </c>
      <c r="P387" s="18">
        <f t="shared" si="12"/>
        <v>2</v>
      </c>
      <c r="Q387" s="18">
        <f t="shared" si="13"/>
        <v>2</v>
      </c>
    </row>
    <row r="388" spans="1:17">
      <c r="A388" s="9">
        <v>387</v>
      </c>
      <c r="B388" s="10" t="s">
        <v>379</v>
      </c>
      <c r="C388" s="11"/>
      <c r="D388" s="10" t="s">
        <v>153</v>
      </c>
      <c r="E388" s="11"/>
      <c r="F388" s="12" t="s">
        <v>685</v>
      </c>
      <c r="G388" s="13">
        <v>1</v>
      </c>
      <c r="H388" s="11" t="s">
        <v>25</v>
      </c>
      <c r="I388" s="14">
        <v>212</v>
      </c>
      <c r="J388" s="15">
        <v>127.2</v>
      </c>
      <c r="K388" s="14">
        <v>84.8</v>
      </c>
      <c r="L388" s="2" t="s">
        <v>679</v>
      </c>
      <c r="M388" s="16">
        <v>46209</v>
      </c>
      <c r="N388" s="17">
        <v>46213</v>
      </c>
      <c r="O388" s="7">
        <v>46211</v>
      </c>
      <c r="P388" s="18">
        <f t="shared" si="12"/>
        <v>2</v>
      </c>
      <c r="Q388" s="18">
        <f t="shared" si="13"/>
        <v>2</v>
      </c>
    </row>
    <row r="389" spans="1:17">
      <c r="A389" s="9">
        <v>388</v>
      </c>
      <c r="B389" s="10" t="s">
        <v>686</v>
      </c>
      <c r="C389" s="11"/>
      <c r="D389" s="10" t="s">
        <v>580</v>
      </c>
      <c r="E389" s="11"/>
      <c r="F389" s="12" t="s">
        <v>687</v>
      </c>
      <c r="G389" s="13">
        <v>1</v>
      </c>
      <c r="H389" s="11" t="s">
        <v>688</v>
      </c>
      <c r="I389" s="14">
        <v>979</v>
      </c>
      <c r="J389" s="10"/>
      <c r="K389" s="14">
        <v>979</v>
      </c>
      <c r="L389" s="2" t="s">
        <v>689</v>
      </c>
      <c r="M389" s="16">
        <v>46216</v>
      </c>
      <c r="N389" s="17">
        <v>46216</v>
      </c>
      <c r="O389" s="7">
        <v>46214</v>
      </c>
      <c r="P389" s="18">
        <f t="shared" si="12"/>
        <v>-2</v>
      </c>
      <c r="Q389" s="18">
        <f t="shared" si="13"/>
        <v>2</v>
      </c>
    </row>
    <row r="390" spans="1:17">
      <c r="A390" s="9">
        <v>389</v>
      </c>
      <c r="B390" s="10" t="s">
        <v>455</v>
      </c>
      <c r="C390" s="11"/>
      <c r="D390" s="10" t="s">
        <v>70</v>
      </c>
      <c r="E390" s="11"/>
      <c r="F390" s="12" t="s">
        <v>690</v>
      </c>
      <c r="G390" s="13">
        <v>10</v>
      </c>
      <c r="H390" s="11" t="s">
        <v>25</v>
      </c>
      <c r="I390" s="14">
        <v>3.5</v>
      </c>
      <c r="J390" s="15">
        <v>3.5</v>
      </c>
      <c r="K390" s="14">
        <v>31.5</v>
      </c>
      <c r="L390" s="2" t="s">
        <v>691</v>
      </c>
      <c r="M390" s="16">
        <v>46212</v>
      </c>
      <c r="N390" s="17">
        <v>46219</v>
      </c>
      <c r="O390" s="7">
        <v>46217</v>
      </c>
      <c r="P390" s="18">
        <f t="shared" si="12"/>
        <v>5</v>
      </c>
      <c r="Q390" s="18">
        <f t="shared" si="13"/>
        <v>2</v>
      </c>
    </row>
    <row r="391" spans="1:17">
      <c r="A391" s="9">
        <v>390</v>
      </c>
      <c r="B391" s="10" t="s">
        <v>455</v>
      </c>
      <c r="C391" s="11"/>
      <c r="D391" s="10" t="s">
        <v>70</v>
      </c>
      <c r="E391" s="11"/>
      <c r="F391" s="12" t="s">
        <v>692</v>
      </c>
      <c r="G391" s="13">
        <v>20</v>
      </c>
      <c r="H391" s="11" t="s">
        <v>25</v>
      </c>
      <c r="I391" s="14">
        <v>10</v>
      </c>
      <c r="J391" s="15">
        <v>20</v>
      </c>
      <c r="K391" s="14">
        <v>180</v>
      </c>
      <c r="L391" s="2" t="s">
        <v>691</v>
      </c>
      <c r="M391" s="16">
        <v>46212</v>
      </c>
      <c r="N391" s="17">
        <v>46219</v>
      </c>
      <c r="O391" s="7">
        <v>46217</v>
      </c>
      <c r="P391" s="18">
        <f t="shared" si="12"/>
        <v>5</v>
      </c>
      <c r="Q391" s="18">
        <f t="shared" si="13"/>
        <v>2</v>
      </c>
    </row>
    <row r="392" spans="1:17">
      <c r="A392" s="9">
        <v>391</v>
      </c>
      <c r="B392" s="10" t="s">
        <v>455</v>
      </c>
      <c r="C392" s="11"/>
      <c r="D392" s="10" t="s">
        <v>70</v>
      </c>
      <c r="E392" s="11"/>
      <c r="F392" s="12" t="s">
        <v>693</v>
      </c>
      <c r="G392" s="13">
        <v>8</v>
      </c>
      <c r="H392" s="11" t="s">
        <v>25</v>
      </c>
      <c r="I392" s="14">
        <v>3.5</v>
      </c>
      <c r="J392" s="15">
        <v>2.8</v>
      </c>
      <c r="K392" s="14">
        <v>25.2</v>
      </c>
      <c r="L392" s="2" t="s">
        <v>691</v>
      </c>
      <c r="M392" s="16">
        <v>46212</v>
      </c>
      <c r="N392" s="17">
        <v>46219</v>
      </c>
      <c r="O392" s="7">
        <v>46217</v>
      </c>
      <c r="P392" s="18">
        <f t="shared" si="12"/>
        <v>5</v>
      </c>
      <c r="Q392" s="18">
        <f t="shared" si="13"/>
        <v>2</v>
      </c>
    </row>
    <row r="393" spans="1:17">
      <c r="A393" s="9">
        <v>392</v>
      </c>
      <c r="B393" s="10" t="s">
        <v>455</v>
      </c>
      <c r="C393" s="11"/>
      <c r="D393" s="10" t="s">
        <v>70</v>
      </c>
      <c r="E393" s="11"/>
      <c r="F393" s="12" t="s">
        <v>694</v>
      </c>
      <c r="G393" s="13">
        <v>8</v>
      </c>
      <c r="H393" s="11" t="s">
        <v>25</v>
      </c>
      <c r="I393" s="14">
        <v>2.5</v>
      </c>
      <c r="J393" s="15">
        <v>2</v>
      </c>
      <c r="K393" s="14">
        <v>18</v>
      </c>
      <c r="L393" s="2" t="s">
        <v>691</v>
      </c>
      <c r="M393" s="16">
        <v>46212</v>
      </c>
      <c r="N393" s="17">
        <v>46219</v>
      </c>
      <c r="O393" s="7">
        <v>46217</v>
      </c>
      <c r="P393" s="18">
        <f t="shared" si="12"/>
        <v>5</v>
      </c>
      <c r="Q393" s="18">
        <f t="shared" si="13"/>
        <v>2</v>
      </c>
    </row>
    <row r="394" spans="1:17">
      <c r="A394" s="9">
        <v>393</v>
      </c>
      <c r="B394" s="10" t="s">
        <v>455</v>
      </c>
      <c r="C394" s="11"/>
      <c r="D394" s="10" t="s">
        <v>70</v>
      </c>
      <c r="E394" s="11"/>
      <c r="F394" s="12" t="s">
        <v>695</v>
      </c>
      <c r="G394" s="13">
        <v>8</v>
      </c>
      <c r="H394" s="11" t="s">
        <v>25</v>
      </c>
      <c r="I394" s="14">
        <v>3.5</v>
      </c>
      <c r="J394" s="15">
        <v>2.8</v>
      </c>
      <c r="K394" s="14">
        <v>25.2</v>
      </c>
      <c r="L394" s="2" t="s">
        <v>691</v>
      </c>
      <c r="M394" s="16">
        <v>46212</v>
      </c>
      <c r="N394" s="17">
        <v>46219</v>
      </c>
      <c r="O394" s="7">
        <v>46217</v>
      </c>
      <c r="P394" s="18">
        <f t="shared" si="12"/>
        <v>5</v>
      </c>
      <c r="Q394" s="18">
        <f t="shared" si="13"/>
        <v>2</v>
      </c>
    </row>
    <row r="395" spans="1:17">
      <c r="A395" s="9">
        <v>394</v>
      </c>
      <c r="B395" s="10" t="s">
        <v>455</v>
      </c>
      <c r="C395" s="11"/>
      <c r="D395" s="10" t="s">
        <v>70</v>
      </c>
      <c r="E395" s="11"/>
      <c r="F395" s="12" t="s">
        <v>696</v>
      </c>
      <c r="G395" s="13">
        <v>8</v>
      </c>
      <c r="H395" s="11" t="s">
        <v>25</v>
      </c>
      <c r="I395" s="14">
        <v>213</v>
      </c>
      <c r="J395" s="15">
        <v>170.4</v>
      </c>
      <c r="K395" s="14">
        <v>1533.6</v>
      </c>
      <c r="L395" s="2" t="s">
        <v>691</v>
      </c>
      <c r="M395" s="16">
        <v>46212</v>
      </c>
      <c r="N395" s="17">
        <v>46219</v>
      </c>
      <c r="O395" s="7">
        <v>46217</v>
      </c>
      <c r="P395" s="18">
        <f t="shared" si="12"/>
        <v>5</v>
      </c>
      <c r="Q395" s="18">
        <f t="shared" si="13"/>
        <v>2</v>
      </c>
    </row>
    <row r="396" spans="1:17">
      <c r="A396" s="9">
        <v>395</v>
      </c>
      <c r="B396" s="10" t="s">
        <v>697</v>
      </c>
      <c r="C396" s="11"/>
      <c r="D396" s="10" t="s">
        <v>698</v>
      </c>
      <c r="E396" s="11"/>
      <c r="F396" s="12" t="s">
        <v>699</v>
      </c>
      <c r="G396" s="13">
        <v>1</v>
      </c>
      <c r="H396" s="11" t="s">
        <v>145</v>
      </c>
      <c r="I396" s="14">
        <v>1995</v>
      </c>
      <c r="J396" s="15">
        <v>399</v>
      </c>
      <c r="K396" s="14">
        <v>1596</v>
      </c>
      <c r="L396" s="2" t="s">
        <v>700</v>
      </c>
      <c r="M396" s="16">
        <v>46217</v>
      </c>
      <c r="N396" s="17">
        <v>46220</v>
      </c>
      <c r="O396" s="7">
        <v>46218</v>
      </c>
      <c r="P396" s="18">
        <f t="shared" si="12"/>
        <v>1</v>
      </c>
      <c r="Q396" s="18">
        <f t="shared" si="13"/>
        <v>2</v>
      </c>
    </row>
    <row r="397" spans="1:17">
      <c r="A397" s="9">
        <v>396</v>
      </c>
      <c r="B397" s="10" t="s">
        <v>697</v>
      </c>
      <c r="C397" s="11"/>
      <c r="D397" s="10" t="s">
        <v>698</v>
      </c>
      <c r="E397" s="11"/>
      <c r="F397" s="12" t="s">
        <v>701</v>
      </c>
      <c r="G397" s="13">
        <v>1</v>
      </c>
      <c r="H397" s="11" t="s">
        <v>472</v>
      </c>
      <c r="I397" s="14">
        <v>275</v>
      </c>
      <c r="J397" s="15">
        <v>55</v>
      </c>
      <c r="K397" s="14">
        <v>220</v>
      </c>
      <c r="L397" s="2" t="s">
        <v>700</v>
      </c>
      <c r="M397" s="16">
        <v>46217</v>
      </c>
      <c r="N397" s="17">
        <v>46220</v>
      </c>
      <c r="O397" s="7">
        <v>46218</v>
      </c>
      <c r="P397" s="18">
        <f t="shared" si="12"/>
        <v>1</v>
      </c>
      <c r="Q397" s="18">
        <f t="shared" si="13"/>
        <v>2</v>
      </c>
    </row>
    <row r="398" spans="1:17">
      <c r="A398" s="9">
        <v>397</v>
      </c>
      <c r="B398" s="10" t="s">
        <v>697</v>
      </c>
      <c r="C398" s="11"/>
      <c r="D398" s="10" t="s">
        <v>698</v>
      </c>
      <c r="E398" s="11"/>
      <c r="F398" s="12" t="s">
        <v>702</v>
      </c>
      <c r="G398" s="13">
        <v>1</v>
      </c>
      <c r="H398" s="11" t="s">
        <v>703</v>
      </c>
      <c r="I398" s="14">
        <v>150</v>
      </c>
      <c r="J398" s="10"/>
      <c r="K398" s="14">
        <v>150</v>
      </c>
      <c r="L398" s="2" t="s">
        <v>700</v>
      </c>
      <c r="M398" s="16">
        <v>46217</v>
      </c>
      <c r="N398" s="17">
        <v>46220</v>
      </c>
      <c r="O398" s="7">
        <v>46218</v>
      </c>
      <c r="P398" s="18">
        <f t="shared" si="12"/>
        <v>1</v>
      </c>
      <c r="Q398" s="18">
        <f t="shared" si="13"/>
        <v>2</v>
      </c>
    </row>
    <row r="399" spans="1:17">
      <c r="A399" s="9">
        <v>398</v>
      </c>
      <c r="B399" s="10" t="s">
        <v>254</v>
      </c>
      <c r="C399" s="11"/>
      <c r="D399" s="10" t="s">
        <v>232</v>
      </c>
      <c r="E399" s="11"/>
      <c r="F399" s="12" t="s">
        <v>704</v>
      </c>
      <c r="G399" s="13">
        <v>1</v>
      </c>
      <c r="H399" s="11" t="s">
        <v>25</v>
      </c>
      <c r="I399" s="14">
        <v>660</v>
      </c>
      <c r="J399" s="10"/>
      <c r="K399" s="14">
        <v>660</v>
      </c>
      <c r="L399" s="2" t="s">
        <v>705</v>
      </c>
      <c r="M399" s="16">
        <v>46219</v>
      </c>
      <c r="N399" s="17">
        <v>46226</v>
      </c>
      <c r="O399" s="7">
        <v>46224</v>
      </c>
      <c r="P399" s="18">
        <f t="shared" si="12"/>
        <v>5</v>
      </c>
      <c r="Q399" s="18">
        <f t="shared" si="13"/>
        <v>2</v>
      </c>
    </row>
    <row r="400" spans="1:17">
      <c r="A400" s="9">
        <v>399</v>
      </c>
      <c r="B400" s="10" t="s">
        <v>254</v>
      </c>
      <c r="C400" s="11"/>
      <c r="D400" s="10" t="s">
        <v>232</v>
      </c>
      <c r="E400" s="11"/>
      <c r="F400" s="12" t="s">
        <v>706</v>
      </c>
      <c r="G400" s="13">
        <v>1</v>
      </c>
      <c r="H400" s="11" t="s">
        <v>25</v>
      </c>
      <c r="I400" s="14">
        <v>132</v>
      </c>
      <c r="J400" s="10"/>
      <c r="K400" s="14">
        <v>132</v>
      </c>
      <c r="L400" s="2" t="s">
        <v>705</v>
      </c>
      <c r="M400" s="16">
        <v>46219</v>
      </c>
      <c r="N400" s="17">
        <v>46226</v>
      </c>
      <c r="O400" s="7">
        <v>46224</v>
      </c>
      <c r="P400" s="18">
        <f t="shared" si="12"/>
        <v>5</v>
      </c>
      <c r="Q400" s="18">
        <f t="shared" si="13"/>
        <v>2</v>
      </c>
    </row>
    <row r="401" spans="1:17">
      <c r="A401" s="9">
        <v>400</v>
      </c>
      <c r="B401" s="10" t="s">
        <v>254</v>
      </c>
      <c r="C401" s="11"/>
      <c r="D401" s="10" t="s">
        <v>232</v>
      </c>
      <c r="E401" s="11"/>
      <c r="F401" s="12" t="s">
        <v>707</v>
      </c>
      <c r="G401" s="13">
        <v>1</v>
      </c>
      <c r="H401" s="11" t="s">
        <v>25</v>
      </c>
      <c r="I401" s="14">
        <v>520</v>
      </c>
      <c r="J401" s="10"/>
      <c r="K401" s="14">
        <v>520</v>
      </c>
      <c r="L401" s="2" t="s">
        <v>705</v>
      </c>
      <c r="M401" s="16">
        <v>46219</v>
      </c>
      <c r="N401" s="17">
        <v>46226</v>
      </c>
      <c r="O401" s="7">
        <v>46224</v>
      </c>
      <c r="P401" s="18">
        <f t="shared" si="12"/>
        <v>5</v>
      </c>
      <c r="Q401" s="18">
        <f t="shared" si="13"/>
        <v>2</v>
      </c>
    </row>
    <row r="402" spans="1:17">
      <c r="A402" s="9">
        <v>401</v>
      </c>
      <c r="B402" s="10" t="s">
        <v>708</v>
      </c>
      <c r="C402" s="11" t="s">
        <v>709</v>
      </c>
      <c r="D402" s="10" t="s">
        <v>70</v>
      </c>
      <c r="E402" s="11" t="s">
        <v>710</v>
      </c>
      <c r="F402" s="10" t="s">
        <v>711</v>
      </c>
      <c r="G402" s="13">
        <v>8</v>
      </c>
      <c r="H402" s="11" t="s">
        <v>25</v>
      </c>
      <c r="I402" s="13">
        <v>15</v>
      </c>
      <c r="J402" s="13">
        <v>12</v>
      </c>
      <c r="K402" s="39">
        <v>108</v>
      </c>
      <c r="L402" s="2" t="s">
        <v>712</v>
      </c>
      <c r="M402" s="16">
        <v>46227</v>
      </c>
      <c r="N402" s="17">
        <v>46232</v>
      </c>
      <c r="O402" s="7">
        <v>46230</v>
      </c>
      <c r="P402" s="18">
        <f t="shared" si="12"/>
        <v>3</v>
      </c>
      <c r="Q402" s="18">
        <f t="shared" si="13"/>
        <v>2</v>
      </c>
    </row>
    <row r="403" spans="1:17">
      <c r="A403" s="9">
        <v>402</v>
      </c>
      <c r="B403" s="10" t="s">
        <v>713</v>
      </c>
      <c r="C403" s="11"/>
      <c r="D403" s="10" t="s">
        <v>714</v>
      </c>
      <c r="E403" s="11"/>
      <c r="F403" s="12" t="s">
        <v>715</v>
      </c>
      <c r="G403" s="13">
        <v>20</v>
      </c>
      <c r="H403" s="11" t="s">
        <v>25</v>
      </c>
      <c r="I403" s="14">
        <v>11.09</v>
      </c>
      <c r="J403" s="15"/>
      <c r="K403" s="14">
        <v>221.8</v>
      </c>
      <c r="L403" s="2" t="s">
        <v>716</v>
      </c>
      <c r="M403" s="16">
        <v>46209</v>
      </c>
      <c r="N403" s="17">
        <v>46213</v>
      </c>
      <c r="O403" s="7">
        <v>46210</v>
      </c>
      <c r="P403" s="18">
        <f t="shared" si="12"/>
        <v>1</v>
      </c>
      <c r="Q403" s="18">
        <f t="shared" si="13"/>
        <v>3</v>
      </c>
    </row>
    <row r="404" spans="1:17">
      <c r="A404" s="9">
        <v>403</v>
      </c>
      <c r="B404" s="10" t="s">
        <v>717</v>
      </c>
      <c r="C404" s="11"/>
      <c r="D404" s="10" t="s">
        <v>718</v>
      </c>
      <c r="E404" s="11"/>
      <c r="F404" s="12" t="s">
        <v>719</v>
      </c>
      <c r="G404" s="13">
        <v>1</v>
      </c>
      <c r="H404" s="11" t="s">
        <v>25</v>
      </c>
      <c r="I404" s="14">
        <v>158902</v>
      </c>
      <c r="J404" s="15"/>
      <c r="K404" s="14">
        <v>158902</v>
      </c>
      <c r="L404" s="2" t="s">
        <v>720</v>
      </c>
      <c r="M404" s="16">
        <v>46210</v>
      </c>
      <c r="N404" s="17">
        <v>46213</v>
      </c>
      <c r="O404" s="7">
        <v>46210</v>
      </c>
      <c r="P404" s="18">
        <f t="shared" si="12"/>
        <v>0</v>
      </c>
      <c r="Q404" s="18">
        <f t="shared" si="13"/>
        <v>3</v>
      </c>
    </row>
    <row r="405" spans="1:17">
      <c r="A405" s="9">
        <v>404</v>
      </c>
      <c r="B405" s="10" t="s">
        <v>721</v>
      </c>
      <c r="C405" s="11"/>
      <c r="D405" s="10" t="s">
        <v>485</v>
      </c>
      <c r="E405" s="11"/>
      <c r="F405" s="12" t="s">
        <v>722</v>
      </c>
      <c r="G405" s="13">
        <v>1</v>
      </c>
      <c r="H405" s="11" t="s">
        <v>25</v>
      </c>
      <c r="I405" s="14">
        <v>6740</v>
      </c>
      <c r="J405" s="10"/>
      <c r="K405" s="14">
        <v>6740</v>
      </c>
      <c r="L405" s="2" t="s">
        <v>723</v>
      </c>
      <c r="M405" s="16">
        <v>46212</v>
      </c>
      <c r="N405" s="17">
        <v>46216</v>
      </c>
      <c r="O405" s="7">
        <v>46213</v>
      </c>
      <c r="P405" s="18">
        <f t="shared" si="12"/>
        <v>1</v>
      </c>
      <c r="Q405" s="18">
        <f t="shared" si="13"/>
        <v>3</v>
      </c>
    </row>
    <row r="406" spans="1:17">
      <c r="A406" s="9">
        <v>405</v>
      </c>
      <c r="B406" s="10" t="s">
        <v>721</v>
      </c>
      <c r="C406" s="11"/>
      <c r="D406" s="10" t="s">
        <v>485</v>
      </c>
      <c r="E406" s="11"/>
      <c r="F406" s="12" t="s">
        <v>724</v>
      </c>
      <c r="G406" s="13">
        <v>1</v>
      </c>
      <c r="H406" s="11" t="s">
        <v>25</v>
      </c>
      <c r="I406" s="14">
        <v>1620</v>
      </c>
      <c r="J406" s="10"/>
      <c r="K406" s="14">
        <v>1620</v>
      </c>
      <c r="L406" s="2" t="s">
        <v>723</v>
      </c>
      <c r="M406" s="16">
        <v>46212</v>
      </c>
      <c r="N406" s="17">
        <v>46216</v>
      </c>
      <c r="O406" s="7">
        <v>46213</v>
      </c>
      <c r="P406" s="18">
        <f t="shared" si="12"/>
        <v>1</v>
      </c>
      <c r="Q406" s="18">
        <f t="shared" si="13"/>
        <v>3</v>
      </c>
    </row>
    <row r="407" spans="1:17">
      <c r="A407" s="9">
        <v>406</v>
      </c>
      <c r="B407" s="10" t="s">
        <v>721</v>
      </c>
      <c r="C407" s="11"/>
      <c r="D407" s="10" t="s">
        <v>485</v>
      </c>
      <c r="E407" s="11"/>
      <c r="F407" s="12" t="s">
        <v>725</v>
      </c>
      <c r="G407" s="13">
        <v>2</v>
      </c>
      <c r="H407" s="11" t="s">
        <v>25</v>
      </c>
      <c r="I407" s="14">
        <v>1060</v>
      </c>
      <c r="J407" s="10"/>
      <c r="K407" s="14">
        <v>2120</v>
      </c>
      <c r="L407" s="2" t="s">
        <v>723</v>
      </c>
      <c r="M407" s="16">
        <v>46212</v>
      </c>
      <c r="N407" s="17">
        <v>46216</v>
      </c>
      <c r="O407" s="7">
        <v>46213</v>
      </c>
      <c r="P407" s="18">
        <f t="shared" si="12"/>
        <v>1</v>
      </c>
      <c r="Q407" s="18">
        <f t="shared" si="13"/>
        <v>3</v>
      </c>
    </row>
    <row r="408" spans="1:17">
      <c r="A408" s="9">
        <v>407</v>
      </c>
      <c r="B408" s="10" t="s">
        <v>721</v>
      </c>
      <c r="C408" s="11"/>
      <c r="D408" s="10" t="s">
        <v>100</v>
      </c>
      <c r="E408" s="11"/>
      <c r="F408" s="12" t="s">
        <v>726</v>
      </c>
      <c r="G408" s="13">
        <v>18</v>
      </c>
      <c r="H408" s="11" t="s">
        <v>25</v>
      </c>
      <c r="I408" s="14">
        <v>0.7</v>
      </c>
      <c r="J408" s="10"/>
      <c r="K408" s="14">
        <v>12.6</v>
      </c>
      <c r="L408" s="2" t="s">
        <v>727</v>
      </c>
      <c r="M408" s="16">
        <v>46211</v>
      </c>
      <c r="N408" s="17">
        <v>46216</v>
      </c>
      <c r="O408" s="7">
        <v>46213</v>
      </c>
      <c r="P408" s="18">
        <f t="shared" si="12"/>
        <v>2</v>
      </c>
      <c r="Q408" s="18">
        <f t="shared" si="13"/>
        <v>3</v>
      </c>
    </row>
    <row r="409" spans="1:17">
      <c r="A409" s="9">
        <v>408</v>
      </c>
      <c r="B409" s="10" t="s">
        <v>721</v>
      </c>
      <c r="C409" s="11"/>
      <c r="D409" s="10" t="s">
        <v>100</v>
      </c>
      <c r="E409" s="11"/>
      <c r="F409" s="12" t="s">
        <v>728</v>
      </c>
      <c r="G409" s="13">
        <v>18</v>
      </c>
      <c r="H409" s="11" t="s">
        <v>25</v>
      </c>
      <c r="I409" s="14">
        <v>0.5</v>
      </c>
      <c r="J409" s="10"/>
      <c r="K409" s="14">
        <v>9</v>
      </c>
      <c r="L409" s="2" t="s">
        <v>727</v>
      </c>
      <c r="M409" s="16">
        <v>46211</v>
      </c>
      <c r="N409" s="17">
        <v>46216</v>
      </c>
      <c r="O409" s="7">
        <v>46213</v>
      </c>
      <c r="P409" s="18">
        <f t="shared" si="12"/>
        <v>2</v>
      </c>
      <c r="Q409" s="18">
        <f t="shared" si="13"/>
        <v>3</v>
      </c>
    </row>
    <row r="410" spans="1:17">
      <c r="A410" s="9">
        <v>409</v>
      </c>
      <c r="B410" s="10" t="s">
        <v>721</v>
      </c>
      <c r="C410" s="11"/>
      <c r="D410" s="10" t="s">
        <v>100</v>
      </c>
      <c r="E410" s="11"/>
      <c r="F410" s="12" t="s">
        <v>729</v>
      </c>
      <c r="G410" s="13">
        <v>10</v>
      </c>
      <c r="H410" s="11" t="s">
        <v>25</v>
      </c>
      <c r="I410" s="14">
        <v>6.9</v>
      </c>
      <c r="J410" s="10"/>
      <c r="K410" s="14">
        <v>69</v>
      </c>
      <c r="L410" s="2" t="s">
        <v>727</v>
      </c>
      <c r="M410" s="16">
        <v>46211</v>
      </c>
      <c r="N410" s="17">
        <v>46216</v>
      </c>
      <c r="O410" s="7">
        <v>46213</v>
      </c>
      <c r="P410" s="18">
        <f t="shared" si="12"/>
        <v>2</v>
      </c>
      <c r="Q410" s="18">
        <f t="shared" si="13"/>
        <v>3</v>
      </c>
    </row>
    <row r="411" spans="1:17">
      <c r="A411" s="9">
        <v>410</v>
      </c>
      <c r="B411" s="10" t="s">
        <v>721</v>
      </c>
      <c r="C411" s="11"/>
      <c r="D411" s="10" t="s">
        <v>100</v>
      </c>
      <c r="E411" s="11"/>
      <c r="F411" s="12" t="s">
        <v>730</v>
      </c>
      <c r="G411" s="13">
        <v>10</v>
      </c>
      <c r="H411" s="11" t="s">
        <v>25</v>
      </c>
      <c r="I411" s="14">
        <v>3</v>
      </c>
      <c r="J411" s="10"/>
      <c r="K411" s="14">
        <v>30</v>
      </c>
      <c r="L411" s="2" t="s">
        <v>727</v>
      </c>
      <c r="M411" s="16">
        <v>46211</v>
      </c>
      <c r="N411" s="17">
        <v>46216</v>
      </c>
      <c r="O411" s="7">
        <v>46213</v>
      </c>
      <c r="P411" s="18">
        <f t="shared" si="12"/>
        <v>2</v>
      </c>
      <c r="Q411" s="18">
        <f t="shared" si="13"/>
        <v>3</v>
      </c>
    </row>
    <row r="412" spans="1:17">
      <c r="A412" s="9">
        <v>411</v>
      </c>
      <c r="B412" s="10" t="s">
        <v>721</v>
      </c>
      <c r="C412" s="11"/>
      <c r="D412" s="10" t="s">
        <v>100</v>
      </c>
      <c r="E412" s="11"/>
      <c r="F412" s="12" t="s">
        <v>731</v>
      </c>
      <c r="G412" s="13">
        <v>34</v>
      </c>
      <c r="H412" s="11" t="s">
        <v>25</v>
      </c>
      <c r="I412" s="14">
        <v>0.2</v>
      </c>
      <c r="J412" s="10"/>
      <c r="K412" s="14">
        <v>6.8</v>
      </c>
      <c r="L412" s="2" t="s">
        <v>727</v>
      </c>
      <c r="M412" s="16">
        <v>46211</v>
      </c>
      <c r="N412" s="17">
        <v>46216</v>
      </c>
      <c r="O412" s="7">
        <v>46213</v>
      </c>
      <c r="P412" s="18">
        <f t="shared" si="12"/>
        <v>2</v>
      </c>
      <c r="Q412" s="18">
        <f t="shared" si="13"/>
        <v>3</v>
      </c>
    </row>
    <row r="413" spans="1:17">
      <c r="A413" s="9">
        <v>412</v>
      </c>
      <c r="B413" s="10" t="s">
        <v>721</v>
      </c>
      <c r="C413" s="11"/>
      <c r="D413" s="10" t="s">
        <v>100</v>
      </c>
      <c r="E413" s="11"/>
      <c r="F413" s="12" t="s">
        <v>732</v>
      </c>
      <c r="G413" s="13">
        <v>34</v>
      </c>
      <c r="H413" s="11" t="s">
        <v>25</v>
      </c>
      <c r="I413" s="14">
        <v>3</v>
      </c>
      <c r="J413" s="10"/>
      <c r="K413" s="14">
        <v>102</v>
      </c>
      <c r="L413" s="2" t="s">
        <v>727</v>
      </c>
      <c r="M413" s="16">
        <v>46211</v>
      </c>
      <c r="N413" s="17">
        <v>46216</v>
      </c>
      <c r="O413" s="7">
        <v>46213</v>
      </c>
      <c r="P413" s="18">
        <f t="shared" si="12"/>
        <v>2</v>
      </c>
      <c r="Q413" s="18">
        <f t="shared" si="13"/>
        <v>3</v>
      </c>
    </row>
    <row r="414" spans="1:17">
      <c r="A414" s="9">
        <v>413</v>
      </c>
      <c r="B414" s="10" t="s">
        <v>721</v>
      </c>
      <c r="C414" s="11"/>
      <c r="D414" s="10" t="s">
        <v>100</v>
      </c>
      <c r="E414" s="11"/>
      <c r="F414" s="12" t="s">
        <v>733</v>
      </c>
      <c r="G414" s="13">
        <v>10</v>
      </c>
      <c r="H414" s="11" t="s">
        <v>25</v>
      </c>
      <c r="I414" s="14">
        <v>0.15</v>
      </c>
      <c r="J414" s="10"/>
      <c r="K414" s="14">
        <v>1.5</v>
      </c>
      <c r="L414" s="2" t="s">
        <v>727</v>
      </c>
      <c r="M414" s="16">
        <v>46211</v>
      </c>
      <c r="N414" s="17">
        <v>46216</v>
      </c>
      <c r="O414" s="7">
        <v>46213</v>
      </c>
      <c r="P414" s="18">
        <f t="shared" si="12"/>
        <v>2</v>
      </c>
      <c r="Q414" s="18">
        <f t="shared" si="13"/>
        <v>3</v>
      </c>
    </row>
    <row r="415" spans="1:17">
      <c r="A415" s="9">
        <v>414</v>
      </c>
      <c r="B415" s="10" t="s">
        <v>721</v>
      </c>
      <c r="C415" s="11"/>
      <c r="D415" s="10" t="s">
        <v>100</v>
      </c>
      <c r="E415" s="11"/>
      <c r="F415" s="12" t="s">
        <v>734</v>
      </c>
      <c r="G415" s="13">
        <v>10</v>
      </c>
      <c r="H415" s="11" t="s">
        <v>25</v>
      </c>
      <c r="I415" s="14">
        <v>0.27</v>
      </c>
      <c r="J415" s="10"/>
      <c r="K415" s="14">
        <v>2.7</v>
      </c>
      <c r="L415" s="2" t="s">
        <v>727</v>
      </c>
      <c r="M415" s="16">
        <v>46211</v>
      </c>
      <c r="N415" s="17">
        <v>46216</v>
      </c>
      <c r="O415" s="7">
        <v>46213</v>
      </c>
      <c r="P415" s="18">
        <f t="shared" si="12"/>
        <v>2</v>
      </c>
      <c r="Q415" s="18">
        <f t="shared" si="13"/>
        <v>3</v>
      </c>
    </row>
    <row r="416" spans="1:17">
      <c r="A416" s="9">
        <v>415</v>
      </c>
      <c r="B416" s="10" t="s">
        <v>721</v>
      </c>
      <c r="C416" s="11"/>
      <c r="D416" s="10" t="s">
        <v>100</v>
      </c>
      <c r="E416" s="11"/>
      <c r="F416" s="12" t="s">
        <v>735</v>
      </c>
      <c r="G416" s="13">
        <v>18</v>
      </c>
      <c r="H416" s="11" t="s">
        <v>25</v>
      </c>
      <c r="I416" s="14">
        <v>0.12</v>
      </c>
      <c r="J416" s="10"/>
      <c r="K416" s="14">
        <v>2.16</v>
      </c>
      <c r="L416" s="2" t="s">
        <v>727</v>
      </c>
      <c r="M416" s="16">
        <v>46211</v>
      </c>
      <c r="N416" s="17">
        <v>46216</v>
      </c>
      <c r="O416" s="7">
        <v>46213</v>
      </c>
      <c r="P416" s="18">
        <f t="shared" si="12"/>
        <v>2</v>
      </c>
      <c r="Q416" s="18">
        <f t="shared" si="13"/>
        <v>3</v>
      </c>
    </row>
    <row r="417" spans="1:17">
      <c r="A417" s="9">
        <v>416</v>
      </c>
      <c r="B417" s="10" t="s">
        <v>721</v>
      </c>
      <c r="C417" s="11"/>
      <c r="D417" s="10" t="s">
        <v>100</v>
      </c>
      <c r="E417" s="11"/>
      <c r="F417" s="12" t="s">
        <v>736</v>
      </c>
      <c r="G417" s="13">
        <v>10</v>
      </c>
      <c r="H417" s="11" t="s">
        <v>25</v>
      </c>
      <c r="I417" s="14">
        <v>0.28999999999999998</v>
      </c>
      <c r="J417" s="10"/>
      <c r="K417" s="14">
        <v>2.9</v>
      </c>
      <c r="L417" s="2" t="s">
        <v>727</v>
      </c>
      <c r="M417" s="16">
        <v>46211</v>
      </c>
      <c r="N417" s="17">
        <v>46216</v>
      </c>
      <c r="O417" s="7">
        <v>46213</v>
      </c>
      <c r="P417" s="18">
        <f t="shared" si="12"/>
        <v>2</v>
      </c>
      <c r="Q417" s="18">
        <f t="shared" si="13"/>
        <v>3</v>
      </c>
    </row>
    <row r="418" spans="1:17">
      <c r="A418" s="9">
        <v>417</v>
      </c>
      <c r="B418" s="10" t="s">
        <v>721</v>
      </c>
      <c r="C418" s="11"/>
      <c r="D418" s="10" t="s">
        <v>100</v>
      </c>
      <c r="E418" s="11"/>
      <c r="F418" s="12" t="s">
        <v>737</v>
      </c>
      <c r="G418" s="13">
        <v>10</v>
      </c>
      <c r="H418" s="11" t="s">
        <v>25</v>
      </c>
      <c r="I418" s="14">
        <v>0.2</v>
      </c>
      <c r="J418" s="10"/>
      <c r="K418" s="14">
        <v>2</v>
      </c>
      <c r="L418" s="2" t="s">
        <v>727</v>
      </c>
      <c r="M418" s="16">
        <v>46211</v>
      </c>
      <c r="N418" s="17">
        <v>46216</v>
      </c>
      <c r="O418" s="7">
        <v>46213</v>
      </c>
      <c r="P418" s="18">
        <f t="shared" si="12"/>
        <v>2</v>
      </c>
      <c r="Q418" s="18">
        <f t="shared" si="13"/>
        <v>3</v>
      </c>
    </row>
    <row r="419" spans="1:17">
      <c r="A419" s="9">
        <v>418</v>
      </c>
      <c r="B419" s="10" t="s">
        <v>721</v>
      </c>
      <c r="C419" s="11"/>
      <c r="D419" s="10" t="s">
        <v>100</v>
      </c>
      <c r="E419" s="11"/>
      <c r="F419" s="12" t="s">
        <v>738</v>
      </c>
      <c r="G419" s="13">
        <v>6</v>
      </c>
      <c r="H419" s="11" t="s">
        <v>25</v>
      </c>
      <c r="I419" s="14">
        <v>5</v>
      </c>
      <c r="J419" s="10"/>
      <c r="K419" s="14">
        <v>30</v>
      </c>
      <c r="L419" s="2" t="s">
        <v>727</v>
      </c>
      <c r="M419" s="16">
        <v>46211</v>
      </c>
      <c r="N419" s="17">
        <v>46216</v>
      </c>
      <c r="O419" s="7">
        <v>46213</v>
      </c>
      <c r="P419" s="18">
        <f t="shared" si="12"/>
        <v>2</v>
      </c>
      <c r="Q419" s="18">
        <f t="shared" si="13"/>
        <v>3</v>
      </c>
    </row>
    <row r="420" spans="1:17">
      <c r="A420" s="9">
        <v>419</v>
      </c>
      <c r="B420" s="10" t="s">
        <v>721</v>
      </c>
      <c r="C420" s="11"/>
      <c r="D420" s="10" t="s">
        <v>100</v>
      </c>
      <c r="E420" s="11"/>
      <c r="F420" s="12" t="s">
        <v>739</v>
      </c>
      <c r="G420" s="13">
        <v>18</v>
      </c>
      <c r="H420" s="11" t="s">
        <v>25</v>
      </c>
      <c r="I420" s="14">
        <v>3</v>
      </c>
      <c r="J420" s="10"/>
      <c r="K420" s="14">
        <v>54</v>
      </c>
      <c r="L420" s="2" t="s">
        <v>727</v>
      </c>
      <c r="M420" s="16">
        <v>46211</v>
      </c>
      <c r="N420" s="17">
        <v>46216</v>
      </c>
      <c r="O420" s="7">
        <v>46213</v>
      </c>
      <c r="P420" s="18">
        <f t="shared" si="12"/>
        <v>2</v>
      </c>
      <c r="Q420" s="18">
        <f t="shared" si="13"/>
        <v>3</v>
      </c>
    </row>
    <row r="421" spans="1:17">
      <c r="A421" s="9">
        <v>420</v>
      </c>
      <c r="B421" s="10" t="s">
        <v>740</v>
      </c>
      <c r="C421" s="11"/>
      <c r="D421" s="10" t="s">
        <v>741</v>
      </c>
      <c r="E421" s="11"/>
      <c r="F421" s="12" t="s">
        <v>742</v>
      </c>
      <c r="G421" s="13">
        <v>1</v>
      </c>
      <c r="H421" s="11" t="s">
        <v>25</v>
      </c>
      <c r="I421" s="14">
        <v>200</v>
      </c>
      <c r="J421" s="10"/>
      <c r="K421" s="14">
        <v>200</v>
      </c>
      <c r="L421" s="2" t="s">
        <v>743</v>
      </c>
      <c r="M421" s="16">
        <v>46217</v>
      </c>
      <c r="N421" s="17">
        <v>46220</v>
      </c>
      <c r="O421" s="7">
        <v>46217</v>
      </c>
      <c r="P421" s="18">
        <f t="shared" si="12"/>
        <v>0</v>
      </c>
      <c r="Q421" s="18">
        <f t="shared" si="13"/>
        <v>3</v>
      </c>
    </row>
    <row r="422" spans="1:17">
      <c r="A422" s="9">
        <v>421</v>
      </c>
      <c r="B422" s="10" t="s">
        <v>740</v>
      </c>
      <c r="C422" s="11"/>
      <c r="D422" s="10" t="s">
        <v>741</v>
      </c>
      <c r="E422" s="11"/>
      <c r="F422" s="12" t="s">
        <v>744</v>
      </c>
      <c r="G422" s="13">
        <v>1</v>
      </c>
      <c r="H422" s="11" t="s">
        <v>25</v>
      </c>
      <c r="I422" s="14">
        <v>330</v>
      </c>
      <c r="J422" s="10"/>
      <c r="K422" s="14">
        <v>330</v>
      </c>
      <c r="L422" s="2" t="s">
        <v>743</v>
      </c>
      <c r="M422" s="16">
        <v>46217</v>
      </c>
      <c r="N422" s="17">
        <v>46220</v>
      </c>
      <c r="O422" s="7">
        <v>46217</v>
      </c>
      <c r="P422" s="18">
        <f t="shared" si="12"/>
        <v>0</v>
      </c>
      <c r="Q422" s="18">
        <f t="shared" si="13"/>
        <v>3</v>
      </c>
    </row>
    <row r="423" spans="1:17">
      <c r="A423" s="9">
        <v>422</v>
      </c>
      <c r="B423" s="10" t="s">
        <v>740</v>
      </c>
      <c r="C423" s="11"/>
      <c r="D423" s="10" t="s">
        <v>741</v>
      </c>
      <c r="E423" s="11"/>
      <c r="F423" s="12" t="s">
        <v>745</v>
      </c>
      <c r="G423" s="13">
        <v>1</v>
      </c>
      <c r="H423" s="11" t="s">
        <v>25</v>
      </c>
      <c r="I423" s="14">
        <v>550</v>
      </c>
      <c r="J423" s="10"/>
      <c r="K423" s="14">
        <v>550</v>
      </c>
      <c r="L423" s="2" t="s">
        <v>743</v>
      </c>
      <c r="M423" s="16">
        <v>46217</v>
      </c>
      <c r="N423" s="17">
        <v>46220</v>
      </c>
      <c r="O423" s="7">
        <v>46217</v>
      </c>
      <c r="P423" s="18">
        <f t="shared" si="12"/>
        <v>0</v>
      </c>
      <c r="Q423" s="18">
        <f t="shared" si="13"/>
        <v>3</v>
      </c>
    </row>
    <row r="424" spans="1:17">
      <c r="A424" s="9">
        <v>423</v>
      </c>
      <c r="B424" s="10" t="s">
        <v>740</v>
      </c>
      <c r="C424" s="11"/>
      <c r="D424" s="10" t="s">
        <v>741</v>
      </c>
      <c r="E424" s="11"/>
      <c r="F424" s="12" t="s">
        <v>746</v>
      </c>
      <c r="G424" s="13">
        <v>1</v>
      </c>
      <c r="H424" s="11" t="s">
        <v>25</v>
      </c>
      <c r="I424" s="14">
        <v>760</v>
      </c>
      <c r="J424" s="10"/>
      <c r="K424" s="14">
        <v>760</v>
      </c>
      <c r="L424" s="2" t="s">
        <v>743</v>
      </c>
      <c r="M424" s="16">
        <v>46217</v>
      </c>
      <c r="N424" s="17">
        <v>46220</v>
      </c>
      <c r="O424" s="7">
        <v>46217</v>
      </c>
      <c r="P424" s="18">
        <f t="shared" si="12"/>
        <v>0</v>
      </c>
      <c r="Q424" s="18">
        <f t="shared" si="13"/>
        <v>3</v>
      </c>
    </row>
    <row r="425" spans="1:17">
      <c r="A425" s="9">
        <v>424</v>
      </c>
      <c r="B425" s="10" t="s">
        <v>740</v>
      </c>
      <c r="C425" s="11"/>
      <c r="D425" s="10" t="s">
        <v>741</v>
      </c>
      <c r="E425" s="11"/>
      <c r="F425" s="12" t="s">
        <v>747</v>
      </c>
      <c r="G425" s="13">
        <v>1</v>
      </c>
      <c r="H425" s="11" t="s">
        <v>25</v>
      </c>
      <c r="I425" s="14">
        <v>680</v>
      </c>
      <c r="J425" s="10"/>
      <c r="K425" s="14">
        <v>680</v>
      </c>
      <c r="L425" s="2" t="s">
        <v>743</v>
      </c>
      <c r="M425" s="16">
        <v>46217</v>
      </c>
      <c r="N425" s="17">
        <v>46220</v>
      </c>
      <c r="O425" s="7">
        <v>46217</v>
      </c>
      <c r="P425" s="18">
        <f t="shared" si="12"/>
        <v>0</v>
      </c>
      <c r="Q425" s="18">
        <f t="shared" si="13"/>
        <v>3</v>
      </c>
    </row>
    <row r="426" spans="1:17">
      <c r="A426" s="9">
        <v>425</v>
      </c>
      <c r="B426" s="10" t="s">
        <v>740</v>
      </c>
      <c r="C426" s="11"/>
      <c r="D426" s="10" t="s">
        <v>741</v>
      </c>
      <c r="E426" s="11"/>
      <c r="F426" s="12" t="s">
        <v>748</v>
      </c>
      <c r="G426" s="13">
        <v>1</v>
      </c>
      <c r="H426" s="11" t="s">
        <v>25</v>
      </c>
      <c r="I426" s="14">
        <v>650</v>
      </c>
      <c r="J426" s="10"/>
      <c r="K426" s="14">
        <v>650</v>
      </c>
      <c r="L426" s="2" t="s">
        <v>743</v>
      </c>
      <c r="M426" s="16">
        <v>46217</v>
      </c>
      <c r="N426" s="17">
        <v>46220</v>
      </c>
      <c r="O426" s="7">
        <v>46217</v>
      </c>
      <c r="P426" s="18">
        <f t="shared" si="12"/>
        <v>0</v>
      </c>
      <c r="Q426" s="18">
        <f t="shared" si="13"/>
        <v>3</v>
      </c>
    </row>
    <row r="427" spans="1:17">
      <c r="A427" s="9">
        <v>426</v>
      </c>
      <c r="B427" s="10" t="s">
        <v>740</v>
      </c>
      <c r="C427" s="11"/>
      <c r="D427" s="10" t="s">
        <v>741</v>
      </c>
      <c r="E427" s="11"/>
      <c r="F427" s="12" t="s">
        <v>749</v>
      </c>
      <c r="G427" s="13">
        <v>1</v>
      </c>
      <c r="H427" s="11" t="s">
        <v>25</v>
      </c>
      <c r="I427" s="14">
        <v>200</v>
      </c>
      <c r="J427" s="10"/>
      <c r="K427" s="14">
        <v>200</v>
      </c>
      <c r="L427" s="2" t="s">
        <v>743</v>
      </c>
      <c r="M427" s="16">
        <v>46217</v>
      </c>
      <c r="N427" s="17">
        <v>46220</v>
      </c>
      <c r="O427" s="7">
        <v>46217</v>
      </c>
      <c r="P427" s="18">
        <f t="shared" si="12"/>
        <v>0</v>
      </c>
      <c r="Q427" s="18">
        <f t="shared" si="13"/>
        <v>3</v>
      </c>
    </row>
    <row r="428" spans="1:17">
      <c r="A428" s="9">
        <v>427</v>
      </c>
      <c r="B428" s="10" t="s">
        <v>740</v>
      </c>
      <c r="C428" s="11"/>
      <c r="D428" s="10" t="s">
        <v>741</v>
      </c>
      <c r="E428" s="11"/>
      <c r="F428" s="12" t="s">
        <v>750</v>
      </c>
      <c r="G428" s="13">
        <v>1</v>
      </c>
      <c r="H428" s="11" t="s">
        <v>25</v>
      </c>
      <c r="I428" s="14">
        <v>200</v>
      </c>
      <c r="J428" s="10"/>
      <c r="K428" s="14">
        <v>200</v>
      </c>
      <c r="L428" s="2" t="s">
        <v>743</v>
      </c>
      <c r="M428" s="16">
        <v>46217</v>
      </c>
      <c r="N428" s="17">
        <v>46220</v>
      </c>
      <c r="O428" s="7">
        <v>46217</v>
      </c>
      <c r="P428" s="18">
        <f t="shared" si="12"/>
        <v>0</v>
      </c>
      <c r="Q428" s="18">
        <f t="shared" si="13"/>
        <v>3</v>
      </c>
    </row>
    <row r="429" spans="1:17">
      <c r="A429" s="9">
        <v>428</v>
      </c>
      <c r="B429" s="10" t="s">
        <v>740</v>
      </c>
      <c r="C429" s="11"/>
      <c r="D429" s="10" t="s">
        <v>741</v>
      </c>
      <c r="E429" s="11"/>
      <c r="F429" s="12" t="s">
        <v>751</v>
      </c>
      <c r="G429" s="13">
        <v>5</v>
      </c>
      <c r="H429" s="11" t="s">
        <v>214</v>
      </c>
      <c r="I429" s="14">
        <v>10</v>
      </c>
      <c r="J429" s="10"/>
      <c r="K429" s="14">
        <v>50</v>
      </c>
      <c r="L429" s="2" t="s">
        <v>743</v>
      </c>
      <c r="M429" s="16">
        <v>46217</v>
      </c>
      <c r="N429" s="17">
        <v>46220</v>
      </c>
      <c r="O429" s="7">
        <v>46217</v>
      </c>
      <c r="P429" s="18">
        <f t="shared" si="12"/>
        <v>0</v>
      </c>
      <c r="Q429" s="18">
        <f t="shared" si="13"/>
        <v>3</v>
      </c>
    </row>
    <row r="430" spans="1:17">
      <c r="A430" s="9">
        <v>429</v>
      </c>
      <c r="B430" s="10" t="s">
        <v>740</v>
      </c>
      <c r="C430" s="11"/>
      <c r="D430" s="10" t="s">
        <v>741</v>
      </c>
      <c r="E430" s="11"/>
      <c r="F430" s="12" t="s">
        <v>752</v>
      </c>
      <c r="G430" s="13">
        <v>5</v>
      </c>
      <c r="H430" s="11" t="s">
        <v>25</v>
      </c>
      <c r="I430" s="14">
        <v>30</v>
      </c>
      <c r="J430" s="10"/>
      <c r="K430" s="14">
        <v>150</v>
      </c>
      <c r="L430" s="2" t="s">
        <v>743</v>
      </c>
      <c r="M430" s="16">
        <v>46217</v>
      </c>
      <c r="N430" s="17">
        <v>46220</v>
      </c>
      <c r="O430" s="7">
        <v>46217</v>
      </c>
      <c r="P430" s="18">
        <f t="shared" si="12"/>
        <v>0</v>
      </c>
      <c r="Q430" s="18">
        <f t="shared" si="13"/>
        <v>3</v>
      </c>
    </row>
    <row r="431" spans="1:17">
      <c r="A431" s="9">
        <v>430</v>
      </c>
      <c r="B431" s="10" t="s">
        <v>740</v>
      </c>
      <c r="C431" s="11"/>
      <c r="D431" s="10" t="s">
        <v>741</v>
      </c>
      <c r="E431" s="11"/>
      <c r="F431" s="12" t="s">
        <v>753</v>
      </c>
      <c r="G431" s="13">
        <v>1</v>
      </c>
      <c r="H431" s="11" t="s">
        <v>224</v>
      </c>
      <c r="I431" s="14">
        <v>30</v>
      </c>
      <c r="J431" s="10"/>
      <c r="K431" s="14">
        <v>30</v>
      </c>
      <c r="L431" s="2" t="s">
        <v>743</v>
      </c>
      <c r="M431" s="16">
        <v>46217</v>
      </c>
      <c r="N431" s="17">
        <v>46220</v>
      </c>
      <c r="O431" s="7">
        <v>46217</v>
      </c>
      <c r="P431" s="18">
        <f t="shared" si="12"/>
        <v>0</v>
      </c>
      <c r="Q431" s="18">
        <f t="shared" si="13"/>
        <v>3</v>
      </c>
    </row>
    <row r="432" spans="1:17">
      <c r="A432" s="9">
        <v>431</v>
      </c>
      <c r="B432" s="10" t="s">
        <v>740</v>
      </c>
      <c r="C432" s="11"/>
      <c r="D432" s="10" t="s">
        <v>741</v>
      </c>
      <c r="E432" s="11"/>
      <c r="F432" s="12" t="s">
        <v>754</v>
      </c>
      <c r="G432" s="13">
        <v>1</v>
      </c>
      <c r="H432" s="11" t="s">
        <v>25</v>
      </c>
      <c r="I432" s="14">
        <v>140</v>
      </c>
      <c r="J432" s="10"/>
      <c r="K432" s="14">
        <v>140</v>
      </c>
      <c r="L432" s="2" t="s">
        <v>743</v>
      </c>
      <c r="M432" s="16">
        <v>46217</v>
      </c>
      <c r="N432" s="17">
        <v>46220</v>
      </c>
      <c r="O432" s="7">
        <v>46217</v>
      </c>
      <c r="P432" s="18">
        <f t="shared" si="12"/>
        <v>0</v>
      </c>
      <c r="Q432" s="18">
        <f t="shared" si="13"/>
        <v>3</v>
      </c>
    </row>
    <row r="433" spans="1:17">
      <c r="A433" s="9">
        <v>432</v>
      </c>
      <c r="B433" s="10" t="s">
        <v>740</v>
      </c>
      <c r="C433" s="11"/>
      <c r="D433" s="10" t="s">
        <v>741</v>
      </c>
      <c r="E433" s="11"/>
      <c r="F433" s="12" t="s">
        <v>755</v>
      </c>
      <c r="G433" s="13">
        <v>1</v>
      </c>
      <c r="H433" s="11" t="s">
        <v>25</v>
      </c>
      <c r="I433" s="14">
        <v>210</v>
      </c>
      <c r="J433" s="10"/>
      <c r="K433" s="14">
        <v>210</v>
      </c>
      <c r="L433" s="2" t="s">
        <v>743</v>
      </c>
      <c r="M433" s="16">
        <v>46217</v>
      </c>
      <c r="N433" s="17">
        <v>46220</v>
      </c>
      <c r="O433" s="7">
        <v>46217</v>
      </c>
      <c r="P433" s="18">
        <f t="shared" si="12"/>
        <v>0</v>
      </c>
      <c r="Q433" s="18">
        <f t="shared" si="13"/>
        <v>3</v>
      </c>
    </row>
    <row r="434" spans="1:17">
      <c r="A434" s="9">
        <v>433</v>
      </c>
      <c r="B434" s="10" t="s">
        <v>740</v>
      </c>
      <c r="C434" s="11"/>
      <c r="D434" s="10" t="s">
        <v>741</v>
      </c>
      <c r="E434" s="11"/>
      <c r="F434" s="12" t="s">
        <v>756</v>
      </c>
      <c r="G434" s="13">
        <v>2</v>
      </c>
      <c r="H434" s="11" t="s">
        <v>25</v>
      </c>
      <c r="I434" s="14">
        <v>130</v>
      </c>
      <c r="J434" s="10"/>
      <c r="K434" s="14">
        <v>260</v>
      </c>
      <c r="L434" s="2" t="s">
        <v>743</v>
      </c>
      <c r="M434" s="16">
        <v>46217</v>
      </c>
      <c r="N434" s="17">
        <v>46220</v>
      </c>
      <c r="O434" s="7">
        <v>46217</v>
      </c>
      <c r="P434" s="18">
        <f t="shared" si="12"/>
        <v>0</v>
      </c>
      <c r="Q434" s="18">
        <f t="shared" si="13"/>
        <v>3</v>
      </c>
    </row>
    <row r="435" spans="1:17">
      <c r="A435" s="9">
        <v>434</v>
      </c>
      <c r="B435" s="10" t="s">
        <v>740</v>
      </c>
      <c r="C435" s="11"/>
      <c r="D435" s="10" t="s">
        <v>741</v>
      </c>
      <c r="E435" s="11"/>
      <c r="F435" s="12" t="s">
        <v>757</v>
      </c>
      <c r="G435" s="13">
        <v>1</v>
      </c>
      <c r="H435" s="11" t="s">
        <v>25</v>
      </c>
      <c r="I435" s="14">
        <v>140</v>
      </c>
      <c r="J435" s="10"/>
      <c r="K435" s="14">
        <v>140</v>
      </c>
      <c r="L435" s="2" t="s">
        <v>743</v>
      </c>
      <c r="M435" s="16">
        <v>46217</v>
      </c>
      <c r="N435" s="17">
        <v>46220</v>
      </c>
      <c r="O435" s="7">
        <v>46217</v>
      </c>
      <c r="P435" s="18">
        <f t="shared" si="12"/>
        <v>0</v>
      </c>
      <c r="Q435" s="18">
        <f t="shared" si="13"/>
        <v>3</v>
      </c>
    </row>
    <row r="436" spans="1:17">
      <c r="A436" s="9">
        <v>435</v>
      </c>
      <c r="B436" s="10" t="s">
        <v>740</v>
      </c>
      <c r="C436" s="11"/>
      <c r="D436" s="10" t="s">
        <v>741</v>
      </c>
      <c r="E436" s="11"/>
      <c r="F436" s="12" t="s">
        <v>758</v>
      </c>
      <c r="G436" s="13">
        <v>1</v>
      </c>
      <c r="H436" s="11" t="s">
        <v>25</v>
      </c>
      <c r="I436" s="14">
        <v>100</v>
      </c>
      <c r="J436" s="10"/>
      <c r="K436" s="14">
        <v>100</v>
      </c>
      <c r="L436" s="2" t="s">
        <v>743</v>
      </c>
      <c r="M436" s="16">
        <v>46217</v>
      </c>
      <c r="N436" s="17">
        <v>46220</v>
      </c>
      <c r="O436" s="7">
        <v>46217</v>
      </c>
      <c r="P436" s="18">
        <f t="shared" si="12"/>
        <v>0</v>
      </c>
      <c r="Q436" s="18">
        <f t="shared" si="13"/>
        <v>3</v>
      </c>
    </row>
    <row r="437" spans="1:17">
      <c r="A437" s="9">
        <v>436</v>
      </c>
      <c r="B437" s="10" t="s">
        <v>740</v>
      </c>
      <c r="C437" s="11"/>
      <c r="D437" s="10" t="s">
        <v>741</v>
      </c>
      <c r="E437" s="11"/>
      <c r="F437" s="12" t="s">
        <v>759</v>
      </c>
      <c r="G437" s="13">
        <v>30</v>
      </c>
      <c r="H437" s="11" t="s">
        <v>25</v>
      </c>
      <c r="I437" s="14">
        <v>0.7</v>
      </c>
      <c r="J437" s="10"/>
      <c r="K437" s="14">
        <v>21</v>
      </c>
      <c r="L437" s="2" t="s">
        <v>743</v>
      </c>
      <c r="M437" s="16">
        <v>46217</v>
      </c>
      <c r="N437" s="17">
        <v>46220</v>
      </c>
      <c r="O437" s="7">
        <v>46217</v>
      </c>
      <c r="P437" s="18">
        <f t="shared" si="12"/>
        <v>0</v>
      </c>
      <c r="Q437" s="18">
        <f t="shared" si="13"/>
        <v>3</v>
      </c>
    </row>
    <row r="438" spans="1:17">
      <c r="A438" s="9">
        <v>437</v>
      </c>
      <c r="B438" s="10" t="s">
        <v>740</v>
      </c>
      <c r="C438" s="11"/>
      <c r="D438" s="10" t="s">
        <v>741</v>
      </c>
      <c r="E438" s="11"/>
      <c r="F438" s="12" t="s">
        <v>760</v>
      </c>
      <c r="G438" s="13">
        <v>30</v>
      </c>
      <c r="H438" s="11" t="s">
        <v>25</v>
      </c>
      <c r="I438" s="14">
        <v>1.8</v>
      </c>
      <c r="J438" s="10"/>
      <c r="K438" s="14">
        <v>54</v>
      </c>
      <c r="L438" s="2" t="s">
        <v>743</v>
      </c>
      <c r="M438" s="16">
        <v>46217</v>
      </c>
      <c r="N438" s="17">
        <v>46220</v>
      </c>
      <c r="O438" s="7">
        <v>46217</v>
      </c>
      <c r="P438" s="18">
        <f t="shared" si="12"/>
        <v>0</v>
      </c>
      <c r="Q438" s="18">
        <f t="shared" si="13"/>
        <v>3</v>
      </c>
    </row>
    <row r="439" spans="1:17">
      <c r="A439" s="9">
        <v>438</v>
      </c>
      <c r="B439" s="10" t="s">
        <v>740</v>
      </c>
      <c r="C439" s="11"/>
      <c r="D439" s="10" t="s">
        <v>741</v>
      </c>
      <c r="E439" s="11"/>
      <c r="F439" s="12" t="s">
        <v>761</v>
      </c>
      <c r="G439" s="13">
        <v>1</v>
      </c>
      <c r="H439" s="11" t="s">
        <v>25</v>
      </c>
      <c r="I439" s="14">
        <v>580</v>
      </c>
      <c r="J439" s="10"/>
      <c r="K439" s="14">
        <v>580</v>
      </c>
      <c r="L439" s="2" t="s">
        <v>743</v>
      </c>
      <c r="M439" s="16">
        <v>46217</v>
      </c>
      <c r="N439" s="17">
        <v>46220</v>
      </c>
      <c r="O439" s="7">
        <v>46217</v>
      </c>
      <c r="P439" s="18">
        <f t="shared" si="12"/>
        <v>0</v>
      </c>
      <c r="Q439" s="18">
        <f t="shared" si="13"/>
        <v>3</v>
      </c>
    </row>
    <row r="440" spans="1:17">
      <c r="A440" s="9">
        <v>439</v>
      </c>
      <c r="B440" s="10" t="s">
        <v>254</v>
      </c>
      <c r="C440" s="11"/>
      <c r="D440" s="10" t="s">
        <v>762</v>
      </c>
      <c r="E440" s="11"/>
      <c r="F440" s="12" t="s">
        <v>763</v>
      </c>
      <c r="G440" s="13">
        <v>24</v>
      </c>
      <c r="H440" s="11" t="s">
        <v>764</v>
      </c>
      <c r="I440" s="14">
        <v>45.84</v>
      </c>
      <c r="J440" s="15">
        <v>0.16</v>
      </c>
      <c r="K440" s="14">
        <v>1100</v>
      </c>
      <c r="L440" s="2" t="s">
        <v>765</v>
      </c>
      <c r="M440" s="16">
        <v>46219</v>
      </c>
      <c r="N440" s="17">
        <v>46226</v>
      </c>
      <c r="O440" s="7">
        <v>46223</v>
      </c>
      <c r="P440" s="18">
        <f t="shared" si="12"/>
        <v>4</v>
      </c>
      <c r="Q440" s="18">
        <f t="shared" si="13"/>
        <v>3</v>
      </c>
    </row>
    <row r="441" spans="1:17">
      <c r="A441" s="9">
        <v>440</v>
      </c>
      <c r="B441" s="10" t="s">
        <v>254</v>
      </c>
      <c r="C441" s="11"/>
      <c r="D441" s="10" t="s">
        <v>766</v>
      </c>
      <c r="E441" s="11"/>
      <c r="F441" s="12" t="s">
        <v>767</v>
      </c>
      <c r="G441" s="13">
        <v>25</v>
      </c>
      <c r="H441" s="11" t="s">
        <v>688</v>
      </c>
      <c r="I441" s="14">
        <v>12</v>
      </c>
      <c r="J441" s="10"/>
      <c r="K441" s="14">
        <v>300</v>
      </c>
      <c r="L441" s="2" t="s">
        <v>768</v>
      </c>
      <c r="M441" s="16">
        <v>46219</v>
      </c>
      <c r="N441" s="17">
        <v>46226</v>
      </c>
      <c r="O441" s="7">
        <v>46223</v>
      </c>
      <c r="P441" s="18">
        <f t="shared" si="12"/>
        <v>4</v>
      </c>
      <c r="Q441" s="18">
        <f t="shared" si="13"/>
        <v>3</v>
      </c>
    </row>
    <row r="442" spans="1:17">
      <c r="A442" s="9">
        <v>441</v>
      </c>
      <c r="B442" s="10" t="s">
        <v>254</v>
      </c>
      <c r="C442" s="11"/>
      <c r="D442" s="10" t="s">
        <v>766</v>
      </c>
      <c r="E442" s="11"/>
      <c r="F442" s="12" t="s">
        <v>769</v>
      </c>
      <c r="G442" s="13">
        <v>20</v>
      </c>
      <c r="H442" s="11" t="s">
        <v>688</v>
      </c>
      <c r="I442" s="14">
        <v>12</v>
      </c>
      <c r="J442" s="10"/>
      <c r="K442" s="14">
        <v>240</v>
      </c>
      <c r="L442" s="2" t="s">
        <v>768</v>
      </c>
      <c r="M442" s="16">
        <v>46219</v>
      </c>
      <c r="N442" s="17">
        <v>46226</v>
      </c>
      <c r="O442" s="7">
        <v>46223</v>
      </c>
      <c r="P442" s="18">
        <f t="shared" si="12"/>
        <v>4</v>
      </c>
      <c r="Q442" s="18">
        <f t="shared" si="13"/>
        <v>3</v>
      </c>
    </row>
    <row r="443" spans="1:17">
      <c r="A443" s="9">
        <v>442</v>
      </c>
      <c r="B443" s="10" t="s">
        <v>254</v>
      </c>
      <c r="C443" s="11"/>
      <c r="D443" s="10" t="s">
        <v>64</v>
      </c>
      <c r="E443" s="11"/>
      <c r="F443" s="12" t="s">
        <v>770</v>
      </c>
      <c r="G443" s="13">
        <v>2</v>
      </c>
      <c r="H443" s="11" t="s">
        <v>25</v>
      </c>
      <c r="I443" s="14">
        <v>2200</v>
      </c>
      <c r="J443" s="10"/>
      <c r="K443" s="14">
        <v>4400</v>
      </c>
      <c r="L443" s="2" t="s">
        <v>771</v>
      </c>
      <c r="M443" s="16">
        <v>46219</v>
      </c>
      <c r="N443" s="17">
        <v>46226</v>
      </c>
      <c r="O443" s="7">
        <v>46223</v>
      </c>
      <c r="P443" s="18">
        <f t="shared" si="12"/>
        <v>4</v>
      </c>
      <c r="Q443" s="18">
        <f t="shared" si="13"/>
        <v>3</v>
      </c>
    </row>
    <row r="444" spans="1:17">
      <c r="A444" s="9">
        <v>443</v>
      </c>
      <c r="B444" s="10" t="s">
        <v>772</v>
      </c>
      <c r="C444" s="11"/>
      <c r="D444" s="10" t="s">
        <v>773</v>
      </c>
      <c r="E444" s="11"/>
      <c r="F444" s="12" t="s">
        <v>774</v>
      </c>
      <c r="G444" s="13">
        <v>3</v>
      </c>
      <c r="H444" s="11" t="s">
        <v>25</v>
      </c>
      <c r="I444" s="14">
        <v>19200</v>
      </c>
      <c r="J444" s="15">
        <v>2880</v>
      </c>
      <c r="K444" s="14">
        <f>57600-J444</f>
        <v>54720</v>
      </c>
      <c r="L444" s="2" t="s">
        <v>775</v>
      </c>
      <c r="M444" s="16">
        <v>46224</v>
      </c>
      <c r="N444" s="17">
        <v>46237</v>
      </c>
      <c r="O444" s="7">
        <v>46234</v>
      </c>
      <c r="P444" s="18">
        <f t="shared" si="12"/>
        <v>10</v>
      </c>
      <c r="Q444" s="18">
        <f t="shared" si="13"/>
        <v>3</v>
      </c>
    </row>
    <row r="445" spans="1:17">
      <c r="A445" s="9">
        <v>444</v>
      </c>
      <c r="B445" s="10" t="s">
        <v>772</v>
      </c>
      <c r="C445" s="11"/>
      <c r="D445" s="10" t="s">
        <v>773</v>
      </c>
      <c r="E445" s="11"/>
      <c r="F445" s="12" t="s">
        <v>776</v>
      </c>
      <c r="G445" s="13">
        <v>3</v>
      </c>
      <c r="H445" s="11" t="s">
        <v>25</v>
      </c>
      <c r="I445" s="14">
        <v>2000</v>
      </c>
      <c r="J445" s="15">
        <v>300</v>
      </c>
      <c r="K445" s="14">
        <f>6000-J445</f>
        <v>5700</v>
      </c>
      <c r="L445" s="2" t="s">
        <v>775</v>
      </c>
      <c r="M445" s="16">
        <v>46224</v>
      </c>
      <c r="N445" s="17">
        <v>46237</v>
      </c>
      <c r="O445" s="7">
        <v>46234</v>
      </c>
      <c r="P445" s="18">
        <f t="shared" si="12"/>
        <v>10</v>
      </c>
      <c r="Q445" s="18">
        <f t="shared" si="13"/>
        <v>3</v>
      </c>
    </row>
    <row r="446" spans="1:17">
      <c r="A446" s="9">
        <v>445</v>
      </c>
      <c r="B446" s="10" t="s">
        <v>772</v>
      </c>
      <c r="C446" s="11"/>
      <c r="D446" s="10" t="s">
        <v>773</v>
      </c>
      <c r="E446" s="11"/>
      <c r="F446" s="12" t="s">
        <v>777</v>
      </c>
      <c r="G446" s="13">
        <v>6</v>
      </c>
      <c r="H446" s="11" t="s">
        <v>25</v>
      </c>
      <c r="I446" s="14">
        <v>500</v>
      </c>
      <c r="J446" s="15">
        <v>150</v>
      </c>
      <c r="K446" s="14">
        <f>3000-J446</f>
        <v>2850</v>
      </c>
      <c r="L446" s="2" t="s">
        <v>775</v>
      </c>
      <c r="M446" s="16">
        <v>46224</v>
      </c>
      <c r="N446" s="17">
        <v>46237</v>
      </c>
      <c r="O446" s="7">
        <v>46234</v>
      </c>
      <c r="P446" s="18">
        <f t="shared" si="12"/>
        <v>10</v>
      </c>
      <c r="Q446" s="18">
        <f t="shared" si="13"/>
        <v>3</v>
      </c>
    </row>
    <row r="447" spans="1:17">
      <c r="A447" s="9">
        <v>446</v>
      </c>
      <c r="B447" s="10" t="s">
        <v>772</v>
      </c>
      <c r="C447" s="11"/>
      <c r="D447" s="10" t="s">
        <v>773</v>
      </c>
      <c r="E447" s="11"/>
      <c r="F447" s="12" t="s">
        <v>778</v>
      </c>
      <c r="G447" s="13">
        <v>6</v>
      </c>
      <c r="H447" s="11" t="s">
        <v>25</v>
      </c>
      <c r="I447" s="14">
        <v>400</v>
      </c>
      <c r="J447" s="15">
        <v>120</v>
      </c>
      <c r="K447" s="14">
        <f>2400-J447</f>
        <v>2280</v>
      </c>
      <c r="L447" s="2" t="s">
        <v>775</v>
      </c>
      <c r="M447" s="16">
        <v>46224</v>
      </c>
      <c r="N447" s="17">
        <v>46237</v>
      </c>
      <c r="O447" s="7">
        <v>46234</v>
      </c>
      <c r="P447" s="18">
        <f t="shared" si="12"/>
        <v>10</v>
      </c>
      <c r="Q447" s="18">
        <f t="shared" si="13"/>
        <v>3</v>
      </c>
    </row>
    <row r="448" spans="1:17">
      <c r="A448" s="9">
        <v>447</v>
      </c>
      <c r="B448" s="10" t="s">
        <v>779</v>
      </c>
      <c r="C448" s="11"/>
      <c r="D448" s="10" t="s">
        <v>564</v>
      </c>
      <c r="E448" s="11"/>
      <c r="F448" s="12" t="s">
        <v>780</v>
      </c>
      <c r="G448" s="13">
        <v>5</v>
      </c>
      <c r="H448" s="11" t="s">
        <v>25</v>
      </c>
      <c r="I448" s="14">
        <v>5000</v>
      </c>
      <c r="J448" s="10"/>
      <c r="K448" s="14">
        <v>25000</v>
      </c>
      <c r="L448" s="2" t="s">
        <v>781</v>
      </c>
      <c r="M448" s="16">
        <v>46205</v>
      </c>
      <c r="N448" s="17">
        <v>46209</v>
      </c>
      <c r="O448" s="7">
        <v>46205</v>
      </c>
      <c r="P448" s="18">
        <f t="shared" si="12"/>
        <v>0</v>
      </c>
      <c r="Q448" s="18">
        <f t="shared" si="13"/>
        <v>4</v>
      </c>
    </row>
    <row r="449" spans="1:17">
      <c r="A449" s="9">
        <v>448</v>
      </c>
      <c r="B449" s="10" t="s">
        <v>779</v>
      </c>
      <c r="C449" s="11"/>
      <c r="D449" s="10" t="s">
        <v>564</v>
      </c>
      <c r="E449" s="11"/>
      <c r="F449" s="12" t="s">
        <v>782</v>
      </c>
      <c r="G449" s="13">
        <v>3</v>
      </c>
      <c r="H449" s="11" t="s">
        <v>25</v>
      </c>
      <c r="I449" s="14">
        <v>5000</v>
      </c>
      <c r="J449" s="10"/>
      <c r="K449" s="14">
        <v>15000</v>
      </c>
      <c r="L449" s="2" t="s">
        <v>781</v>
      </c>
      <c r="M449" s="16">
        <v>46205</v>
      </c>
      <c r="N449" s="17">
        <v>46209</v>
      </c>
      <c r="O449" s="7">
        <v>46205</v>
      </c>
      <c r="P449" s="18">
        <f t="shared" si="12"/>
        <v>0</v>
      </c>
      <c r="Q449" s="18">
        <f t="shared" si="13"/>
        <v>4</v>
      </c>
    </row>
    <row r="450" spans="1:17">
      <c r="A450" s="9">
        <v>449</v>
      </c>
      <c r="B450" s="10" t="s">
        <v>779</v>
      </c>
      <c r="C450" s="11"/>
      <c r="D450" s="10" t="s">
        <v>564</v>
      </c>
      <c r="E450" s="11"/>
      <c r="F450" s="12" t="s">
        <v>783</v>
      </c>
      <c r="G450" s="13">
        <v>1</v>
      </c>
      <c r="H450" s="11" t="s">
        <v>25</v>
      </c>
      <c r="I450" s="14">
        <v>15000</v>
      </c>
      <c r="J450" s="10"/>
      <c r="K450" s="14">
        <v>15000</v>
      </c>
      <c r="L450" s="2" t="s">
        <v>781</v>
      </c>
      <c r="M450" s="16">
        <v>46205</v>
      </c>
      <c r="N450" s="17">
        <v>46209</v>
      </c>
      <c r="O450" s="7">
        <v>46205</v>
      </c>
      <c r="P450" s="18">
        <f t="shared" ref="P450:P513" si="14">O450-M450</f>
        <v>0</v>
      </c>
      <c r="Q450" s="18">
        <f t="shared" ref="Q450:Q513" si="15">N450-O450</f>
        <v>4</v>
      </c>
    </row>
    <row r="451" spans="1:17">
      <c r="A451" s="9">
        <v>450</v>
      </c>
      <c r="B451" s="10" t="s">
        <v>784</v>
      </c>
      <c r="C451" s="11"/>
      <c r="D451" s="10" t="s">
        <v>785</v>
      </c>
      <c r="E451" s="11"/>
      <c r="F451" s="12" t="s">
        <v>786</v>
      </c>
      <c r="G451" s="13">
        <v>1</v>
      </c>
      <c r="H451" s="11" t="s">
        <v>25</v>
      </c>
      <c r="I451" s="14">
        <v>38050</v>
      </c>
      <c r="J451" s="15">
        <v>550</v>
      </c>
      <c r="K451" s="14">
        <v>37500</v>
      </c>
      <c r="L451" s="2" t="s">
        <v>787</v>
      </c>
      <c r="M451" s="16">
        <v>46209</v>
      </c>
      <c r="N451" s="17">
        <v>46216</v>
      </c>
      <c r="O451" s="7">
        <v>46212</v>
      </c>
      <c r="P451" s="18">
        <f t="shared" si="14"/>
        <v>3</v>
      </c>
      <c r="Q451" s="18">
        <f t="shared" si="15"/>
        <v>4</v>
      </c>
    </row>
    <row r="452" spans="1:17">
      <c r="A452" s="9">
        <v>451</v>
      </c>
      <c r="B452" s="10" t="s">
        <v>788</v>
      </c>
      <c r="C452" s="11"/>
      <c r="D452" s="10" t="s">
        <v>789</v>
      </c>
      <c r="E452" s="11"/>
      <c r="F452" s="12" t="s">
        <v>790</v>
      </c>
      <c r="G452" s="13">
        <v>1</v>
      </c>
      <c r="H452" s="11" t="s">
        <v>665</v>
      </c>
      <c r="I452" s="14">
        <v>1800</v>
      </c>
      <c r="J452" s="10"/>
      <c r="K452" s="14">
        <v>1800</v>
      </c>
      <c r="L452" s="2" t="s">
        <v>791</v>
      </c>
      <c r="M452" s="16">
        <v>46217</v>
      </c>
      <c r="N452" s="17">
        <v>46220</v>
      </c>
      <c r="O452" s="7">
        <v>46216</v>
      </c>
      <c r="P452" s="18">
        <f t="shared" si="14"/>
        <v>-1</v>
      </c>
      <c r="Q452" s="18">
        <f t="shared" si="15"/>
        <v>4</v>
      </c>
    </row>
    <row r="453" spans="1:17">
      <c r="A453" s="9">
        <v>452</v>
      </c>
      <c r="B453" s="32" t="s">
        <v>792</v>
      </c>
      <c r="C453" s="33"/>
      <c r="D453" s="32" t="s">
        <v>793</v>
      </c>
      <c r="E453" s="33" t="s">
        <v>622</v>
      </c>
      <c r="F453" s="32" t="s">
        <v>794</v>
      </c>
      <c r="G453" s="34">
        <v>1</v>
      </c>
      <c r="H453" s="33" t="s">
        <v>56</v>
      </c>
      <c r="I453" s="35">
        <v>2594</v>
      </c>
      <c r="J453" s="35">
        <v>0</v>
      </c>
      <c r="K453" s="35">
        <v>2594</v>
      </c>
      <c r="L453" s="36" t="s">
        <v>795</v>
      </c>
      <c r="M453" s="37">
        <v>46227</v>
      </c>
      <c r="N453" s="38">
        <v>46230</v>
      </c>
      <c r="O453" s="7">
        <v>46226</v>
      </c>
      <c r="P453" s="18">
        <f t="shared" si="14"/>
        <v>-1</v>
      </c>
      <c r="Q453" s="18">
        <f t="shared" si="15"/>
        <v>4</v>
      </c>
    </row>
    <row r="454" spans="1:17">
      <c r="A454" s="9">
        <v>453</v>
      </c>
      <c r="B454" s="32" t="s">
        <v>796</v>
      </c>
      <c r="C454" s="33" t="s">
        <v>797</v>
      </c>
      <c r="D454" s="32" t="s">
        <v>327</v>
      </c>
      <c r="E454" s="33" t="s">
        <v>622</v>
      </c>
      <c r="F454" s="32" t="s">
        <v>798</v>
      </c>
      <c r="G454" s="34">
        <v>25</v>
      </c>
      <c r="H454" s="33" t="s">
        <v>25</v>
      </c>
      <c r="I454" s="35">
        <v>400</v>
      </c>
      <c r="J454" s="35">
        <v>726.43</v>
      </c>
      <c r="K454" s="35">
        <v>9273.57</v>
      </c>
      <c r="L454" s="36" t="s">
        <v>799</v>
      </c>
      <c r="M454" s="37">
        <v>46226</v>
      </c>
      <c r="N454" s="38">
        <v>46230</v>
      </c>
      <c r="O454" s="7">
        <v>46226</v>
      </c>
      <c r="P454" s="18">
        <f t="shared" si="14"/>
        <v>0</v>
      </c>
      <c r="Q454" s="18">
        <f t="shared" si="15"/>
        <v>4</v>
      </c>
    </row>
    <row r="455" spans="1:17">
      <c r="A455" s="9">
        <v>454</v>
      </c>
      <c r="B455" s="32" t="s">
        <v>796</v>
      </c>
      <c r="C455" s="33" t="s">
        <v>797</v>
      </c>
      <c r="D455" s="32" t="s">
        <v>327</v>
      </c>
      <c r="E455" s="33" t="s">
        <v>622</v>
      </c>
      <c r="F455" s="32" t="s">
        <v>800</v>
      </c>
      <c r="G455" s="34">
        <v>1</v>
      </c>
      <c r="H455" s="33" t="s">
        <v>25</v>
      </c>
      <c r="I455" s="35">
        <v>250</v>
      </c>
      <c r="J455" s="35">
        <v>18.16</v>
      </c>
      <c r="K455" s="35">
        <v>231.84</v>
      </c>
      <c r="L455" s="36" t="s">
        <v>799</v>
      </c>
      <c r="M455" s="37">
        <v>46226</v>
      </c>
      <c r="N455" s="38">
        <v>46230</v>
      </c>
      <c r="O455" s="7">
        <v>46226</v>
      </c>
      <c r="P455" s="18">
        <f t="shared" si="14"/>
        <v>0</v>
      </c>
      <c r="Q455" s="18">
        <f t="shared" si="15"/>
        <v>4</v>
      </c>
    </row>
    <row r="456" spans="1:17">
      <c r="A456" s="9">
        <v>455</v>
      </c>
      <c r="B456" s="32" t="s">
        <v>796</v>
      </c>
      <c r="C456" s="33" t="s">
        <v>797</v>
      </c>
      <c r="D456" s="32" t="s">
        <v>327</v>
      </c>
      <c r="E456" s="33" t="s">
        <v>622</v>
      </c>
      <c r="F456" s="32" t="s">
        <v>801</v>
      </c>
      <c r="G456" s="34">
        <v>4</v>
      </c>
      <c r="H456" s="33" t="s">
        <v>25</v>
      </c>
      <c r="I456" s="35">
        <v>200</v>
      </c>
      <c r="J456" s="35">
        <v>58.11</v>
      </c>
      <c r="K456" s="35">
        <v>741.89</v>
      </c>
      <c r="L456" s="36" t="s">
        <v>799</v>
      </c>
      <c r="M456" s="37">
        <v>46226</v>
      </c>
      <c r="N456" s="38">
        <v>46230</v>
      </c>
      <c r="O456" s="7">
        <v>46226</v>
      </c>
      <c r="P456" s="18">
        <f t="shared" si="14"/>
        <v>0</v>
      </c>
      <c r="Q456" s="18">
        <f t="shared" si="15"/>
        <v>4</v>
      </c>
    </row>
    <row r="457" spans="1:17">
      <c r="A457" s="9">
        <v>456</v>
      </c>
      <c r="B457" s="32" t="s">
        <v>796</v>
      </c>
      <c r="C457" s="33" t="s">
        <v>797</v>
      </c>
      <c r="D457" s="32" t="s">
        <v>327</v>
      </c>
      <c r="E457" s="33" t="s">
        <v>622</v>
      </c>
      <c r="F457" s="32" t="s">
        <v>802</v>
      </c>
      <c r="G457" s="34">
        <v>2</v>
      </c>
      <c r="H457" s="33" t="s">
        <v>25</v>
      </c>
      <c r="I457" s="35">
        <v>1500</v>
      </c>
      <c r="J457" s="35">
        <v>217.93</v>
      </c>
      <c r="K457" s="35">
        <v>2782.07</v>
      </c>
      <c r="L457" s="36" t="s">
        <v>799</v>
      </c>
      <c r="M457" s="37">
        <v>46226</v>
      </c>
      <c r="N457" s="38">
        <v>46230</v>
      </c>
      <c r="O457" s="7">
        <v>46226</v>
      </c>
      <c r="P457" s="18">
        <f t="shared" si="14"/>
        <v>0</v>
      </c>
      <c r="Q457" s="18">
        <f t="shared" si="15"/>
        <v>4</v>
      </c>
    </row>
    <row r="458" spans="1:17">
      <c r="A458" s="9">
        <v>457</v>
      </c>
      <c r="B458" s="32" t="s">
        <v>796</v>
      </c>
      <c r="C458" s="33" t="s">
        <v>797</v>
      </c>
      <c r="D458" s="32" t="s">
        <v>327</v>
      </c>
      <c r="E458" s="33" t="s">
        <v>622</v>
      </c>
      <c r="F458" s="32" t="s">
        <v>803</v>
      </c>
      <c r="G458" s="34">
        <v>2</v>
      </c>
      <c r="H458" s="33" t="s">
        <v>25</v>
      </c>
      <c r="I458" s="35">
        <v>1900</v>
      </c>
      <c r="J458" s="35">
        <v>276.04000000000002</v>
      </c>
      <c r="K458" s="35">
        <v>3523.96</v>
      </c>
      <c r="L458" s="36" t="s">
        <v>799</v>
      </c>
      <c r="M458" s="37">
        <v>46226</v>
      </c>
      <c r="N458" s="38">
        <v>46230</v>
      </c>
      <c r="O458" s="7">
        <v>46226</v>
      </c>
      <c r="P458" s="18">
        <f t="shared" si="14"/>
        <v>0</v>
      </c>
      <c r="Q458" s="18">
        <f t="shared" si="15"/>
        <v>4</v>
      </c>
    </row>
    <row r="459" spans="1:17">
      <c r="A459" s="9">
        <v>458</v>
      </c>
      <c r="B459" s="32" t="s">
        <v>796</v>
      </c>
      <c r="C459" s="33" t="s">
        <v>797</v>
      </c>
      <c r="D459" s="32" t="s">
        <v>327</v>
      </c>
      <c r="E459" s="33" t="s">
        <v>622</v>
      </c>
      <c r="F459" s="32" t="s">
        <v>804</v>
      </c>
      <c r="G459" s="34">
        <v>1</v>
      </c>
      <c r="H459" s="33" t="s">
        <v>25</v>
      </c>
      <c r="I459" s="35">
        <v>400</v>
      </c>
      <c r="J459" s="35">
        <v>29.06</v>
      </c>
      <c r="K459" s="35">
        <v>370.94</v>
      </c>
      <c r="L459" s="36" t="s">
        <v>799</v>
      </c>
      <c r="M459" s="37">
        <v>46226</v>
      </c>
      <c r="N459" s="38">
        <v>46230</v>
      </c>
      <c r="O459" s="7">
        <v>46226</v>
      </c>
      <c r="P459" s="18">
        <f t="shared" si="14"/>
        <v>0</v>
      </c>
      <c r="Q459" s="18">
        <f t="shared" si="15"/>
        <v>4</v>
      </c>
    </row>
    <row r="460" spans="1:17">
      <c r="A460" s="9">
        <v>459</v>
      </c>
      <c r="B460" s="32" t="s">
        <v>796</v>
      </c>
      <c r="C460" s="33" t="s">
        <v>797</v>
      </c>
      <c r="D460" s="32" t="s">
        <v>327</v>
      </c>
      <c r="E460" s="33" t="s">
        <v>622</v>
      </c>
      <c r="F460" s="32" t="s">
        <v>805</v>
      </c>
      <c r="G460" s="34">
        <v>2</v>
      </c>
      <c r="H460" s="33" t="s">
        <v>25</v>
      </c>
      <c r="I460" s="35">
        <v>1900</v>
      </c>
      <c r="J460" s="35">
        <v>276.04000000000002</v>
      </c>
      <c r="K460" s="35">
        <v>3523.96</v>
      </c>
      <c r="L460" s="36" t="s">
        <v>799</v>
      </c>
      <c r="M460" s="37">
        <v>46226</v>
      </c>
      <c r="N460" s="38">
        <v>46230</v>
      </c>
      <c r="O460" s="7">
        <v>46226</v>
      </c>
      <c r="P460" s="18">
        <f t="shared" si="14"/>
        <v>0</v>
      </c>
      <c r="Q460" s="18">
        <f t="shared" si="15"/>
        <v>4</v>
      </c>
    </row>
    <row r="461" spans="1:17">
      <c r="A461" s="9">
        <v>460</v>
      </c>
      <c r="B461" s="32" t="s">
        <v>796</v>
      </c>
      <c r="C461" s="33" t="s">
        <v>797</v>
      </c>
      <c r="D461" s="32" t="s">
        <v>327</v>
      </c>
      <c r="E461" s="33" t="s">
        <v>622</v>
      </c>
      <c r="F461" s="32" t="s">
        <v>806</v>
      </c>
      <c r="G461" s="34">
        <v>1</v>
      </c>
      <c r="H461" s="33" t="s">
        <v>25</v>
      </c>
      <c r="I461" s="35">
        <v>1600</v>
      </c>
      <c r="J461" s="35">
        <v>116.23</v>
      </c>
      <c r="K461" s="35">
        <v>1483.77</v>
      </c>
      <c r="L461" s="36" t="s">
        <v>799</v>
      </c>
      <c r="M461" s="37">
        <v>46226</v>
      </c>
      <c r="N461" s="38">
        <v>46230</v>
      </c>
      <c r="O461" s="7">
        <v>46226</v>
      </c>
      <c r="P461" s="18">
        <f t="shared" si="14"/>
        <v>0</v>
      </c>
      <c r="Q461" s="18">
        <f t="shared" si="15"/>
        <v>4</v>
      </c>
    </row>
    <row r="462" spans="1:17">
      <c r="A462" s="9">
        <v>461</v>
      </c>
      <c r="B462" s="32" t="s">
        <v>796</v>
      </c>
      <c r="C462" s="33" t="s">
        <v>797</v>
      </c>
      <c r="D462" s="32" t="s">
        <v>327</v>
      </c>
      <c r="E462" s="33" t="s">
        <v>622</v>
      </c>
      <c r="F462" s="32" t="s">
        <v>807</v>
      </c>
      <c r="G462" s="34">
        <v>3</v>
      </c>
      <c r="H462" s="33" t="s">
        <v>25</v>
      </c>
      <c r="I462" s="35">
        <v>1900</v>
      </c>
      <c r="J462" s="35">
        <v>414.07</v>
      </c>
      <c r="K462" s="35">
        <v>5285.93</v>
      </c>
      <c r="L462" s="36" t="s">
        <v>799</v>
      </c>
      <c r="M462" s="37">
        <v>46226</v>
      </c>
      <c r="N462" s="38">
        <v>46230</v>
      </c>
      <c r="O462" s="7">
        <v>46226</v>
      </c>
      <c r="P462" s="18">
        <f t="shared" si="14"/>
        <v>0</v>
      </c>
      <c r="Q462" s="18">
        <f t="shared" si="15"/>
        <v>4</v>
      </c>
    </row>
    <row r="463" spans="1:17">
      <c r="A463" s="9">
        <v>462</v>
      </c>
      <c r="B463" s="32" t="s">
        <v>796</v>
      </c>
      <c r="C463" s="33" t="s">
        <v>797</v>
      </c>
      <c r="D463" s="32" t="s">
        <v>327</v>
      </c>
      <c r="E463" s="33" t="s">
        <v>622</v>
      </c>
      <c r="F463" s="32" t="s">
        <v>808</v>
      </c>
      <c r="G463" s="34">
        <v>2</v>
      </c>
      <c r="H463" s="33" t="s">
        <v>25</v>
      </c>
      <c r="I463" s="35">
        <v>500</v>
      </c>
      <c r="J463" s="35">
        <v>72.64</v>
      </c>
      <c r="K463" s="35">
        <v>927.36</v>
      </c>
      <c r="L463" s="36" t="s">
        <v>799</v>
      </c>
      <c r="M463" s="37">
        <v>46226</v>
      </c>
      <c r="N463" s="38">
        <v>46230</v>
      </c>
      <c r="O463" s="7">
        <v>46226</v>
      </c>
      <c r="P463" s="18">
        <f t="shared" si="14"/>
        <v>0</v>
      </c>
      <c r="Q463" s="18">
        <f t="shared" si="15"/>
        <v>4</v>
      </c>
    </row>
    <row r="464" spans="1:17">
      <c r="A464" s="9">
        <v>463</v>
      </c>
      <c r="B464" s="32" t="s">
        <v>796</v>
      </c>
      <c r="C464" s="33" t="s">
        <v>797</v>
      </c>
      <c r="D464" s="32" t="s">
        <v>327</v>
      </c>
      <c r="E464" s="33" t="s">
        <v>622</v>
      </c>
      <c r="F464" s="32" t="s">
        <v>809</v>
      </c>
      <c r="G464" s="34">
        <v>1</v>
      </c>
      <c r="H464" s="33" t="s">
        <v>25</v>
      </c>
      <c r="I464" s="35">
        <v>1500</v>
      </c>
      <c r="J464" s="35">
        <v>108.97</v>
      </c>
      <c r="K464" s="35">
        <v>1391.03</v>
      </c>
      <c r="L464" s="36" t="s">
        <v>799</v>
      </c>
      <c r="M464" s="37">
        <v>46226</v>
      </c>
      <c r="N464" s="38">
        <v>46230</v>
      </c>
      <c r="O464" s="7">
        <v>46226</v>
      </c>
      <c r="P464" s="18">
        <f t="shared" si="14"/>
        <v>0</v>
      </c>
      <c r="Q464" s="18">
        <f t="shared" si="15"/>
        <v>4</v>
      </c>
    </row>
    <row r="465" spans="1:17">
      <c r="A465" s="9">
        <v>464</v>
      </c>
      <c r="B465" s="32" t="s">
        <v>796</v>
      </c>
      <c r="C465" s="33" t="s">
        <v>797</v>
      </c>
      <c r="D465" s="32" t="s">
        <v>327</v>
      </c>
      <c r="E465" s="33" t="s">
        <v>622</v>
      </c>
      <c r="F465" s="32" t="s">
        <v>810</v>
      </c>
      <c r="G465" s="34">
        <v>1</v>
      </c>
      <c r="H465" s="33" t="s">
        <v>25</v>
      </c>
      <c r="I465" s="35">
        <v>500</v>
      </c>
      <c r="J465" s="35">
        <v>36.32</v>
      </c>
      <c r="K465" s="35">
        <v>463.68</v>
      </c>
      <c r="L465" s="36" t="s">
        <v>799</v>
      </c>
      <c r="M465" s="37">
        <v>46226</v>
      </c>
      <c r="N465" s="38">
        <v>46230</v>
      </c>
      <c r="O465" s="7">
        <v>46226</v>
      </c>
      <c r="P465" s="18">
        <f t="shared" si="14"/>
        <v>0</v>
      </c>
      <c r="Q465" s="18">
        <f t="shared" si="15"/>
        <v>4</v>
      </c>
    </row>
    <row r="466" spans="1:17">
      <c r="A466" s="9">
        <v>465</v>
      </c>
      <c r="B466" s="10" t="s">
        <v>811</v>
      </c>
      <c r="C466" s="11"/>
      <c r="D466" s="10" t="s">
        <v>812</v>
      </c>
      <c r="E466" s="11"/>
      <c r="F466" s="12" t="s">
        <v>813</v>
      </c>
      <c r="G466" s="13">
        <v>2</v>
      </c>
      <c r="H466" s="11" t="s">
        <v>25</v>
      </c>
      <c r="I466" s="14">
        <v>910</v>
      </c>
      <c r="J466" s="15">
        <v>455</v>
      </c>
      <c r="K466" s="14">
        <v>1365</v>
      </c>
      <c r="L466" s="2" t="s">
        <v>814</v>
      </c>
      <c r="M466" s="16">
        <v>46224</v>
      </c>
      <c r="N466" s="17">
        <v>46231</v>
      </c>
      <c r="O466" s="7">
        <v>46227</v>
      </c>
      <c r="P466" s="18">
        <f t="shared" si="14"/>
        <v>3</v>
      </c>
      <c r="Q466" s="18">
        <f t="shared" si="15"/>
        <v>4</v>
      </c>
    </row>
    <row r="467" spans="1:17">
      <c r="A467" s="9">
        <v>466</v>
      </c>
      <c r="B467" s="32" t="s">
        <v>815</v>
      </c>
      <c r="C467" s="33" t="s">
        <v>816</v>
      </c>
      <c r="D467" s="32" t="s">
        <v>817</v>
      </c>
      <c r="E467" s="33" t="s">
        <v>818</v>
      </c>
      <c r="F467" s="32" t="s">
        <v>819</v>
      </c>
      <c r="G467" s="34">
        <v>4</v>
      </c>
      <c r="H467" s="33" t="s">
        <v>25</v>
      </c>
      <c r="I467" s="35">
        <v>250</v>
      </c>
      <c r="J467" s="35">
        <v>0</v>
      </c>
      <c r="K467" s="35">
        <v>1000</v>
      </c>
      <c r="L467" s="36" t="s">
        <v>820</v>
      </c>
      <c r="M467" s="37">
        <v>46226</v>
      </c>
      <c r="N467" s="38">
        <v>46231</v>
      </c>
      <c r="O467" s="7">
        <v>46227</v>
      </c>
      <c r="P467" s="18">
        <f t="shared" si="14"/>
        <v>1</v>
      </c>
      <c r="Q467" s="18">
        <f t="shared" si="15"/>
        <v>4</v>
      </c>
    </row>
    <row r="468" spans="1:17">
      <c r="A468" s="9">
        <v>467</v>
      </c>
      <c r="B468" s="32" t="s">
        <v>815</v>
      </c>
      <c r="C468" s="33" t="s">
        <v>816</v>
      </c>
      <c r="D468" s="32" t="s">
        <v>817</v>
      </c>
      <c r="E468" s="33" t="s">
        <v>821</v>
      </c>
      <c r="F468" s="32" t="s">
        <v>822</v>
      </c>
      <c r="G468" s="34">
        <v>1</v>
      </c>
      <c r="H468" s="33" t="s">
        <v>703</v>
      </c>
      <c r="I468" s="35">
        <v>29</v>
      </c>
      <c r="J468" s="35">
        <v>0</v>
      </c>
      <c r="K468" s="35">
        <v>29</v>
      </c>
      <c r="L468" s="36" t="s">
        <v>820</v>
      </c>
      <c r="M468" s="37">
        <v>46226</v>
      </c>
      <c r="N468" s="38">
        <v>46231</v>
      </c>
      <c r="O468" s="7">
        <v>46227</v>
      </c>
      <c r="P468" s="18">
        <f t="shared" si="14"/>
        <v>1</v>
      </c>
      <c r="Q468" s="18">
        <f t="shared" si="15"/>
        <v>4</v>
      </c>
    </row>
    <row r="469" spans="1:17">
      <c r="A469" s="9">
        <v>468</v>
      </c>
      <c r="B469" s="32" t="s">
        <v>815</v>
      </c>
      <c r="C469" s="33" t="s">
        <v>816</v>
      </c>
      <c r="D469" s="32" t="s">
        <v>817</v>
      </c>
      <c r="E469" s="33" t="s">
        <v>823</v>
      </c>
      <c r="F469" s="32" t="s">
        <v>824</v>
      </c>
      <c r="G469" s="34">
        <v>2</v>
      </c>
      <c r="H469" s="33" t="s">
        <v>25</v>
      </c>
      <c r="I469" s="35">
        <v>243</v>
      </c>
      <c r="J469" s="35">
        <v>98</v>
      </c>
      <c r="K469" s="35">
        <v>388</v>
      </c>
      <c r="L469" s="36" t="s">
        <v>825</v>
      </c>
      <c r="M469" s="37">
        <v>46226</v>
      </c>
      <c r="N469" s="38">
        <v>46231</v>
      </c>
      <c r="O469" s="7">
        <v>46227</v>
      </c>
      <c r="P469" s="18">
        <f t="shared" si="14"/>
        <v>1</v>
      </c>
      <c r="Q469" s="18">
        <f t="shared" si="15"/>
        <v>4</v>
      </c>
    </row>
    <row r="470" spans="1:17">
      <c r="A470" s="9">
        <v>469</v>
      </c>
      <c r="B470" s="10" t="s">
        <v>474</v>
      </c>
      <c r="C470" s="11"/>
      <c r="D470" s="10" t="s">
        <v>475</v>
      </c>
      <c r="E470" s="11"/>
      <c r="F470" s="12" t="s">
        <v>826</v>
      </c>
      <c r="G470" s="13">
        <v>1</v>
      </c>
      <c r="H470" s="11" t="s">
        <v>30</v>
      </c>
      <c r="I470" s="14">
        <v>526</v>
      </c>
      <c r="J470" s="15">
        <v>106</v>
      </c>
      <c r="K470" s="14">
        <v>420</v>
      </c>
      <c r="L470" s="2" t="s">
        <v>827</v>
      </c>
      <c r="M470" s="16">
        <v>46224</v>
      </c>
      <c r="N470" s="17">
        <v>46234</v>
      </c>
      <c r="O470" s="7">
        <v>46230</v>
      </c>
      <c r="P470" s="18">
        <f t="shared" si="14"/>
        <v>6</v>
      </c>
      <c r="Q470" s="18">
        <f t="shared" si="15"/>
        <v>4</v>
      </c>
    </row>
    <row r="471" spans="1:17">
      <c r="A471" s="9">
        <v>470</v>
      </c>
      <c r="B471" s="10" t="s">
        <v>108</v>
      </c>
      <c r="C471" s="11"/>
      <c r="D471" s="10" t="s">
        <v>172</v>
      </c>
      <c r="E471" s="11"/>
      <c r="F471" s="12" t="s">
        <v>828</v>
      </c>
      <c r="G471" s="13">
        <v>16</v>
      </c>
      <c r="H471" s="11" t="s">
        <v>30</v>
      </c>
      <c r="I471" s="14">
        <v>183.67</v>
      </c>
      <c r="J471" s="10"/>
      <c r="K471" s="14">
        <v>2938.72</v>
      </c>
      <c r="L471" s="2" t="s">
        <v>829</v>
      </c>
      <c r="M471" s="16">
        <v>46199</v>
      </c>
      <c r="N471" s="17">
        <v>46209</v>
      </c>
      <c r="O471" s="7">
        <v>46204</v>
      </c>
      <c r="P471" s="18">
        <f t="shared" si="14"/>
        <v>5</v>
      </c>
      <c r="Q471" s="18">
        <f t="shared" si="15"/>
        <v>5</v>
      </c>
    </row>
    <row r="472" spans="1:17">
      <c r="A472" s="9">
        <v>471</v>
      </c>
      <c r="B472" s="10" t="s">
        <v>108</v>
      </c>
      <c r="C472" s="11"/>
      <c r="D472" s="10" t="s">
        <v>172</v>
      </c>
      <c r="E472" s="11"/>
      <c r="F472" s="12" t="s">
        <v>830</v>
      </c>
      <c r="G472" s="13">
        <v>8</v>
      </c>
      <c r="H472" s="11" t="s">
        <v>30</v>
      </c>
      <c r="I472" s="14">
        <v>168.35</v>
      </c>
      <c r="J472" s="10"/>
      <c r="K472" s="14">
        <v>1346.8</v>
      </c>
      <c r="L472" s="2" t="s">
        <v>829</v>
      </c>
      <c r="M472" s="16">
        <v>46199</v>
      </c>
      <c r="N472" s="17">
        <v>46209</v>
      </c>
      <c r="O472" s="7">
        <v>46204</v>
      </c>
      <c r="P472" s="18">
        <f t="shared" si="14"/>
        <v>5</v>
      </c>
      <c r="Q472" s="18">
        <f t="shared" si="15"/>
        <v>5</v>
      </c>
    </row>
    <row r="473" spans="1:17">
      <c r="A473" s="9">
        <v>472</v>
      </c>
      <c r="B473" s="10" t="s">
        <v>601</v>
      </c>
      <c r="C473" s="11"/>
      <c r="D473" s="10" t="s">
        <v>172</v>
      </c>
      <c r="E473" s="11"/>
      <c r="F473" s="12" t="s">
        <v>831</v>
      </c>
      <c r="G473" s="13">
        <v>2</v>
      </c>
      <c r="H473" s="11" t="s">
        <v>30</v>
      </c>
      <c r="I473" s="14">
        <v>47.32</v>
      </c>
      <c r="J473" s="10"/>
      <c r="K473" s="14">
        <v>94.64</v>
      </c>
      <c r="L473" s="2" t="s">
        <v>603</v>
      </c>
      <c r="M473" s="16">
        <v>46203</v>
      </c>
      <c r="N473" s="17">
        <v>46218</v>
      </c>
      <c r="O473" s="7">
        <v>46213</v>
      </c>
      <c r="P473" s="18">
        <f t="shared" si="14"/>
        <v>10</v>
      </c>
      <c r="Q473" s="18">
        <f t="shared" si="15"/>
        <v>5</v>
      </c>
    </row>
    <row r="474" spans="1:17">
      <c r="A474" s="9">
        <v>473</v>
      </c>
      <c r="B474" s="10" t="s">
        <v>601</v>
      </c>
      <c r="C474" s="11"/>
      <c r="D474" s="10" t="s">
        <v>172</v>
      </c>
      <c r="E474" s="11"/>
      <c r="F474" s="12" t="s">
        <v>832</v>
      </c>
      <c r="G474" s="13">
        <v>4</v>
      </c>
      <c r="H474" s="11" t="s">
        <v>30</v>
      </c>
      <c r="I474" s="14">
        <v>1068</v>
      </c>
      <c r="J474" s="10"/>
      <c r="K474" s="14">
        <v>4272</v>
      </c>
      <c r="L474" s="2" t="s">
        <v>603</v>
      </c>
      <c r="M474" s="16">
        <v>46203</v>
      </c>
      <c r="N474" s="17">
        <v>46218</v>
      </c>
      <c r="O474" s="7">
        <v>46213</v>
      </c>
      <c r="P474" s="18">
        <f t="shared" si="14"/>
        <v>10</v>
      </c>
      <c r="Q474" s="18">
        <f t="shared" si="15"/>
        <v>5</v>
      </c>
    </row>
    <row r="475" spans="1:17">
      <c r="A475" s="9">
        <v>474</v>
      </c>
      <c r="B475" s="10" t="s">
        <v>601</v>
      </c>
      <c r="C475" s="11"/>
      <c r="D475" s="10" t="s">
        <v>172</v>
      </c>
      <c r="E475" s="11"/>
      <c r="F475" s="12" t="s">
        <v>833</v>
      </c>
      <c r="G475" s="13">
        <v>4</v>
      </c>
      <c r="H475" s="11" t="s">
        <v>30</v>
      </c>
      <c r="I475" s="14">
        <v>383</v>
      </c>
      <c r="J475" s="10"/>
      <c r="K475" s="14">
        <v>1532</v>
      </c>
      <c r="L475" s="2" t="s">
        <v>603</v>
      </c>
      <c r="M475" s="16">
        <v>46203</v>
      </c>
      <c r="N475" s="17">
        <v>46218</v>
      </c>
      <c r="O475" s="7">
        <v>46213</v>
      </c>
      <c r="P475" s="18">
        <f t="shared" si="14"/>
        <v>10</v>
      </c>
      <c r="Q475" s="18">
        <f t="shared" si="15"/>
        <v>5</v>
      </c>
    </row>
    <row r="476" spans="1:17">
      <c r="A476" s="9">
        <v>475</v>
      </c>
      <c r="B476" s="10" t="s">
        <v>601</v>
      </c>
      <c r="C476" s="11"/>
      <c r="D476" s="10" t="s">
        <v>172</v>
      </c>
      <c r="E476" s="11"/>
      <c r="F476" s="12" t="s">
        <v>834</v>
      </c>
      <c r="G476" s="13">
        <v>1</v>
      </c>
      <c r="H476" s="11" t="s">
        <v>30</v>
      </c>
      <c r="I476" s="14">
        <v>270.97000000000003</v>
      </c>
      <c r="J476" s="10"/>
      <c r="K476" s="14">
        <v>270.97000000000003</v>
      </c>
      <c r="L476" s="2" t="s">
        <v>603</v>
      </c>
      <c r="M476" s="16">
        <v>46203</v>
      </c>
      <c r="N476" s="17">
        <v>46218</v>
      </c>
      <c r="O476" s="7">
        <v>46213</v>
      </c>
      <c r="P476" s="18">
        <f t="shared" si="14"/>
        <v>10</v>
      </c>
      <c r="Q476" s="18">
        <f t="shared" si="15"/>
        <v>5</v>
      </c>
    </row>
    <row r="477" spans="1:17">
      <c r="A477" s="9">
        <v>476</v>
      </c>
      <c r="B477" s="10" t="s">
        <v>601</v>
      </c>
      <c r="C477" s="11"/>
      <c r="D477" s="10" t="s">
        <v>172</v>
      </c>
      <c r="E477" s="11"/>
      <c r="F477" s="12" t="s">
        <v>835</v>
      </c>
      <c r="G477" s="13">
        <v>1</v>
      </c>
      <c r="H477" s="11" t="s">
        <v>30</v>
      </c>
      <c r="I477" s="14">
        <v>39.090000000000003</v>
      </c>
      <c r="J477" s="10"/>
      <c r="K477" s="14">
        <v>39.090000000000003</v>
      </c>
      <c r="L477" s="2" t="s">
        <v>603</v>
      </c>
      <c r="M477" s="16">
        <v>46203</v>
      </c>
      <c r="N477" s="17">
        <v>46218</v>
      </c>
      <c r="O477" s="7">
        <v>46213</v>
      </c>
      <c r="P477" s="18">
        <f t="shared" si="14"/>
        <v>10</v>
      </c>
      <c r="Q477" s="18">
        <f t="shared" si="15"/>
        <v>5</v>
      </c>
    </row>
    <row r="478" spans="1:17">
      <c r="A478" s="9">
        <v>477</v>
      </c>
      <c r="B478" s="10" t="s">
        <v>601</v>
      </c>
      <c r="C478" s="11"/>
      <c r="D478" s="10" t="s">
        <v>172</v>
      </c>
      <c r="E478" s="11"/>
      <c r="F478" s="12" t="s">
        <v>836</v>
      </c>
      <c r="G478" s="13">
        <v>4</v>
      </c>
      <c r="H478" s="11" t="s">
        <v>30</v>
      </c>
      <c r="I478" s="14">
        <v>89.75</v>
      </c>
      <c r="J478" s="10"/>
      <c r="K478" s="14">
        <v>359</v>
      </c>
      <c r="L478" s="2" t="s">
        <v>603</v>
      </c>
      <c r="M478" s="16">
        <v>46203</v>
      </c>
      <c r="N478" s="17">
        <v>46218</v>
      </c>
      <c r="O478" s="7">
        <v>46213</v>
      </c>
      <c r="P478" s="18">
        <f t="shared" si="14"/>
        <v>10</v>
      </c>
      <c r="Q478" s="18">
        <f t="shared" si="15"/>
        <v>5</v>
      </c>
    </row>
    <row r="479" spans="1:17">
      <c r="A479" s="9">
        <v>478</v>
      </c>
      <c r="B479" s="10" t="s">
        <v>601</v>
      </c>
      <c r="C479" s="11"/>
      <c r="D479" s="10" t="s">
        <v>172</v>
      </c>
      <c r="E479" s="11"/>
      <c r="F479" s="12" t="s">
        <v>837</v>
      </c>
      <c r="G479" s="13">
        <v>2</v>
      </c>
      <c r="H479" s="11" t="s">
        <v>30</v>
      </c>
      <c r="I479" s="14">
        <v>258.39999999999998</v>
      </c>
      <c r="J479" s="10"/>
      <c r="K479" s="14">
        <v>516.79999999999995</v>
      </c>
      <c r="L479" s="2" t="s">
        <v>603</v>
      </c>
      <c r="M479" s="16">
        <v>46203</v>
      </c>
      <c r="N479" s="17">
        <v>46218</v>
      </c>
      <c r="O479" s="7">
        <v>46213</v>
      </c>
      <c r="P479" s="18">
        <f t="shared" si="14"/>
        <v>10</v>
      </c>
      <c r="Q479" s="18">
        <f t="shared" si="15"/>
        <v>5</v>
      </c>
    </row>
    <row r="480" spans="1:17">
      <c r="A480" s="9">
        <v>479</v>
      </c>
      <c r="B480" s="10" t="s">
        <v>838</v>
      </c>
      <c r="C480" s="11"/>
      <c r="D480" s="10" t="s">
        <v>839</v>
      </c>
      <c r="E480" s="11"/>
      <c r="F480" s="12" t="s">
        <v>840</v>
      </c>
      <c r="G480" s="13">
        <v>1</v>
      </c>
      <c r="H480" s="11" t="s">
        <v>25</v>
      </c>
      <c r="I480" s="14">
        <v>800</v>
      </c>
      <c r="J480" s="10"/>
      <c r="K480" s="14">
        <v>800</v>
      </c>
      <c r="L480" s="2" t="s">
        <v>841</v>
      </c>
      <c r="M480" s="16">
        <v>46210</v>
      </c>
      <c r="N480" s="17">
        <v>46218</v>
      </c>
      <c r="O480" s="7">
        <v>46213</v>
      </c>
      <c r="P480" s="18">
        <f t="shared" si="14"/>
        <v>3</v>
      </c>
      <c r="Q480" s="18">
        <f t="shared" si="15"/>
        <v>5</v>
      </c>
    </row>
    <row r="481" spans="1:17">
      <c r="A481" s="9">
        <v>480</v>
      </c>
      <c r="B481" s="10" t="s">
        <v>838</v>
      </c>
      <c r="C481" s="11"/>
      <c r="D481" s="10" t="s">
        <v>839</v>
      </c>
      <c r="E481" s="11"/>
      <c r="F481" s="12" t="s">
        <v>842</v>
      </c>
      <c r="G481" s="13">
        <v>1</v>
      </c>
      <c r="H481" s="11" t="s">
        <v>25</v>
      </c>
      <c r="I481" s="14">
        <v>600</v>
      </c>
      <c r="J481" s="10"/>
      <c r="K481" s="14">
        <v>600</v>
      </c>
      <c r="L481" s="2" t="s">
        <v>841</v>
      </c>
      <c r="M481" s="16">
        <v>46210</v>
      </c>
      <c r="N481" s="17">
        <v>46218</v>
      </c>
      <c r="O481" s="7">
        <v>46213</v>
      </c>
      <c r="P481" s="18">
        <f t="shared" si="14"/>
        <v>3</v>
      </c>
      <c r="Q481" s="18">
        <f t="shared" si="15"/>
        <v>5</v>
      </c>
    </row>
    <row r="482" spans="1:17">
      <c r="A482" s="9">
        <v>481</v>
      </c>
      <c r="B482" s="10" t="s">
        <v>838</v>
      </c>
      <c r="C482" s="11"/>
      <c r="D482" s="10" t="s">
        <v>839</v>
      </c>
      <c r="E482" s="11"/>
      <c r="F482" s="12" t="s">
        <v>843</v>
      </c>
      <c r="G482" s="13">
        <v>1</v>
      </c>
      <c r="H482" s="11" t="s">
        <v>56</v>
      </c>
      <c r="I482" s="14">
        <v>800</v>
      </c>
      <c r="J482" s="10"/>
      <c r="K482" s="14">
        <v>800</v>
      </c>
      <c r="L482" s="2" t="s">
        <v>841</v>
      </c>
      <c r="M482" s="16">
        <v>46210</v>
      </c>
      <c r="N482" s="17">
        <v>46218</v>
      </c>
      <c r="O482" s="7">
        <v>46213</v>
      </c>
      <c r="P482" s="18">
        <f t="shared" si="14"/>
        <v>3</v>
      </c>
      <c r="Q482" s="18">
        <f t="shared" si="15"/>
        <v>5</v>
      </c>
    </row>
    <row r="483" spans="1:17">
      <c r="A483" s="9">
        <v>482</v>
      </c>
      <c r="B483" s="10" t="s">
        <v>811</v>
      </c>
      <c r="C483" s="11"/>
      <c r="D483" s="10" t="s">
        <v>190</v>
      </c>
      <c r="E483" s="11"/>
      <c r="F483" s="12" t="s">
        <v>844</v>
      </c>
      <c r="G483" s="13">
        <v>2</v>
      </c>
      <c r="H483" s="11" t="s">
        <v>25</v>
      </c>
      <c r="I483" s="14">
        <v>6290</v>
      </c>
      <c r="J483" s="15">
        <v>580</v>
      </c>
      <c r="K483" s="14">
        <v>12000</v>
      </c>
      <c r="L483" s="2" t="s">
        <v>845</v>
      </c>
      <c r="M483" s="16">
        <v>46224</v>
      </c>
      <c r="N483" s="17">
        <v>46231</v>
      </c>
      <c r="O483" s="7">
        <v>46226</v>
      </c>
      <c r="P483" s="18">
        <f t="shared" si="14"/>
        <v>2</v>
      </c>
      <c r="Q483" s="18">
        <f t="shared" si="15"/>
        <v>5</v>
      </c>
    </row>
    <row r="484" spans="1:17">
      <c r="A484" s="9">
        <v>483</v>
      </c>
      <c r="B484" s="10" t="s">
        <v>811</v>
      </c>
      <c r="C484" s="11"/>
      <c r="D484" s="10" t="s">
        <v>190</v>
      </c>
      <c r="E484" s="11"/>
      <c r="F484" s="12" t="s">
        <v>846</v>
      </c>
      <c r="G484" s="13">
        <v>3</v>
      </c>
      <c r="H484" s="11" t="s">
        <v>25</v>
      </c>
      <c r="I484" s="14">
        <v>6290</v>
      </c>
      <c r="J484" s="15">
        <v>870</v>
      </c>
      <c r="K484" s="14">
        <v>18000</v>
      </c>
      <c r="L484" s="2" t="s">
        <v>845</v>
      </c>
      <c r="M484" s="16">
        <v>46224</v>
      </c>
      <c r="N484" s="17">
        <v>46231</v>
      </c>
      <c r="O484" s="7">
        <v>46226</v>
      </c>
      <c r="P484" s="18">
        <f t="shared" si="14"/>
        <v>2</v>
      </c>
      <c r="Q484" s="18">
        <f t="shared" si="15"/>
        <v>5</v>
      </c>
    </row>
    <row r="485" spans="1:17">
      <c r="A485" s="9">
        <v>484</v>
      </c>
      <c r="B485" s="10" t="s">
        <v>847</v>
      </c>
      <c r="C485" s="11"/>
      <c r="D485" s="10" t="s">
        <v>109</v>
      </c>
      <c r="E485" s="11"/>
      <c r="F485" s="12" t="s">
        <v>848</v>
      </c>
      <c r="G485" s="13">
        <v>2</v>
      </c>
      <c r="H485" s="11" t="s">
        <v>25</v>
      </c>
      <c r="I485" s="14">
        <v>2105</v>
      </c>
      <c r="J485" s="15">
        <v>842</v>
      </c>
      <c r="K485" s="14">
        <v>3368</v>
      </c>
      <c r="L485" s="2" t="s">
        <v>849</v>
      </c>
      <c r="M485" s="16">
        <v>46204</v>
      </c>
      <c r="N485" s="17">
        <v>46218</v>
      </c>
      <c r="O485" s="7">
        <v>46212</v>
      </c>
      <c r="P485" s="18">
        <f t="shared" si="14"/>
        <v>8</v>
      </c>
      <c r="Q485" s="18">
        <f t="shared" si="15"/>
        <v>6</v>
      </c>
    </row>
    <row r="486" spans="1:17">
      <c r="A486" s="9">
        <v>485</v>
      </c>
      <c r="B486" s="10" t="s">
        <v>474</v>
      </c>
      <c r="C486" s="11"/>
      <c r="D486" s="10" t="s">
        <v>475</v>
      </c>
      <c r="E486" s="11"/>
      <c r="F486" s="12" t="s">
        <v>850</v>
      </c>
      <c r="G486" s="13">
        <v>10</v>
      </c>
      <c r="H486" s="11" t="s">
        <v>25</v>
      </c>
      <c r="I486" s="14">
        <v>29</v>
      </c>
      <c r="J486" s="15">
        <v>58</v>
      </c>
      <c r="K486" s="14">
        <v>232</v>
      </c>
      <c r="L486" s="2" t="s">
        <v>851</v>
      </c>
      <c r="M486" s="16">
        <v>46224</v>
      </c>
      <c r="N486" s="17">
        <v>46238</v>
      </c>
      <c r="O486" s="7">
        <v>46232</v>
      </c>
      <c r="P486" s="18">
        <f t="shared" si="14"/>
        <v>8</v>
      </c>
      <c r="Q486" s="18">
        <f t="shared" si="15"/>
        <v>6</v>
      </c>
    </row>
    <row r="487" spans="1:17">
      <c r="A487" s="9">
        <v>486</v>
      </c>
      <c r="B487" s="10" t="s">
        <v>852</v>
      </c>
      <c r="C487" s="11"/>
      <c r="D487" s="10" t="s">
        <v>190</v>
      </c>
      <c r="E487" s="11"/>
      <c r="F487" s="12" t="s">
        <v>853</v>
      </c>
      <c r="G487" s="13">
        <v>6</v>
      </c>
      <c r="H487" s="11" t="s">
        <v>25</v>
      </c>
      <c r="I487" s="14">
        <v>1390</v>
      </c>
      <c r="J487" s="15"/>
      <c r="K487" s="14">
        <v>8340</v>
      </c>
      <c r="L487" s="2" t="s">
        <v>854</v>
      </c>
      <c r="M487" s="16">
        <v>46224</v>
      </c>
      <c r="N487" s="17">
        <v>46237</v>
      </c>
      <c r="O487" s="7">
        <v>46230</v>
      </c>
      <c r="P487" s="18">
        <f t="shared" si="14"/>
        <v>6</v>
      </c>
      <c r="Q487" s="18">
        <f t="shared" si="15"/>
        <v>7</v>
      </c>
    </row>
    <row r="488" spans="1:17">
      <c r="A488" s="9">
        <v>487</v>
      </c>
      <c r="B488" s="10" t="s">
        <v>601</v>
      </c>
      <c r="C488" s="11"/>
      <c r="D488" s="10" t="s">
        <v>190</v>
      </c>
      <c r="E488" s="11"/>
      <c r="F488" s="12" t="s">
        <v>855</v>
      </c>
      <c r="G488" s="13">
        <v>2</v>
      </c>
      <c r="H488" s="11" t="s">
        <v>30</v>
      </c>
      <c r="I488" s="14">
        <v>650</v>
      </c>
      <c r="J488" s="10"/>
      <c r="K488" s="14">
        <v>1300</v>
      </c>
      <c r="L488" s="2" t="s">
        <v>856</v>
      </c>
      <c r="M488" s="16">
        <v>46203</v>
      </c>
      <c r="N488" s="17">
        <v>46213</v>
      </c>
      <c r="O488" s="7">
        <v>46205</v>
      </c>
      <c r="P488" s="18">
        <f t="shared" si="14"/>
        <v>2</v>
      </c>
      <c r="Q488" s="18">
        <f t="shared" si="15"/>
        <v>8</v>
      </c>
    </row>
    <row r="489" spans="1:17">
      <c r="A489" s="9">
        <v>488</v>
      </c>
      <c r="B489" s="10" t="s">
        <v>857</v>
      </c>
      <c r="C489" s="11"/>
      <c r="D489" s="10" t="s">
        <v>789</v>
      </c>
      <c r="E489" s="11"/>
      <c r="F489" s="12" t="s">
        <v>858</v>
      </c>
      <c r="G489" s="13">
        <v>1</v>
      </c>
      <c r="H489" s="11" t="s">
        <v>25</v>
      </c>
      <c r="I489" s="14">
        <v>850</v>
      </c>
      <c r="J489" s="10"/>
      <c r="K489" s="14">
        <v>850</v>
      </c>
      <c r="L489" s="2" t="s">
        <v>859</v>
      </c>
      <c r="M489" s="16">
        <v>46198</v>
      </c>
      <c r="N489" s="17">
        <v>46218</v>
      </c>
      <c r="O489" s="7">
        <v>46210</v>
      </c>
      <c r="P489" s="18">
        <f t="shared" si="14"/>
        <v>12</v>
      </c>
      <c r="Q489" s="18">
        <f t="shared" si="15"/>
        <v>8</v>
      </c>
    </row>
    <row r="490" spans="1:17">
      <c r="A490" s="9">
        <v>489</v>
      </c>
      <c r="B490" s="10" t="s">
        <v>857</v>
      </c>
      <c r="C490" s="11"/>
      <c r="D490" s="10" t="s">
        <v>789</v>
      </c>
      <c r="E490" s="11"/>
      <c r="F490" s="12" t="s">
        <v>860</v>
      </c>
      <c r="G490" s="13">
        <v>1</v>
      </c>
      <c r="H490" s="11" t="s">
        <v>25</v>
      </c>
      <c r="I490" s="14">
        <v>14690</v>
      </c>
      <c r="J490" s="10"/>
      <c r="K490" s="14">
        <v>14690</v>
      </c>
      <c r="L490" s="2" t="s">
        <v>859</v>
      </c>
      <c r="M490" s="16">
        <v>46198</v>
      </c>
      <c r="N490" s="17">
        <v>46218</v>
      </c>
      <c r="O490" s="7">
        <v>46210</v>
      </c>
      <c r="P490" s="18">
        <f t="shared" si="14"/>
        <v>12</v>
      </c>
      <c r="Q490" s="18">
        <f t="shared" si="15"/>
        <v>8</v>
      </c>
    </row>
    <row r="491" spans="1:17">
      <c r="A491" s="9">
        <v>490</v>
      </c>
      <c r="B491" s="10" t="s">
        <v>857</v>
      </c>
      <c r="C491" s="11"/>
      <c r="D491" s="10" t="s">
        <v>789</v>
      </c>
      <c r="E491" s="11"/>
      <c r="F491" s="12" t="s">
        <v>861</v>
      </c>
      <c r="G491" s="13">
        <v>1</v>
      </c>
      <c r="H491" s="11" t="s">
        <v>25</v>
      </c>
      <c r="I491" s="14">
        <v>3500</v>
      </c>
      <c r="J491" s="10"/>
      <c r="K491" s="14">
        <v>3500</v>
      </c>
      <c r="L491" s="2" t="s">
        <v>859</v>
      </c>
      <c r="M491" s="16">
        <v>46198</v>
      </c>
      <c r="N491" s="17">
        <v>46218</v>
      </c>
      <c r="O491" s="7">
        <v>46210</v>
      </c>
      <c r="P491" s="18">
        <f t="shared" si="14"/>
        <v>12</v>
      </c>
      <c r="Q491" s="18">
        <f t="shared" si="15"/>
        <v>8</v>
      </c>
    </row>
    <row r="492" spans="1:17">
      <c r="A492" s="9">
        <v>491</v>
      </c>
      <c r="B492" s="10" t="s">
        <v>857</v>
      </c>
      <c r="C492" s="11"/>
      <c r="D492" s="10" t="s">
        <v>789</v>
      </c>
      <c r="E492" s="11"/>
      <c r="F492" s="12" t="s">
        <v>862</v>
      </c>
      <c r="G492" s="13">
        <v>1</v>
      </c>
      <c r="H492" s="11" t="s">
        <v>56</v>
      </c>
      <c r="I492" s="14">
        <v>4000</v>
      </c>
      <c r="J492" s="10"/>
      <c r="K492" s="14">
        <v>4000</v>
      </c>
      <c r="L492" s="2" t="s">
        <v>859</v>
      </c>
      <c r="M492" s="16">
        <v>46198</v>
      </c>
      <c r="N492" s="17">
        <v>46218</v>
      </c>
      <c r="O492" s="7">
        <v>46210</v>
      </c>
      <c r="P492" s="18">
        <f t="shared" si="14"/>
        <v>12</v>
      </c>
      <c r="Q492" s="18">
        <f t="shared" si="15"/>
        <v>8</v>
      </c>
    </row>
    <row r="493" spans="1:17">
      <c r="A493" s="9">
        <v>492</v>
      </c>
      <c r="B493" s="10" t="s">
        <v>857</v>
      </c>
      <c r="C493" s="11"/>
      <c r="D493" s="10" t="s">
        <v>789</v>
      </c>
      <c r="E493" s="11"/>
      <c r="F493" s="12" t="s">
        <v>863</v>
      </c>
      <c r="G493" s="13">
        <v>1</v>
      </c>
      <c r="H493" s="11" t="s">
        <v>665</v>
      </c>
      <c r="I493" s="14">
        <v>1800</v>
      </c>
      <c r="J493" s="10"/>
      <c r="K493" s="14">
        <v>1800</v>
      </c>
      <c r="L493" s="2" t="s">
        <v>859</v>
      </c>
      <c r="M493" s="16">
        <v>46198</v>
      </c>
      <c r="N493" s="17">
        <v>46218</v>
      </c>
      <c r="O493" s="7">
        <v>46210</v>
      </c>
      <c r="P493" s="18">
        <f t="shared" si="14"/>
        <v>12</v>
      </c>
      <c r="Q493" s="18">
        <f t="shared" si="15"/>
        <v>8</v>
      </c>
    </row>
    <row r="494" spans="1:17">
      <c r="A494" s="9">
        <v>493</v>
      </c>
      <c r="B494" s="10" t="s">
        <v>407</v>
      </c>
      <c r="C494" s="11"/>
      <c r="D494" s="10" t="s">
        <v>864</v>
      </c>
      <c r="E494" s="11"/>
      <c r="F494" s="12" t="s">
        <v>865</v>
      </c>
      <c r="G494" s="13">
        <v>1</v>
      </c>
      <c r="H494" s="11" t="s">
        <v>25</v>
      </c>
      <c r="I494" s="14">
        <v>2270</v>
      </c>
      <c r="J494" s="10"/>
      <c r="K494" s="14">
        <v>2270</v>
      </c>
      <c r="L494" s="2" t="s">
        <v>866</v>
      </c>
      <c r="M494" s="16">
        <v>46205</v>
      </c>
      <c r="N494" s="17">
        <v>46218</v>
      </c>
      <c r="O494" s="7">
        <v>46209</v>
      </c>
      <c r="P494" s="18">
        <f t="shared" si="14"/>
        <v>4</v>
      </c>
      <c r="Q494" s="18">
        <f t="shared" si="15"/>
        <v>9</v>
      </c>
    </row>
    <row r="495" spans="1:17">
      <c r="A495" s="9">
        <v>494</v>
      </c>
      <c r="B495" s="10" t="s">
        <v>867</v>
      </c>
      <c r="C495" s="11"/>
      <c r="D495" s="10" t="s">
        <v>376</v>
      </c>
      <c r="E495" s="11"/>
      <c r="F495" s="12" t="s">
        <v>868</v>
      </c>
      <c r="G495" s="13">
        <v>6</v>
      </c>
      <c r="H495" s="11" t="s">
        <v>25</v>
      </c>
      <c r="I495" s="14">
        <v>60</v>
      </c>
      <c r="J495" s="10"/>
      <c r="K495" s="14">
        <v>360</v>
      </c>
      <c r="L495" s="2" t="s">
        <v>869</v>
      </c>
      <c r="M495" s="16">
        <v>46205</v>
      </c>
      <c r="N495" s="17">
        <v>46218</v>
      </c>
      <c r="O495" s="7">
        <v>46209</v>
      </c>
      <c r="P495" s="18">
        <f t="shared" si="14"/>
        <v>4</v>
      </c>
      <c r="Q495" s="18">
        <f t="shared" si="15"/>
        <v>9</v>
      </c>
    </row>
    <row r="496" spans="1:17">
      <c r="A496" s="9">
        <v>495</v>
      </c>
      <c r="B496" s="10" t="s">
        <v>867</v>
      </c>
      <c r="C496" s="11"/>
      <c r="D496" s="10" t="s">
        <v>376</v>
      </c>
      <c r="E496" s="11"/>
      <c r="F496" s="12" t="s">
        <v>870</v>
      </c>
      <c r="G496" s="13">
        <v>4</v>
      </c>
      <c r="H496" s="11" t="s">
        <v>25</v>
      </c>
      <c r="I496" s="14">
        <v>70</v>
      </c>
      <c r="J496" s="10"/>
      <c r="K496" s="14">
        <v>280</v>
      </c>
      <c r="L496" s="2" t="s">
        <v>869</v>
      </c>
      <c r="M496" s="16">
        <v>46205</v>
      </c>
      <c r="N496" s="17">
        <v>46218</v>
      </c>
      <c r="O496" s="7">
        <v>46209</v>
      </c>
      <c r="P496" s="18">
        <f t="shared" si="14"/>
        <v>4</v>
      </c>
      <c r="Q496" s="18">
        <f t="shared" si="15"/>
        <v>9</v>
      </c>
    </row>
    <row r="497" spans="1:17">
      <c r="A497" s="9">
        <v>496</v>
      </c>
      <c r="B497" s="10" t="s">
        <v>867</v>
      </c>
      <c r="C497" s="11"/>
      <c r="D497" s="10" t="s">
        <v>376</v>
      </c>
      <c r="E497" s="11"/>
      <c r="F497" s="12" t="s">
        <v>871</v>
      </c>
      <c r="G497" s="13">
        <v>13</v>
      </c>
      <c r="H497" s="11" t="s">
        <v>25</v>
      </c>
      <c r="I497" s="14">
        <v>50</v>
      </c>
      <c r="J497" s="10"/>
      <c r="K497" s="14">
        <v>650</v>
      </c>
      <c r="L497" s="2" t="s">
        <v>869</v>
      </c>
      <c r="M497" s="16">
        <v>46205</v>
      </c>
      <c r="N497" s="17">
        <v>46218</v>
      </c>
      <c r="O497" s="7">
        <v>46209</v>
      </c>
      <c r="P497" s="18">
        <f t="shared" si="14"/>
        <v>4</v>
      </c>
      <c r="Q497" s="18">
        <f t="shared" si="15"/>
        <v>9</v>
      </c>
    </row>
    <row r="498" spans="1:17">
      <c r="A498" s="9">
        <v>497</v>
      </c>
      <c r="B498" s="10" t="s">
        <v>867</v>
      </c>
      <c r="C498" s="11"/>
      <c r="D498" s="10" t="s">
        <v>376</v>
      </c>
      <c r="E498" s="11"/>
      <c r="F498" s="12" t="s">
        <v>872</v>
      </c>
      <c r="G498" s="13">
        <v>2</v>
      </c>
      <c r="H498" s="11" t="s">
        <v>25</v>
      </c>
      <c r="I498" s="14">
        <v>40</v>
      </c>
      <c r="J498" s="10"/>
      <c r="K498" s="14">
        <v>80</v>
      </c>
      <c r="L498" s="2" t="s">
        <v>869</v>
      </c>
      <c r="M498" s="16">
        <v>46205</v>
      </c>
      <c r="N498" s="17">
        <v>46218</v>
      </c>
      <c r="O498" s="7">
        <v>46209</v>
      </c>
      <c r="P498" s="18">
        <f t="shared" si="14"/>
        <v>4</v>
      </c>
      <c r="Q498" s="18">
        <f t="shared" si="15"/>
        <v>9</v>
      </c>
    </row>
    <row r="499" spans="1:17">
      <c r="A499" s="9">
        <v>498</v>
      </c>
      <c r="B499" s="10" t="s">
        <v>867</v>
      </c>
      <c r="C499" s="11"/>
      <c r="D499" s="10" t="s">
        <v>376</v>
      </c>
      <c r="E499" s="11"/>
      <c r="F499" s="12" t="s">
        <v>873</v>
      </c>
      <c r="G499" s="13">
        <v>2</v>
      </c>
      <c r="H499" s="11" t="s">
        <v>25</v>
      </c>
      <c r="I499" s="14">
        <v>40</v>
      </c>
      <c r="J499" s="10"/>
      <c r="K499" s="14">
        <v>80</v>
      </c>
      <c r="L499" s="2" t="s">
        <v>869</v>
      </c>
      <c r="M499" s="16">
        <v>46205</v>
      </c>
      <c r="N499" s="17">
        <v>46218</v>
      </c>
      <c r="O499" s="7">
        <v>46209</v>
      </c>
      <c r="P499" s="18">
        <f t="shared" si="14"/>
        <v>4</v>
      </c>
      <c r="Q499" s="18">
        <f t="shared" si="15"/>
        <v>9</v>
      </c>
    </row>
    <row r="500" spans="1:17">
      <c r="A500" s="9">
        <v>499</v>
      </c>
      <c r="B500" s="10" t="s">
        <v>867</v>
      </c>
      <c r="C500" s="11"/>
      <c r="D500" s="10" t="s">
        <v>376</v>
      </c>
      <c r="E500" s="11"/>
      <c r="F500" s="12" t="s">
        <v>874</v>
      </c>
      <c r="G500" s="13">
        <v>6</v>
      </c>
      <c r="H500" s="11" t="s">
        <v>25</v>
      </c>
      <c r="I500" s="14">
        <v>55</v>
      </c>
      <c r="J500" s="10"/>
      <c r="K500" s="14">
        <v>330</v>
      </c>
      <c r="L500" s="2" t="s">
        <v>869</v>
      </c>
      <c r="M500" s="16">
        <v>46205</v>
      </c>
      <c r="N500" s="17">
        <v>46218</v>
      </c>
      <c r="O500" s="7">
        <v>46209</v>
      </c>
      <c r="P500" s="18">
        <f t="shared" si="14"/>
        <v>4</v>
      </c>
      <c r="Q500" s="18">
        <f t="shared" si="15"/>
        <v>9</v>
      </c>
    </row>
    <row r="501" spans="1:17">
      <c r="A501" s="9">
        <v>500</v>
      </c>
      <c r="B501" s="10" t="s">
        <v>875</v>
      </c>
      <c r="C501" s="11"/>
      <c r="D501" s="10" t="s">
        <v>876</v>
      </c>
      <c r="E501" s="11"/>
      <c r="F501" s="12" t="s">
        <v>877</v>
      </c>
      <c r="G501" s="13">
        <v>20</v>
      </c>
      <c r="H501" s="11" t="s">
        <v>145</v>
      </c>
      <c r="I501" s="14">
        <v>317</v>
      </c>
      <c r="J501" s="15">
        <v>951</v>
      </c>
      <c r="K501" s="14">
        <v>5389</v>
      </c>
      <c r="L501" s="2" t="s">
        <v>878</v>
      </c>
      <c r="M501" s="16">
        <v>46205</v>
      </c>
      <c r="N501" s="17">
        <v>46218</v>
      </c>
      <c r="O501" s="7">
        <v>46209</v>
      </c>
      <c r="P501" s="18">
        <f t="shared" si="14"/>
        <v>4</v>
      </c>
      <c r="Q501" s="18">
        <f t="shared" si="15"/>
        <v>9</v>
      </c>
    </row>
    <row r="502" spans="1:17">
      <c r="A502" s="9">
        <v>501</v>
      </c>
      <c r="B502" s="10" t="s">
        <v>182</v>
      </c>
      <c r="C502" s="11"/>
      <c r="D502" s="10" t="s">
        <v>879</v>
      </c>
      <c r="E502" s="11"/>
      <c r="F502" s="12" t="s">
        <v>880</v>
      </c>
      <c r="G502" s="13">
        <v>1</v>
      </c>
      <c r="H502" s="11" t="s">
        <v>25</v>
      </c>
      <c r="I502" s="14">
        <v>1440</v>
      </c>
      <c r="J502" s="10"/>
      <c r="K502" s="14">
        <v>1440</v>
      </c>
      <c r="L502" s="2" t="s">
        <v>881</v>
      </c>
      <c r="M502" s="16">
        <v>46195</v>
      </c>
      <c r="N502" s="17">
        <v>46227</v>
      </c>
      <c r="O502" s="7">
        <v>46218</v>
      </c>
      <c r="P502" s="18">
        <f t="shared" si="14"/>
        <v>23</v>
      </c>
      <c r="Q502" s="18">
        <f t="shared" si="15"/>
        <v>9</v>
      </c>
    </row>
    <row r="503" spans="1:17">
      <c r="A503" s="9">
        <v>502</v>
      </c>
      <c r="B503" s="10" t="s">
        <v>182</v>
      </c>
      <c r="C503" s="11"/>
      <c r="D503" s="10" t="s">
        <v>879</v>
      </c>
      <c r="E503" s="11"/>
      <c r="F503" s="12" t="s">
        <v>882</v>
      </c>
      <c r="G503" s="13">
        <v>1</v>
      </c>
      <c r="H503" s="11" t="s">
        <v>25</v>
      </c>
      <c r="I503" s="14">
        <v>2250</v>
      </c>
      <c r="J503" s="10"/>
      <c r="K503" s="14">
        <v>2250</v>
      </c>
      <c r="L503" s="2" t="s">
        <v>883</v>
      </c>
      <c r="M503" s="16">
        <v>46195</v>
      </c>
      <c r="N503" s="17">
        <v>46227</v>
      </c>
      <c r="O503" s="7">
        <v>46218</v>
      </c>
      <c r="P503" s="18">
        <f t="shared" si="14"/>
        <v>23</v>
      </c>
      <c r="Q503" s="18">
        <f t="shared" si="15"/>
        <v>9</v>
      </c>
    </row>
    <row r="504" spans="1:17">
      <c r="A504" s="9">
        <v>503</v>
      </c>
      <c r="B504" s="10" t="s">
        <v>884</v>
      </c>
      <c r="C504" s="11"/>
      <c r="D504" s="10" t="s">
        <v>885</v>
      </c>
      <c r="E504" s="11"/>
      <c r="F504" s="12" t="s">
        <v>886</v>
      </c>
      <c r="G504" s="13">
        <v>1</v>
      </c>
      <c r="H504" s="11" t="s">
        <v>25</v>
      </c>
      <c r="I504" s="14">
        <v>2600</v>
      </c>
      <c r="J504" s="10"/>
      <c r="K504" s="14">
        <v>2600</v>
      </c>
      <c r="L504" s="2" t="s">
        <v>887</v>
      </c>
      <c r="M504" s="16">
        <v>46224</v>
      </c>
      <c r="N504" s="17">
        <v>46237</v>
      </c>
      <c r="O504" s="7">
        <v>46227</v>
      </c>
      <c r="P504" s="18">
        <f t="shared" si="14"/>
        <v>3</v>
      </c>
      <c r="Q504" s="18">
        <f t="shared" si="15"/>
        <v>10</v>
      </c>
    </row>
    <row r="505" spans="1:17">
      <c r="A505" s="9">
        <v>504</v>
      </c>
      <c r="B505" s="10" t="s">
        <v>838</v>
      </c>
      <c r="C505" s="11"/>
      <c r="D505" s="10" t="s">
        <v>839</v>
      </c>
      <c r="E505" s="11"/>
      <c r="F505" s="12" t="s">
        <v>840</v>
      </c>
      <c r="G505" s="13">
        <v>1</v>
      </c>
      <c r="H505" s="11" t="s">
        <v>25</v>
      </c>
      <c r="I505" s="14">
        <v>800</v>
      </c>
      <c r="J505" s="10"/>
      <c r="K505" s="14">
        <v>800</v>
      </c>
      <c r="L505" s="2" t="s">
        <v>888</v>
      </c>
      <c r="M505" s="16">
        <v>46212</v>
      </c>
      <c r="N505" s="17">
        <v>46227</v>
      </c>
      <c r="O505" s="7">
        <v>46216</v>
      </c>
      <c r="P505" s="18">
        <f t="shared" si="14"/>
        <v>4</v>
      </c>
      <c r="Q505" s="18">
        <f t="shared" si="15"/>
        <v>11</v>
      </c>
    </row>
    <row r="506" spans="1:17">
      <c r="A506" s="9">
        <v>505</v>
      </c>
      <c r="B506" s="10" t="s">
        <v>838</v>
      </c>
      <c r="C506" s="11"/>
      <c r="D506" s="10" t="s">
        <v>839</v>
      </c>
      <c r="E506" s="11"/>
      <c r="F506" s="12" t="s">
        <v>842</v>
      </c>
      <c r="G506" s="13">
        <v>1</v>
      </c>
      <c r="H506" s="11" t="s">
        <v>25</v>
      </c>
      <c r="I506" s="14">
        <v>600</v>
      </c>
      <c r="J506" s="10"/>
      <c r="K506" s="14">
        <v>600</v>
      </c>
      <c r="L506" s="2" t="s">
        <v>888</v>
      </c>
      <c r="M506" s="16">
        <v>46212</v>
      </c>
      <c r="N506" s="17">
        <v>46227</v>
      </c>
      <c r="O506" s="7">
        <v>46216</v>
      </c>
      <c r="P506" s="18">
        <f t="shared" si="14"/>
        <v>4</v>
      </c>
      <c r="Q506" s="18">
        <f t="shared" si="15"/>
        <v>11</v>
      </c>
    </row>
    <row r="507" spans="1:17">
      <c r="A507" s="9">
        <v>506</v>
      </c>
      <c r="B507" s="10" t="s">
        <v>838</v>
      </c>
      <c r="C507" s="11"/>
      <c r="D507" s="10" t="s">
        <v>839</v>
      </c>
      <c r="E507" s="11"/>
      <c r="F507" s="12" t="s">
        <v>889</v>
      </c>
      <c r="G507" s="13">
        <v>1</v>
      </c>
      <c r="H507" s="11" t="s">
        <v>25</v>
      </c>
      <c r="I507" s="14">
        <v>100</v>
      </c>
      <c r="J507" s="10"/>
      <c r="K507" s="14">
        <v>100</v>
      </c>
      <c r="L507" s="2" t="s">
        <v>888</v>
      </c>
      <c r="M507" s="16">
        <v>46212</v>
      </c>
      <c r="N507" s="17">
        <v>46227</v>
      </c>
      <c r="O507" s="7">
        <v>46216</v>
      </c>
      <c r="P507" s="18">
        <f t="shared" si="14"/>
        <v>4</v>
      </c>
      <c r="Q507" s="18">
        <f t="shared" si="15"/>
        <v>11</v>
      </c>
    </row>
    <row r="508" spans="1:17">
      <c r="A508" s="9">
        <v>507</v>
      </c>
      <c r="B508" s="10" t="s">
        <v>838</v>
      </c>
      <c r="C508" s="11"/>
      <c r="D508" s="10" t="s">
        <v>839</v>
      </c>
      <c r="E508" s="11"/>
      <c r="F508" s="12" t="s">
        <v>890</v>
      </c>
      <c r="G508" s="13">
        <v>1</v>
      </c>
      <c r="H508" s="11" t="s">
        <v>56</v>
      </c>
      <c r="I508" s="14">
        <v>800</v>
      </c>
      <c r="J508" s="10"/>
      <c r="K508" s="14">
        <v>800</v>
      </c>
      <c r="L508" s="2" t="s">
        <v>888</v>
      </c>
      <c r="M508" s="16">
        <v>46212</v>
      </c>
      <c r="N508" s="17">
        <v>46227</v>
      </c>
      <c r="O508" s="7">
        <v>46216</v>
      </c>
      <c r="P508" s="18">
        <f t="shared" si="14"/>
        <v>4</v>
      </c>
      <c r="Q508" s="18">
        <f t="shared" si="15"/>
        <v>11</v>
      </c>
    </row>
    <row r="509" spans="1:17">
      <c r="A509" s="9">
        <v>508</v>
      </c>
      <c r="B509" s="32" t="s">
        <v>796</v>
      </c>
      <c r="C509" s="33" t="s">
        <v>891</v>
      </c>
      <c r="D509" s="32" t="s">
        <v>892</v>
      </c>
      <c r="E509" s="33" t="s">
        <v>893</v>
      </c>
      <c r="F509" s="32" t="s">
        <v>894</v>
      </c>
      <c r="G509" s="34">
        <v>1</v>
      </c>
      <c r="H509" s="33" t="s">
        <v>25</v>
      </c>
      <c r="I509" s="35">
        <v>103.74</v>
      </c>
      <c r="J509" s="35">
        <v>0</v>
      </c>
      <c r="K509" s="35">
        <v>103.74</v>
      </c>
      <c r="L509" s="36" t="s">
        <v>895</v>
      </c>
      <c r="M509" s="37">
        <v>46226</v>
      </c>
      <c r="N509" s="38">
        <v>46241</v>
      </c>
      <c r="O509" s="7">
        <v>46230</v>
      </c>
      <c r="P509" s="18">
        <f t="shared" si="14"/>
        <v>4</v>
      </c>
      <c r="Q509" s="18">
        <f t="shared" si="15"/>
        <v>11</v>
      </c>
    </row>
    <row r="510" spans="1:17">
      <c r="A510" s="9">
        <v>509</v>
      </c>
      <c r="B510" s="32" t="s">
        <v>796</v>
      </c>
      <c r="C510" s="33" t="s">
        <v>891</v>
      </c>
      <c r="D510" s="32" t="s">
        <v>892</v>
      </c>
      <c r="E510" s="33" t="s">
        <v>821</v>
      </c>
      <c r="F510" s="32" t="s">
        <v>896</v>
      </c>
      <c r="G510" s="34">
        <v>1</v>
      </c>
      <c r="H510" s="33" t="s">
        <v>703</v>
      </c>
      <c r="I510" s="35">
        <v>51.4</v>
      </c>
      <c r="J510" s="35">
        <v>0</v>
      </c>
      <c r="K510" s="35">
        <v>51.4</v>
      </c>
      <c r="L510" s="36" t="s">
        <v>895</v>
      </c>
      <c r="M510" s="37">
        <v>46226</v>
      </c>
      <c r="N510" s="38">
        <v>46241</v>
      </c>
      <c r="O510" s="7">
        <v>46230</v>
      </c>
      <c r="P510" s="18">
        <f t="shared" si="14"/>
        <v>4</v>
      </c>
      <c r="Q510" s="18">
        <f t="shared" si="15"/>
        <v>11</v>
      </c>
    </row>
    <row r="511" spans="1:17">
      <c r="A511" s="9">
        <v>510</v>
      </c>
      <c r="B511" s="10" t="s">
        <v>897</v>
      </c>
      <c r="C511" s="11"/>
      <c r="D511" s="10" t="s">
        <v>58</v>
      </c>
      <c r="E511" s="11"/>
      <c r="F511" s="12" t="s">
        <v>898</v>
      </c>
      <c r="G511" s="13">
        <v>2</v>
      </c>
      <c r="H511" s="11" t="s">
        <v>30</v>
      </c>
      <c r="I511" s="14">
        <v>503</v>
      </c>
      <c r="J511" s="10"/>
      <c r="K511" s="14">
        <v>1006</v>
      </c>
      <c r="L511" s="2" t="s">
        <v>899</v>
      </c>
      <c r="M511" s="16">
        <v>46218</v>
      </c>
      <c r="N511" s="17">
        <v>46237</v>
      </c>
      <c r="O511" s="7">
        <v>46225</v>
      </c>
      <c r="P511" s="18">
        <f t="shared" si="14"/>
        <v>7</v>
      </c>
      <c r="Q511" s="18">
        <f t="shared" si="15"/>
        <v>12</v>
      </c>
    </row>
    <row r="512" spans="1:17">
      <c r="A512" s="9">
        <v>511</v>
      </c>
      <c r="B512" s="10" t="s">
        <v>897</v>
      </c>
      <c r="C512" s="11"/>
      <c r="D512" s="10" t="s">
        <v>58</v>
      </c>
      <c r="E512" s="11"/>
      <c r="F512" s="12" t="s">
        <v>900</v>
      </c>
      <c r="G512" s="13">
        <v>2</v>
      </c>
      <c r="H512" s="11" t="s">
        <v>30</v>
      </c>
      <c r="I512" s="14">
        <v>345.8</v>
      </c>
      <c r="J512" s="10"/>
      <c r="K512" s="14">
        <v>691.6</v>
      </c>
      <c r="L512" s="2" t="s">
        <v>899</v>
      </c>
      <c r="M512" s="16">
        <v>46218</v>
      </c>
      <c r="N512" s="17">
        <v>46237</v>
      </c>
      <c r="O512" s="7">
        <v>46225</v>
      </c>
      <c r="P512" s="18">
        <f t="shared" si="14"/>
        <v>7</v>
      </c>
      <c r="Q512" s="18">
        <f t="shared" si="15"/>
        <v>12</v>
      </c>
    </row>
    <row r="513" spans="1:17">
      <c r="A513" s="9">
        <v>512</v>
      </c>
      <c r="B513" s="10" t="s">
        <v>897</v>
      </c>
      <c r="C513" s="11"/>
      <c r="D513" s="10" t="s">
        <v>58</v>
      </c>
      <c r="E513" s="11"/>
      <c r="F513" s="12" t="s">
        <v>901</v>
      </c>
      <c r="G513" s="13">
        <v>2</v>
      </c>
      <c r="H513" s="11" t="s">
        <v>30</v>
      </c>
      <c r="I513" s="14">
        <v>345.8</v>
      </c>
      <c r="J513" s="10"/>
      <c r="K513" s="14">
        <v>691.6</v>
      </c>
      <c r="L513" s="2" t="s">
        <v>899</v>
      </c>
      <c r="M513" s="16">
        <v>46218</v>
      </c>
      <c r="N513" s="17">
        <v>46237</v>
      </c>
      <c r="O513" s="7">
        <v>46225</v>
      </c>
      <c r="P513" s="18">
        <f t="shared" si="14"/>
        <v>7</v>
      </c>
      <c r="Q513" s="18">
        <f t="shared" si="15"/>
        <v>12</v>
      </c>
    </row>
    <row r="514" spans="1:17">
      <c r="A514" s="9">
        <v>513</v>
      </c>
      <c r="B514" s="10" t="s">
        <v>902</v>
      </c>
      <c r="C514" s="11"/>
      <c r="D514" s="10" t="s">
        <v>789</v>
      </c>
      <c r="E514" s="11"/>
      <c r="F514" s="12" t="s">
        <v>903</v>
      </c>
      <c r="G514" s="13">
        <v>1</v>
      </c>
      <c r="H514" s="11" t="s">
        <v>25</v>
      </c>
      <c r="I514" s="14">
        <v>2200</v>
      </c>
      <c r="J514" s="10"/>
      <c r="K514" s="14">
        <v>2200</v>
      </c>
      <c r="L514" s="2" t="s">
        <v>904</v>
      </c>
      <c r="M514" s="16">
        <v>46198</v>
      </c>
      <c r="N514" s="17">
        <v>46218</v>
      </c>
      <c r="O514" s="7">
        <v>46204</v>
      </c>
      <c r="P514" s="18">
        <f t="shared" ref="P514:P521" si="16">O514-M514</f>
        <v>6</v>
      </c>
      <c r="Q514" s="18">
        <f t="shared" ref="Q514:Q521" si="17">N514-O514</f>
        <v>14</v>
      </c>
    </row>
    <row r="515" spans="1:17">
      <c r="A515" s="9">
        <v>514</v>
      </c>
      <c r="B515" s="10" t="s">
        <v>902</v>
      </c>
      <c r="C515" s="11"/>
      <c r="D515" s="10" t="s">
        <v>789</v>
      </c>
      <c r="E515" s="11"/>
      <c r="F515" s="12" t="s">
        <v>905</v>
      </c>
      <c r="G515" s="13">
        <v>1</v>
      </c>
      <c r="H515" s="11" t="s">
        <v>25</v>
      </c>
      <c r="I515" s="14">
        <v>1800</v>
      </c>
      <c r="J515" s="10"/>
      <c r="K515" s="14">
        <v>1800</v>
      </c>
      <c r="L515" s="2" t="s">
        <v>904</v>
      </c>
      <c r="M515" s="16">
        <v>46198</v>
      </c>
      <c r="N515" s="17">
        <v>46218</v>
      </c>
      <c r="O515" s="7">
        <v>46204</v>
      </c>
      <c r="P515" s="18">
        <f t="shared" si="16"/>
        <v>6</v>
      </c>
      <c r="Q515" s="18">
        <f t="shared" si="17"/>
        <v>14</v>
      </c>
    </row>
    <row r="516" spans="1:17">
      <c r="A516" s="9">
        <v>515</v>
      </c>
      <c r="B516" s="10" t="s">
        <v>902</v>
      </c>
      <c r="C516" s="11"/>
      <c r="D516" s="10" t="s">
        <v>789</v>
      </c>
      <c r="E516" s="11"/>
      <c r="F516" s="12" t="s">
        <v>906</v>
      </c>
      <c r="G516" s="13">
        <v>1</v>
      </c>
      <c r="H516" s="11" t="s">
        <v>56</v>
      </c>
      <c r="I516" s="14">
        <v>2000</v>
      </c>
      <c r="J516" s="10"/>
      <c r="K516" s="14">
        <v>2000</v>
      </c>
      <c r="L516" s="2" t="s">
        <v>904</v>
      </c>
      <c r="M516" s="16">
        <v>46198</v>
      </c>
      <c r="N516" s="17">
        <v>46218</v>
      </c>
      <c r="O516" s="7">
        <v>46204</v>
      </c>
      <c r="P516" s="18">
        <f t="shared" si="16"/>
        <v>6</v>
      </c>
      <c r="Q516" s="18">
        <f t="shared" si="17"/>
        <v>14</v>
      </c>
    </row>
    <row r="517" spans="1:17" s="56" customFormat="1">
      <c r="A517" s="9">
        <v>516</v>
      </c>
      <c r="B517" s="10" t="s">
        <v>917</v>
      </c>
      <c r="C517" s="11" t="s">
        <v>918</v>
      </c>
      <c r="D517" s="10" t="s">
        <v>919</v>
      </c>
      <c r="E517" s="11" t="s">
        <v>920</v>
      </c>
      <c r="F517" s="12" t="s">
        <v>921</v>
      </c>
      <c r="G517" s="54">
        <v>1</v>
      </c>
      <c r="H517" s="11" t="s">
        <v>56</v>
      </c>
      <c r="I517" s="14">
        <v>50000</v>
      </c>
      <c r="J517" s="55"/>
      <c r="K517" s="14">
        <v>50000</v>
      </c>
      <c r="L517" s="2" t="s">
        <v>922</v>
      </c>
      <c r="M517" s="16">
        <v>46211</v>
      </c>
      <c r="N517" s="17">
        <v>46224</v>
      </c>
      <c r="O517" s="7">
        <v>46224</v>
      </c>
      <c r="P517" s="18">
        <f t="shared" ref="P517:P521" si="18">O517-M517</f>
        <v>13</v>
      </c>
      <c r="Q517" s="18">
        <f t="shared" ref="Q517:Q521" si="19">N517-O517</f>
        <v>0</v>
      </c>
    </row>
    <row r="518" spans="1:17">
      <c r="A518" s="9">
        <v>517</v>
      </c>
      <c r="B518" s="10" t="s">
        <v>907</v>
      </c>
      <c r="C518" s="11"/>
      <c r="D518" s="10" t="s">
        <v>908</v>
      </c>
      <c r="E518" s="11"/>
      <c r="F518" s="12" t="s">
        <v>909</v>
      </c>
      <c r="G518" s="13">
        <v>1</v>
      </c>
      <c r="H518" s="11" t="s">
        <v>30</v>
      </c>
      <c r="I518" s="14">
        <v>60515</v>
      </c>
      <c r="J518" s="10"/>
      <c r="K518" s="14">
        <v>60515</v>
      </c>
      <c r="L518" s="2" t="s">
        <v>910</v>
      </c>
      <c r="M518" s="16">
        <v>46212</v>
      </c>
      <c r="N518" s="17">
        <v>46237</v>
      </c>
      <c r="O518" s="7">
        <v>46219</v>
      </c>
      <c r="P518" s="18">
        <f t="shared" si="18"/>
        <v>7</v>
      </c>
      <c r="Q518" s="18">
        <f t="shared" si="19"/>
        <v>18</v>
      </c>
    </row>
    <row r="519" spans="1:17">
      <c r="A519" s="9">
        <v>518</v>
      </c>
      <c r="B519" s="10" t="s">
        <v>907</v>
      </c>
      <c r="C519" s="11"/>
      <c r="D519" s="10" t="s">
        <v>908</v>
      </c>
      <c r="E519" s="11"/>
      <c r="F519" s="12" t="s">
        <v>911</v>
      </c>
      <c r="G519" s="13">
        <v>1</v>
      </c>
      <c r="H519" s="11" t="s">
        <v>30</v>
      </c>
      <c r="I519" s="14">
        <v>490</v>
      </c>
      <c r="J519" s="10"/>
      <c r="K519" s="14">
        <v>490</v>
      </c>
      <c r="L519" s="2" t="s">
        <v>910</v>
      </c>
      <c r="M519" s="16">
        <v>46212</v>
      </c>
      <c r="N519" s="17">
        <v>46237</v>
      </c>
      <c r="O519" s="7">
        <v>46219</v>
      </c>
      <c r="P519" s="18">
        <f t="shared" si="18"/>
        <v>7</v>
      </c>
      <c r="Q519" s="18">
        <f t="shared" si="19"/>
        <v>18</v>
      </c>
    </row>
    <row r="520" spans="1:17">
      <c r="A520" s="9">
        <v>519</v>
      </c>
      <c r="B520" s="10" t="s">
        <v>907</v>
      </c>
      <c r="C520" s="11"/>
      <c r="D520" s="10" t="s">
        <v>908</v>
      </c>
      <c r="E520" s="11"/>
      <c r="F520" s="12" t="s">
        <v>912</v>
      </c>
      <c r="G520" s="13">
        <v>1</v>
      </c>
      <c r="H520" s="11" t="s">
        <v>30</v>
      </c>
      <c r="I520" s="14">
        <v>1568</v>
      </c>
      <c r="J520" s="10"/>
      <c r="K520" s="14">
        <v>1568</v>
      </c>
      <c r="L520" s="2" t="s">
        <v>910</v>
      </c>
      <c r="M520" s="16">
        <v>46212</v>
      </c>
      <c r="N520" s="17">
        <v>46237</v>
      </c>
      <c r="O520" s="7">
        <v>46219</v>
      </c>
      <c r="P520" s="18">
        <f t="shared" si="18"/>
        <v>7</v>
      </c>
      <c r="Q520" s="18">
        <f t="shared" si="19"/>
        <v>18</v>
      </c>
    </row>
    <row r="521" spans="1:17">
      <c r="A521" s="9">
        <v>520</v>
      </c>
      <c r="B521" s="10" t="s">
        <v>907</v>
      </c>
      <c r="C521" s="11"/>
      <c r="D521" s="10" t="s">
        <v>908</v>
      </c>
      <c r="E521" s="11"/>
      <c r="F521" s="12" t="s">
        <v>913</v>
      </c>
      <c r="G521" s="13">
        <v>1</v>
      </c>
      <c r="H521" s="11" t="s">
        <v>30</v>
      </c>
      <c r="I521" s="14">
        <v>1764</v>
      </c>
      <c r="J521" s="10"/>
      <c r="K521" s="14">
        <v>1764</v>
      </c>
      <c r="L521" s="2" t="s">
        <v>910</v>
      </c>
      <c r="M521" s="16">
        <v>46212</v>
      </c>
      <c r="N521" s="17">
        <v>46237</v>
      </c>
      <c r="O521" s="7">
        <v>46219</v>
      </c>
      <c r="P521" s="18">
        <f t="shared" si="18"/>
        <v>7</v>
      </c>
      <c r="Q521" s="18">
        <f t="shared" si="19"/>
        <v>18</v>
      </c>
    </row>
    <row r="523" spans="1:17">
      <c r="F523" s="41" t="s">
        <v>914</v>
      </c>
      <c r="G523" s="42">
        <v>520</v>
      </c>
    </row>
    <row r="524" spans="1:17">
      <c r="F524" s="49" t="s">
        <v>915</v>
      </c>
      <c r="G524" s="50">
        <f>G523-32</f>
        <v>488</v>
      </c>
    </row>
    <row r="525" spans="1:17">
      <c r="F525" s="51" t="s">
        <v>916</v>
      </c>
      <c r="G525" s="52">
        <f>+G524*100/G523</f>
        <v>93.84615384615384</v>
      </c>
    </row>
  </sheetData>
  <autoFilter ref="B1:Q1" xr:uid="{0D56023A-C892-4B03-8D12-9D051BD4F02B}">
    <sortState xmlns:xlrd2="http://schemas.microsoft.com/office/spreadsheetml/2017/richdata2" ref="B2:Q520">
      <sortCondition ref="Q1"/>
    </sortState>
  </autoFilter>
  <conditionalFormatting sqref="C510:C516 C518:C521">
    <cfRule type="expression" dxfId="3" priority="3">
      <formula>C510&lt;&gt;""</formula>
    </cfRule>
  </conditionalFormatting>
  <conditionalFormatting sqref="J510:J516 J518:J521">
    <cfRule type="expression" dxfId="2" priority="4">
      <formula>J510&lt;&gt;0</formula>
    </cfRule>
  </conditionalFormatting>
  <conditionalFormatting sqref="C517">
    <cfRule type="expression" dxfId="1" priority="1">
      <formula>C517&lt;&gt;""</formula>
    </cfRule>
  </conditionalFormatting>
  <conditionalFormatting sqref="J517">
    <cfRule type="expression" dxfId="0" priority="2">
      <formula>J517&lt;&gt;0</formula>
    </cfRule>
  </conditionalFormatting>
  <pageMargins left="0.47244094488188981" right="0.47244094488188981" top="0.78740157480314965" bottom="0.78740157480314965" header="0.51181102362204722" footer="0.51181102362204722"/>
  <pageSetup scale="2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PO-KPI-Jul</vt:lpstr>
      <vt:lpstr>'PO-KPI-Jul'!Print_Area</vt:lpstr>
      <vt:lpstr>'PO-KPI-Jul'!Print_Titles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urai Boontaeng</dc:creator>
  <cp:lastModifiedBy>urai Boontaeng</cp:lastModifiedBy>
  <dcterms:created xsi:type="dcterms:W3CDTF">2026-08-13T08:30:53Z</dcterms:created>
  <dcterms:modified xsi:type="dcterms:W3CDTF">2026-08-18T03:09:04Z</dcterms:modified>
</cp:coreProperties>
</file>