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urchase\Public\1.KPI-PURCHASING\2026\7.Jul\"/>
    </mc:Choice>
  </mc:AlternateContent>
  <xr:revisionPtr revIDLastSave="0" documentId="13_ncr:1_{6BA5383E-1680-43EB-87CC-316F29F1EC2E}" xr6:coauthVersionLast="47" xr6:coauthVersionMax="47" xr10:uidLastSave="{00000000-0000-0000-0000-000000000000}"/>
  <bookViews>
    <workbookView xWindow="-120" yWindow="-120" windowWidth="29040" windowHeight="15720" tabRatio="842" activeTab="2" xr2:uid="{2F7CCE07-1CEA-4802-81D2-930AA83C9A3F}"/>
  </bookViews>
  <sheets>
    <sheet name="KPI-(ข้อ1)" sheetId="10" r:id="rId1"/>
    <sheet name="KPI-(ข้อ2)" sheetId="11" r:id="rId2"/>
    <sheet name="Data Dlivery-Jul" sheetId="17" r:id="rId3"/>
    <sheet name="Data Cost Saving Jul" sheetId="1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a" localSheetId="0">#REF!</definedName>
    <definedName name="\a" localSheetId="1">#REF!</definedName>
    <definedName name="\a">#REF!</definedName>
    <definedName name="__________ws01" localSheetId="0">#REF!</definedName>
    <definedName name="__________ws01" localSheetId="1">#REF!</definedName>
    <definedName name="__________ws01">#REF!</definedName>
    <definedName name="_________ws01" localSheetId="0">#REF!</definedName>
    <definedName name="_________ws01" localSheetId="1">#REF!</definedName>
    <definedName name="_________ws01">#REF!</definedName>
    <definedName name="________ws01" localSheetId="0">#REF!</definedName>
    <definedName name="________ws01" localSheetId="1">#REF!</definedName>
    <definedName name="________ws01">#REF!</definedName>
    <definedName name="_______ws01" localSheetId="0">#REF!</definedName>
    <definedName name="_______ws01" localSheetId="1">#REF!</definedName>
    <definedName name="_______ws01">#REF!</definedName>
    <definedName name="______ws01" localSheetId="0">#REF!</definedName>
    <definedName name="______ws01" localSheetId="1">#REF!</definedName>
    <definedName name="______ws01">#REF!</definedName>
    <definedName name="_____ws01" localSheetId="0">#REF!</definedName>
    <definedName name="_____ws01" localSheetId="1">#REF!</definedName>
    <definedName name="_____ws01">#REF!</definedName>
    <definedName name="____ws01" localSheetId="0">#REF!</definedName>
    <definedName name="____ws01" localSheetId="1">#REF!</definedName>
    <definedName name="____ws01">#REF!</definedName>
    <definedName name="___ws01" localSheetId="0">#REF!</definedName>
    <definedName name="___ws01" localSheetId="1">#REF!</definedName>
    <definedName name="___ws01">#REF!</definedName>
    <definedName name="__ws01" localSheetId="0">#REF!</definedName>
    <definedName name="__ws01" localSheetId="1">#REF!</definedName>
    <definedName name="__ws01">#REF!</definedName>
    <definedName name="_xlnm._FilterDatabase" localSheetId="2" hidden="1">'Data Dlivery-Jul'!$B$1:$Q$1</definedName>
    <definedName name="_xlnm._FilterDatabase" localSheetId="0" hidden="1">'KPI-(ข้อ1)'!#REF!</definedName>
    <definedName name="_xlnm._FilterDatabase" localSheetId="1" hidden="1">'KPI-(ข้อ2)'!#REF!</definedName>
    <definedName name="_ws01" localSheetId="0">#REF!</definedName>
    <definedName name="_ws01" localSheetId="1">#REF!</definedName>
    <definedName name="_ws01">#REF!</definedName>
    <definedName name="COMPONENT" localSheetId="0">#REF!</definedName>
    <definedName name="COMPONENT" localSheetId="1">#REF!</definedName>
    <definedName name="COMPONENT">#REF!</definedName>
    <definedName name="D" localSheetId="0">#REF!</definedName>
    <definedName name="D" localSheetId="1">#REF!</definedName>
    <definedName name="D">#REF!</definedName>
    <definedName name="_xlnm.Database">#REF!</definedName>
    <definedName name="emEmployee">#REF!</definedName>
    <definedName name="INJ" localSheetId="0">[1]imp_fan!#REF!</definedName>
    <definedName name="INJ" localSheetId="1">[1]imp_fan!#REF!</definedName>
    <definedName name="INJ">[1]imp_fan!#REF!</definedName>
    <definedName name="Item">#REF!</definedName>
    <definedName name="L" localSheetId="0">[1]imp_fan!#REF!</definedName>
    <definedName name="L" localSheetId="1">[1]imp_fan!#REF!</definedName>
    <definedName name="L">[1]imp_fan!#REF!</definedName>
    <definedName name="LIL" localSheetId="0">[1]imp_fan!#REF!</definedName>
    <definedName name="LIL" localSheetId="1">[1]imp_fan!#REF!</definedName>
    <definedName name="LIL">[1]imp_fan!#REF!</definedName>
    <definedName name="MmExcelLinker_49D82E75_8F9B_4A57_A417_3E7841114B35" localSheetId="3">Quality  [2]Incoming!$K$43:$K$43</definedName>
    <definedName name="MmExcelLinker_49D82E75_8F9B_4A57_A417_3E7841114B35" localSheetId="0">Quality  [2]Incoming!$K$43:$K$43</definedName>
    <definedName name="MmExcelLinker_49D82E75_8F9B_4A57_A417_3E7841114B35" localSheetId="1">Quality  [2]Incoming!$K$43:$K$43</definedName>
    <definedName name="MmExcelLinker_49D82E75_8F9B_4A57_A417_3E7841114B35">Quality  [2]Incoming!$K$43:$K$43</definedName>
    <definedName name="MmExcelLinker_C5DE5CB7_5842_4385_8ABA_156584653BDB" localSheetId="3">SOURCE [3]REJECT!$S$10:$S$10</definedName>
    <definedName name="MmExcelLinker_C5DE5CB7_5842_4385_8ABA_156584653BDB" localSheetId="0">SOURCE [3]REJECT!$S$10:$S$10</definedName>
    <definedName name="MmExcelLinker_C5DE5CB7_5842_4385_8ABA_156584653BDB" localSheetId="1">SOURCE [3]REJECT!$S$10:$S$10</definedName>
    <definedName name="MmExcelLinker_C5DE5CB7_5842_4385_8ABA_156584653BDB">SOURCE [3]REJECT!$S$10:$S$10</definedName>
    <definedName name="Model">OFFSET([4]Description!$B$1,0,0,COUNTA([4]Description!$B:$B),2)</definedName>
    <definedName name="Model_Name">OFFSET([5]Description!$B$1,0,0,COUNTA([5]Description!$B:$B),2)</definedName>
    <definedName name="MyProd">OFFSET('[6]RawMat List'!$B$3,0,0,COUNTA('[6]RawMat List'!$B:$B)-1,16)</definedName>
    <definedName name="PartCOde">OFFSET('[7]Part List'!$B$3,0,0,COUNTA('[7]Part List'!$B:$B)-2,1)</definedName>
    <definedName name="PartList">OFFSET('[6]Part List'!$B$3,0,0,COUNTA('[6]Part List'!$B:$B)-2,16)</definedName>
    <definedName name="Plan">'[8]วางค่า Plan'!$B$6:$D$531</definedName>
    <definedName name="Plan_Confirm">#REF!</definedName>
    <definedName name="Plan_Sum">'[8]วางค่า Plan'!$D$6:$D$531</definedName>
    <definedName name="PLN" localSheetId="0">[1]imp_fan!#REF!</definedName>
    <definedName name="PLN" localSheetId="1">[1]imp_fan!#REF!</definedName>
    <definedName name="PLN">[1]imp_fan!#REF!</definedName>
    <definedName name="_xlnm.Print_Area" localSheetId="2">'Data Dlivery-Jul'!$A$1:$Q$1</definedName>
    <definedName name="_xlnm.Print_Area">#REF!</definedName>
    <definedName name="PRINT_AREA_MI" localSheetId="0">#REF!</definedName>
    <definedName name="PRINT_AREA_MI" localSheetId="1">#REF!</definedName>
    <definedName name="PRINT_AREA_MI">#REF!</definedName>
    <definedName name="_xlnm.Print_Titles" localSheetId="2">'Data Dlivery-Jul'!$1:$1</definedName>
    <definedName name="ProdCode">OFFSET('[7]RawMat List'!$B$3,0,0,COUNTA('[7]RawMat List'!$B:$B)-1,1)</definedName>
    <definedName name="ProdName">OFFSET('[7]RawMat List'!$C$3,0,0,COUNTA('[7]RawMat List'!$C:$C)-1,1)</definedName>
    <definedName name="STKM" localSheetId="0">[1]imp_fan!#REF!</definedName>
    <definedName name="STKM" localSheetId="1">[1]imp_fan!#REF!</definedName>
    <definedName name="STKM">[1]imp_fan!#REF!</definedName>
    <definedName name="T" localSheetId="0">#REF!</definedName>
    <definedName name="T" localSheetId="1">#REF!</definedName>
    <definedName name="T">#REF!</definedName>
    <definedName name="TS">OFFSET([5]TS!$C$4,0,0,COUNTA([5]TS!$C:$C)-1,12)</definedName>
    <definedName name="VOL" localSheetId="0">[1]imp_fan!#REF!</definedName>
    <definedName name="VOL" localSheetId="1">[1]imp_fan!#REF!</definedName>
    <definedName name="VOL">[1]imp_fan!#REF!</definedName>
    <definedName name="Z" localSheetId="0">#REF!</definedName>
    <definedName name="Z" localSheetId="1">#REF!</definedName>
    <definedName name="Z">#REF!</definedName>
    <definedName name="คงค้าง_Sum">#REF!</definedName>
    <definedName name="ยอดบรรจุ">#REF!</definedName>
    <definedName name="ยอดบรรจุ_Sum">#REF!</definedName>
    <definedName name="ยอดประกอบ">#REF!</definedName>
    <definedName name="ยอดประกอบ_Sum">#REF!</definedName>
    <definedName name="สมบูรญ์อาซาฮี" localSheetId="0">#REF!</definedName>
    <definedName name="สมบูรญ์อาซาฮี" localSheetId="1">#REF!</definedName>
    <definedName name="สมบูรญ์อาซาฮี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7" i="17" l="1"/>
  <c r="Q517" i="17"/>
  <c r="P518" i="17"/>
  <c r="Q518" i="17"/>
  <c r="O14" i="11"/>
  <c r="O12" i="11"/>
  <c r="G37" i="18"/>
  <c r="F37" i="18"/>
  <c r="H37" i="18" s="1"/>
  <c r="I37" i="18" s="1"/>
  <c r="G36" i="18"/>
  <c r="F36" i="18"/>
  <c r="H36" i="18" s="1"/>
  <c r="I36" i="18" s="1"/>
  <c r="G35" i="18"/>
  <c r="F35" i="18"/>
  <c r="H35" i="18" s="1"/>
  <c r="I35" i="18" s="1"/>
  <c r="G34" i="18"/>
  <c r="F34" i="18"/>
  <c r="H34" i="18" s="1"/>
  <c r="I34" i="18" s="1"/>
  <c r="G33" i="18"/>
  <c r="F33" i="18"/>
  <c r="H33" i="18" s="1"/>
  <c r="I33" i="18" s="1"/>
  <c r="G32" i="18"/>
  <c r="F32" i="18"/>
  <c r="H32" i="18" s="1"/>
  <c r="I32" i="18" s="1"/>
  <c r="G31" i="18"/>
  <c r="F31" i="18"/>
  <c r="H31" i="18" s="1"/>
  <c r="I31" i="18" s="1"/>
  <c r="G30" i="18"/>
  <c r="F30" i="18"/>
  <c r="H30" i="18" s="1"/>
  <c r="I30" i="18" s="1"/>
  <c r="G29" i="18"/>
  <c r="F29" i="18"/>
  <c r="H29" i="18" s="1"/>
  <c r="I29" i="18" s="1"/>
  <c r="G28" i="18"/>
  <c r="F28" i="18"/>
  <c r="H28" i="18" s="1"/>
  <c r="I28" i="18" s="1"/>
  <c r="G27" i="18"/>
  <c r="F27" i="18"/>
  <c r="H27" i="18" s="1"/>
  <c r="I27" i="18" s="1"/>
  <c r="G26" i="18"/>
  <c r="F26" i="18"/>
  <c r="H26" i="18" s="1"/>
  <c r="I26" i="18" s="1"/>
  <c r="G25" i="18"/>
  <c r="F25" i="18"/>
  <c r="H25" i="18" s="1"/>
  <c r="I25" i="18" s="1"/>
  <c r="G24" i="18"/>
  <c r="F24" i="18"/>
  <c r="H24" i="18" s="1"/>
  <c r="I24" i="18" s="1"/>
  <c r="G23" i="18"/>
  <c r="F23" i="18"/>
  <c r="H23" i="18" s="1"/>
  <c r="I23" i="18" s="1"/>
  <c r="G22" i="18"/>
  <c r="F22" i="18"/>
  <c r="H22" i="18" s="1"/>
  <c r="I22" i="18" s="1"/>
  <c r="G21" i="18"/>
  <c r="F21" i="18"/>
  <c r="H21" i="18" s="1"/>
  <c r="I21" i="18" s="1"/>
  <c r="E21" i="18"/>
  <c r="G20" i="18"/>
  <c r="F20" i="18"/>
  <c r="H20" i="18" s="1"/>
  <c r="I20" i="18" s="1"/>
  <c r="G19" i="18"/>
  <c r="F19" i="18"/>
  <c r="H19" i="18" s="1"/>
  <c r="I19" i="18" s="1"/>
  <c r="G18" i="18"/>
  <c r="H18" i="18" s="1"/>
  <c r="I18" i="18" s="1"/>
  <c r="F18" i="18"/>
  <c r="G17" i="18"/>
  <c r="F17" i="18"/>
  <c r="H17" i="18" s="1"/>
  <c r="I17" i="18" s="1"/>
  <c r="G16" i="18"/>
  <c r="F16" i="18"/>
  <c r="H16" i="18" s="1"/>
  <c r="I16" i="18" s="1"/>
  <c r="G15" i="18"/>
  <c r="H15" i="18" s="1"/>
  <c r="I15" i="18" s="1"/>
  <c r="F15" i="18"/>
  <c r="G14" i="18"/>
  <c r="F14" i="18"/>
  <c r="H14" i="18" s="1"/>
  <c r="I14" i="18" s="1"/>
  <c r="G13" i="18"/>
  <c r="F13" i="18"/>
  <c r="H13" i="18" s="1"/>
  <c r="I13" i="18" s="1"/>
  <c r="G12" i="18"/>
  <c r="H12" i="18" s="1"/>
  <c r="I12" i="18" s="1"/>
  <c r="F12" i="18"/>
  <c r="G11" i="18"/>
  <c r="F11" i="18"/>
  <c r="H11" i="18" s="1"/>
  <c r="I11" i="18" s="1"/>
  <c r="G10" i="18"/>
  <c r="F10" i="18"/>
  <c r="H10" i="18" s="1"/>
  <c r="I10" i="18" s="1"/>
  <c r="G9" i="18"/>
  <c r="H9" i="18" s="1"/>
  <c r="I9" i="18" s="1"/>
  <c r="F9" i="18"/>
  <c r="G8" i="18"/>
  <c r="F8" i="18"/>
  <c r="H8" i="18" s="1"/>
  <c r="I8" i="18" s="1"/>
  <c r="G7" i="18"/>
  <c r="F7" i="18"/>
  <c r="H7" i="18" s="1"/>
  <c r="I7" i="18" s="1"/>
  <c r="G6" i="18"/>
  <c r="H6" i="18" s="1"/>
  <c r="I6" i="18" s="1"/>
  <c r="F6" i="18"/>
  <c r="G5" i="18"/>
  <c r="G38" i="18" s="1"/>
  <c r="F5" i="18"/>
  <c r="H5" i="18" s="1"/>
  <c r="H38" i="18" l="1"/>
  <c r="I5" i="18"/>
  <c r="F38" i="18"/>
  <c r="I38" i="18" l="1"/>
  <c r="G524" i="17" l="1"/>
  <c r="G525" i="17" s="1"/>
  <c r="Q521" i="17"/>
  <c r="P521" i="17"/>
  <c r="Q520" i="17"/>
  <c r="P520" i="17"/>
  <c r="Q519" i="17"/>
  <c r="P519" i="17"/>
  <c r="Q516" i="17"/>
  <c r="P516" i="17"/>
  <c r="Q515" i="17"/>
  <c r="P515" i="17"/>
  <c r="Q514" i="17"/>
  <c r="P514" i="17"/>
  <c r="Q513" i="17"/>
  <c r="P513" i="17"/>
  <c r="Q512" i="17"/>
  <c r="P512" i="17"/>
  <c r="Q511" i="17"/>
  <c r="P511" i="17"/>
  <c r="Q510" i="17"/>
  <c r="P510" i="17"/>
  <c r="Q509" i="17"/>
  <c r="P509" i="17"/>
  <c r="Q508" i="17"/>
  <c r="P508" i="17"/>
  <c r="Q507" i="17"/>
  <c r="P507" i="17"/>
  <c r="Q506" i="17"/>
  <c r="P506" i="17"/>
  <c r="Q505" i="17"/>
  <c r="P505" i="17"/>
  <c r="Q504" i="17"/>
  <c r="P504" i="17"/>
  <c r="Q503" i="17"/>
  <c r="P503" i="17"/>
  <c r="Q502" i="17"/>
  <c r="P502" i="17"/>
  <c r="Q501" i="17"/>
  <c r="P501" i="17"/>
  <c r="Q500" i="17"/>
  <c r="P500" i="17"/>
  <c r="Q499" i="17"/>
  <c r="P499" i="17"/>
  <c r="Q498" i="17"/>
  <c r="P498" i="17"/>
  <c r="Q497" i="17"/>
  <c r="P497" i="17"/>
  <c r="Q496" i="17"/>
  <c r="P496" i="17"/>
  <c r="Q495" i="17"/>
  <c r="P495" i="17"/>
  <c r="Q494" i="17"/>
  <c r="P494" i="17"/>
  <c r="Q493" i="17"/>
  <c r="P493" i="17"/>
  <c r="Q492" i="17"/>
  <c r="P492" i="17"/>
  <c r="Q491" i="17"/>
  <c r="P491" i="17"/>
  <c r="Q490" i="17"/>
  <c r="P490" i="17"/>
  <c r="Q489" i="17"/>
  <c r="P489" i="17"/>
  <c r="Q488" i="17"/>
  <c r="P488" i="17"/>
  <c r="Q487" i="17"/>
  <c r="P487" i="17"/>
  <c r="Q486" i="17"/>
  <c r="P486" i="17"/>
  <c r="Q485" i="17"/>
  <c r="P485" i="17"/>
  <c r="Q484" i="17"/>
  <c r="P484" i="17"/>
  <c r="Q483" i="17"/>
  <c r="P483" i="17"/>
  <c r="Q482" i="17"/>
  <c r="P482" i="17"/>
  <c r="Q481" i="17"/>
  <c r="P481" i="17"/>
  <c r="Q480" i="17"/>
  <c r="P480" i="17"/>
  <c r="Q479" i="17"/>
  <c r="P479" i="17"/>
  <c r="Q478" i="17"/>
  <c r="P478" i="17"/>
  <c r="Q477" i="17"/>
  <c r="P477" i="17"/>
  <c r="Q476" i="17"/>
  <c r="P476" i="17"/>
  <c r="Q475" i="17"/>
  <c r="P475" i="17"/>
  <c r="Q474" i="17"/>
  <c r="P474" i="17"/>
  <c r="Q473" i="17"/>
  <c r="P473" i="17"/>
  <c r="Q472" i="17"/>
  <c r="P472" i="17"/>
  <c r="Q471" i="17"/>
  <c r="P471" i="17"/>
  <c r="Q470" i="17"/>
  <c r="P470" i="17"/>
  <c r="Q469" i="17"/>
  <c r="P469" i="17"/>
  <c r="Q468" i="17"/>
  <c r="P468" i="17"/>
  <c r="Q467" i="17"/>
  <c r="P467" i="17"/>
  <c r="Q466" i="17"/>
  <c r="P466" i="17"/>
  <c r="Q465" i="17"/>
  <c r="P465" i="17"/>
  <c r="Q464" i="17"/>
  <c r="P464" i="17"/>
  <c r="Q463" i="17"/>
  <c r="P463" i="17"/>
  <c r="Q462" i="17"/>
  <c r="P462" i="17"/>
  <c r="Q461" i="17"/>
  <c r="P461" i="17"/>
  <c r="Q460" i="17"/>
  <c r="P460" i="17"/>
  <c r="Q459" i="17"/>
  <c r="P459" i="17"/>
  <c r="Q458" i="17"/>
  <c r="P458" i="17"/>
  <c r="Q457" i="17"/>
  <c r="P457" i="17"/>
  <c r="Q456" i="17"/>
  <c r="P456" i="17"/>
  <c r="Q455" i="17"/>
  <c r="P455" i="17"/>
  <c r="Q454" i="17"/>
  <c r="P454" i="17"/>
  <c r="Q453" i="17"/>
  <c r="P453" i="17"/>
  <c r="Q452" i="17"/>
  <c r="P452" i="17"/>
  <c r="Q451" i="17"/>
  <c r="P451" i="17"/>
  <c r="Q450" i="17"/>
  <c r="P450" i="17"/>
  <c r="Q449" i="17"/>
  <c r="P449" i="17"/>
  <c r="Q448" i="17"/>
  <c r="P448" i="17"/>
  <c r="Q447" i="17"/>
  <c r="P447" i="17"/>
  <c r="K447" i="17"/>
  <c r="Q446" i="17"/>
  <c r="P446" i="17"/>
  <c r="K446" i="17"/>
  <c r="Q445" i="17"/>
  <c r="P445" i="17"/>
  <c r="K445" i="17"/>
  <c r="Q444" i="17"/>
  <c r="P444" i="17"/>
  <c r="K444" i="17"/>
  <c r="Q443" i="17"/>
  <c r="P443" i="17"/>
  <c r="Q442" i="17"/>
  <c r="P442" i="17"/>
  <c r="Q441" i="17"/>
  <c r="P441" i="17"/>
  <c r="Q440" i="17"/>
  <c r="P440" i="17"/>
  <c r="Q439" i="17"/>
  <c r="P439" i="17"/>
  <c r="Q438" i="17"/>
  <c r="P438" i="17"/>
  <c r="Q437" i="17"/>
  <c r="P437" i="17"/>
  <c r="Q436" i="17"/>
  <c r="P436" i="17"/>
  <c r="Q435" i="17"/>
  <c r="P435" i="17"/>
  <c r="Q434" i="17"/>
  <c r="P434" i="17"/>
  <c r="Q433" i="17"/>
  <c r="P433" i="17"/>
  <c r="Q432" i="17"/>
  <c r="P432" i="17"/>
  <c r="Q431" i="17"/>
  <c r="P431" i="17"/>
  <c r="Q430" i="17"/>
  <c r="P430" i="17"/>
  <c r="Q429" i="17"/>
  <c r="P429" i="17"/>
  <c r="Q428" i="17"/>
  <c r="P428" i="17"/>
  <c r="Q427" i="17"/>
  <c r="P427" i="17"/>
  <c r="Q426" i="17"/>
  <c r="P426" i="17"/>
  <c r="Q425" i="17"/>
  <c r="P425" i="17"/>
  <c r="Q424" i="17"/>
  <c r="P424" i="17"/>
  <c r="Q423" i="17"/>
  <c r="P423" i="17"/>
  <c r="Q422" i="17"/>
  <c r="P422" i="17"/>
  <c r="Q421" i="17"/>
  <c r="P421" i="17"/>
  <c r="Q420" i="17"/>
  <c r="P420" i="17"/>
  <c r="Q419" i="17"/>
  <c r="P419" i="17"/>
  <c r="Q418" i="17"/>
  <c r="P418" i="17"/>
  <c r="Q417" i="17"/>
  <c r="P417" i="17"/>
  <c r="Q416" i="17"/>
  <c r="P416" i="17"/>
  <c r="Q415" i="17"/>
  <c r="P415" i="17"/>
  <c r="Q414" i="17"/>
  <c r="P414" i="17"/>
  <c r="Q413" i="17"/>
  <c r="P413" i="17"/>
  <c r="Q412" i="17"/>
  <c r="P412" i="17"/>
  <c r="Q411" i="17"/>
  <c r="P411" i="17"/>
  <c r="Q410" i="17"/>
  <c r="P410" i="17"/>
  <c r="Q409" i="17"/>
  <c r="P409" i="17"/>
  <c r="Q408" i="17"/>
  <c r="P408" i="17"/>
  <c r="Q407" i="17"/>
  <c r="P407" i="17"/>
  <c r="Q406" i="17"/>
  <c r="P406" i="17"/>
  <c r="Q405" i="17"/>
  <c r="P405" i="17"/>
  <c r="Q404" i="17"/>
  <c r="P404" i="17"/>
  <c r="Q403" i="17"/>
  <c r="P403" i="17"/>
  <c r="Q402" i="17"/>
  <c r="P402" i="17"/>
  <c r="Q401" i="17"/>
  <c r="P401" i="17"/>
  <c r="Q400" i="17"/>
  <c r="P400" i="17"/>
  <c r="Q399" i="17"/>
  <c r="P399" i="17"/>
  <c r="Q398" i="17"/>
  <c r="P398" i="17"/>
  <c r="Q397" i="17"/>
  <c r="P397" i="17"/>
  <c r="Q396" i="17"/>
  <c r="P396" i="17"/>
  <c r="Q395" i="17"/>
  <c r="P395" i="17"/>
  <c r="Q394" i="17"/>
  <c r="P394" i="17"/>
  <c r="Q393" i="17"/>
  <c r="P393" i="17"/>
  <c r="Q392" i="17"/>
  <c r="P392" i="17"/>
  <c r="Q391" i="17"/>
  <c r="P391" i="17"/>
  <c r="Q390" i="17"/>
  <c r="P390" i="17"/>
  <c r="Q389" i="17"/>
  <c r="P389" i="17"/>
  <c r="Q388" i="17"/>
  <c r="P388" i="17"/>
  <c r="Q387" i="17"/>
  <c r="P387" i="17"/>
  <c r="Q386" i="17"/>
  <c r="P386" i="17"/>
  <c r="Q385" i="17"/>
  <c r="P385" i="17"/>
  <c r="Q384" i="17"/>
  <c r="P384" i="17"/>
  <c r="Q383" i="17"/>
  <c r="P383" i="17"/>
  <c r="Q382" i="17"/>
  <c r="P382" i="17"/>
  <c r="Q381" i="17"/>
  <c r="P381" i="17"/>
  <c r="Q380" i="17"/>
  <c r="P380" i="17"/>
  <c r="Q379" i="17"/>
  <c r="P379" i="17"/>
  <c r="Q378" i="17"/>
  <c r="P378" i="17"/>
  <c r="Q377" i="17"/>
  <c r="P377" i="17"/>
  <c r="Q376" i="17"/>
  <c r="P376" i="17"/>
  <c r="Q375" i="17"/>
  <c r="P375" i="17"/>
  <c r="Q374" i="17"/>
  <c r="P374" i="17"/>
  <c r="Q373" i="17"/>
  <c r="P373" i="17"/>
  <c r="Q372" i="17"/>
  <c r="P372" i="17"/>
  <c r="Q371" i="17"/>
  <c r="P371" i="17"/>
  <c r="Q370" i="17"/>
  <c r="P370" i="17"/>
  <c r="Q369" i="17"/>
  <c r="P369" i="17"/>
  <c r="Q368" i="17"/>
  <c r="P368" i="17"/>
  <c r="Q367" i="17"/>
  <c r="P367" i="17"/>
  <c r="Q366" i="17"/>
  <c r="P366" i="17"/>
  <c r="Q365" i="17"/>
  <c r="P365" i="17"/>
  <c r="Q364" i="17"/>
  <c r="P364" i="17"/>
  <c r="Q363" i="17"/>
  <c r="P363" i="17"/>
  <c r="Q362" i="17"/>
  <c r="P362" i="17"/>
  <c r="Q361" i="17"/>
  <c r="P361" i="17"/>
  <c r="Q360" i="17"/>
  <c r="P360" i="17"/>
  <c r="Q359" i="17"/>
  <c r="P359" i="17"/>
  <c r="Q358" i="17"/>
  <c r="P358" i="17"/>
  <c r="Q357" i="17"/>
  <c r="P357" i="17"/>
  <c r="Q356" i="17"/>
  <c r="P356" i="17"/>
  <c r="Q355" i="17"/>
  <c r="P355" i="17"/>
  <c r="Q354" i="17"/>
  <c r="P354" i="17"/>
  <c r="Q353" i="17"/>
  <c r="P353" i="17"/>
  <c r="Q352" i="17"/>
  <c r="P352" i="17"/>
  <c r="Q351" i="17"/>
  <c r="P351" i="17"/>
  <c r="Q350" i="17"/>
  <c r="P350" i="17"/>
  <c r="Q349" i="17"/>
  <c r="P349" i="17"/>
  <c r="Q348" i="17"/>
  <c r="P348" i="17"/>
  <c r="Q347" i="17"/>
  <c r="P347" i="17"/>
  <c r="Q346" i="17"/>
  <c r="P346" i="17"/>
  <c r="Q345" i="17"/>
  <c r="P345" i="17"/>
  <c r="Q344" i="17"/>
  <c r="P344" i="17"/>
  <c r="Q343" i="17"/>
  <c r="P343" i="17"/>
  <c r="Q342" i="17"/>
  <c r="P342" i="17"/>
  <c r="Q341" i="17"/>
  <c r="P341" i="17"/>
  <c r="Q340" i="17"/>
  <c r="P340" i="17"/>
  <c r="Q339" i="17"/>
  <c r="P339" i="17"/>
  <c r="Q338" i="17"/>
  <c r="P338" i="17"/>
  <c r="Q337" i="17"/>
  <c r="P337" i="17"/>
  <c r="Q336" i="17"/>
  <c r="P336" i="17"/>
  <c r="Q335" i="17"/>
  <c r="P335" i="17"/>
  <c r="Q334" i="17"/>
  <c r="P334" i="17"/>
  <c r="Q333" i="17"/>
  <c r="P333" i="17"/>
  <c r="Q332" i="17"/>
  <c r="P332" i="17"/>
  <c r="Q331" i="17"/>
  <c r="P331" i="17"/>
  <c r="Q330" i="17"/>
  <c r="P330" i="17"/>
  <c r="Q329" i="17"/>
  <c r="P329" i="17"/>
  <c r="Q328" i="17"/>
  <c r="P328" i="17"/>
  <c r="Q327" i="17"/>
  <c r="P327" i="17"/>
  <c r="Q326" i="17"/>
  <c r="P326" i="17"/>
  <c r="Q325" i="17"/>
  <c r="P325" i="17"/>
  <c r="Q324" i="17"/>
  <c r="P324" i="17"/>
  <c r="Q323" i="17"/>
  <c r="P323" i="17"/>
  <c r="Q322" i="17"/>
  <c r="P322" i="17"/>
  <c r="Q321" i="17"/>
  <c r="P321" i="17"/>
  <c r="Q320" i="17"/>
  <c r="P320" i="17"/>
  <c r="Q319" i="17"/>
  <c r="P319" i="17"/>
  <c r="Q318" i="17"/>
  <c r="P318" i="17"/>
  <c r="Q317" i="17"/>
  <c r="P317" i="17"/>
  <c r="Q316" i="17"/>
  <c r="P316" i="17"/>
  <c r="Q315" i="17"/>
  <c r="P315" i="17"/>
  <c r="Q314" i="17"/>
  <c r="P314" i="17"/>
  <c r="Q313" i="17"/>
  <c r="P313" i="17"/>
  <c r="Q312" i="17"/>
  <c r="P312" i="17"/>
  <c r="Q311" i="17"/>
  <c r="P311" i="17"/>
  <c r="Q310" i="17"/>
  <c r="P310" i="17"/>
  <c r="Q309" i="17"/>
  <c r="P309" i="17"/>
  <c r="Q308" i="17"/>
  <c r="P308" i="17"/>
  <c r="Q307" i="17"/>
  <c r="P307" i="17"/>
  <c r="Q306" i="17"/>
  <c r="P306" i="17"/>
  <c r="Q305" i="17"/>
  <c r="P305" i="17"/>
  <c r="Q304" i="17"/>
  <c r="P304" i="17"/>
  <c r="Q303" i="17"/>
  <c r="P303" i="17"/>
  <c r="Q302" i="17"/>
  <c r="P302" i="17"/>
  <c r="Q301" i="17"/>
  <c r="P301" i="17"/>
  <c r="Q300" i="17"/>
  <c r="P300" i="17"/>
  <c r="Q299" i="17"/>
  <c r="P299" i="17"/>
  <c r="Q298" i="17"/>
  <c r="P298" i="17"/>
  <c r="Q297" i="17"/>
  <c r="P297" i="17"/>
  <c r="Q296" i="17"/>
  <c r="P296" i="17"/>
  <c r="Q295" i="17"/>
  <c r="P295" i="17"/>
  <c r="Q294" i="17"/>
  <c r="P294" i="17"/>
  <c r="Q293" i="17"/>
  <c r="P293" i="17"/>
  <c r="Q292" i="17"/>
  <c r="P292" i="17"/>
  <c r="Q291" i="17"/>
  <c r="P291" i="17"/>
  <c r="Q290" i="17"/>
  <c r="P290" i="17"/>
  <c r="Q289" i="17"/>
  <c r="P289" i="17"/>
  <c r="Q288" i="17"/>
  <c r="P288" i="17"/>
  <c r="Q287" i="17"/>
  <c r="P287" i="17"/>
  <c r="Q286" i="17"/>
  <c r="P286" i="17"/>
  <c r="Q285" i="17"/>
  <c r="P285" i="17"/>
  <c r="Q284" i="17"/>
  <c r="P284" i="17"/>
  <c r="Q283" i="17"/>
  <c r="P283" i="17"/>
  <c r="Q282" i="17"/>
  <c r="P282" i="17"/>
  <c r="Q281" i="17"/>
  <c r="P281" i="17"/>
  <c r="Q280" i="17"/>
  <c r="P280" i="17"/>
  <c r="Q279" i="17"/>
  <c r="P279" i="17"/>
  <c r="Q278" i="17"/>
  <c r="P278" i="17"/>
  <c r="Q277" i="17"/>
  <c r="P277" i="17"/>
  <c r="Q276" i="17"/>
  <c r="P276" i="17"/>
  <c r="Q275" i="17"/>
  <c r="P275" i="17"/>
  <c r="Q274" i="17"/>
  <c r="P274" i="17"/>
  <c r="Q273" i="17"/>
  <c r="P273" i="17"/>
  <c r="Q272" i="17"/>
  <c r="P272" i="17"/>
  <c r="Q271" i="17"/>
  <c r="P271" i="17"/>
  <c r="Q270" i="17"/>
  <c r="P270" i="17"/>
  <c r="Q269" i="17"/>
  <c r="P269" i="17"/>
  <c r="Q268" i="17"/>
  <c r="P268" i="17"/>
  <c r="Q267" i="17"/>
  <c r="P267" i="17"/>
  <c r="Q266" i="17"/>
  <c r="P266" i="17"/>
  <c r="Q265" i="17"/>
  <c r="P265" i="17"/>
  <c r="Q264" i="17"/>
  <c r="P264" i="17"/>
  <c r="Q263" i="17"/>
  <c r="P263" i="17"/>
  <c r="Q262" i="17"/>
  <c r="P262" i="17"/>
  <c r="Q261" i="17"/>
  <c r="P261" i="17"/>
  <c r="Q260" i="17"/>
  <c r="P260" i="17"/>
  <c r="Q259" i="17"/>
  <c r="P259" i="17"/>
  <c r="Q258" i="17"/>
  <c r="P258" i="17"/>
  <c r="Q257" i="17"/>
  <c r="P257" i="17"/>
  <c r="Q256" i="17"/>
  <c r="P256" i="17"/>
  <c r="Q255" i="17"/>
  <c r="P255" i="17"/>
  <c r="Q254" i="17"/>
  <c r="P254" i="17"/>
  <c r="Q253" i="17"/>
  <c r="P253" i="17"/>
  <c r="Q252" i="17"/>
  <c r="P252" i="17"/>
  <c r="Q251" i="17"/>
  <c r="P251" i="17"/>
  <c r="Q250" i="17"/>
  <c r="P250" i="17"/>
  <c r="Q249" i="17"/>
  <c r="P249" i="17"/>
  <c r="Q248" i="17"/>
  <c r="P248" i="17"/>
  <c r="Q247" i="17"/>
  <c r="P247" i="17"/>
  <c r="Q246" i="17"/>
  <c r="P246" i="17"/>
  <c r="Q245" i="17"/>
  <c r="P245" i="17"/>
  <c r="Q244" i="17"/>
  <c r="P244" i="17"/>
  <c r="Q243" i="17"/>
  <c r="P243" i="17"/>
  <c r="Q242" i="17"/>
  <c r="P242" i="17"/>
  <c r="Q241" i="17"/>
  <c r="P241" i="17"/>
  <c r="Q240" i="17"/>
  <c r="P240" i="17"/>
  <c r="Q239" i="17"/>
  <c r="P239" i="17"/>
  <c r="Q238" i="17"/>
  <c r="P238" i="17"/>
  <c r="Q237" i="17"/>
  <c r="P237" i="17"/>
  <c r="Q236" i="17"/>
  <c r="P236" i="17"/>
  <c r="Q235" i="17"/>
  <c r="P235" i="17"/>
  <c r="Q234" i="17"/>
  <c r="P234" i="17"/>
  <c r="Q233" i="17"/>
  <c r="P233" i="17"/>
  <c r="Q232" i="17"/>
  <c r="P232" i="17"/>
  <c r="Q231" i="17"/>
  <c r="P231" i="17"/>
  <c r="Q230" i="17"/>
  <c r="P230" i="17"/>
  <c r="Q229" i="17"/>
  <c r="P229" i="17"/>
  <c r="Q228" i="17"/>
  <c r="P228" i="17"/>
  <c r="Q227" i="17"/>
  <c r="P227" i="17"/>
  <c r="Q226" i="17"/>
  <c r="P226" i="17"/>
  <c r="Q225" i="17"/>
  <c r="P225" i="17"/>
  <c r="Q224" i="17"/>
  <c r="P224" i="17"/>
  <c r="Q223" i="17"/>
  <c r="P223" i="17"/>
  <c r="Q222" i="17"/>
  <c r="P222" i="17"/>
  <c r="Q221" i="17"/>
  <c r="P221" i="17"/>
  <c r="Q220" i="17"/>
  <c r="P220" i="17"/>
  <c r="Q219" i="17"/>
  <c r="P219" i="17"/>
  <c r="Q218" i="17"/>
  <c r="P218" i="17"/>
  <c r="Q217" i="17"/>
  <c r="P217" i="17"/>
  <c r="Q216" i="17"/>
  <c r="P216" i="17"/>
  <c r="Q215" i="17"/>
  <c r="P215" i="17"/>
  <c r="Q214" i="17"/>
  <c r="P214" i="17"/>
  <c r="Q213" i="17"/>
  <c r="P213" i="17"/>
  <c r="Q212" i="17"/>
  <c r="P212" i="17"/>
  <c r="Q211" i="17"/>
  <c r="P211" i="17"/>
  <c r="Q210" i="17"/>
  <c r="P210" i="17"/>
  <c r="Q209" i="17"/>
  <c r="P209" i="17"/>
  <c r="Q208" i="17"/>
  <c r="P208" i="17"/>
  <c r="Q207" i="17"/>
  <c r="P207" i="17"/>
  <c r="Q206" i="17"/>
  <c r="P206" i="17"/>
  <c r="Q205" i="17"/>
  <c r="P205" i="17"/>
  <c r="Q204" i="17"/>
  <c r="P204" i="17"/>
  <c r="Q203" i="17"/>
  <c r="P203" i="17"/>
  <c r="Q202" i="17"/>
  <c r="P202" i="17"/>
  <c r="Q201" i="17"/>
  <c r="P201" i="17"/>
  <c r="Q200" i="17"/>
  <c r="P200" i="17"/>
  <c r="Q199" i="17"/>
  <c r="P199" i="17"/>
  <c r="Q198" i="17"/>
  <c r="P198" i="17"/>
  <c r="Q197" i="17"/>
  <c r="P197" i="17"/>
  <c r="Q196" i="17"/>
  <c r="P196" i="17"/>
  <c r="Q195" i="17"/>
  <c r="P195" i="17"/>
  <c r="Q194" i="17"/>
  <c r="P194" i="17"/>
  <c r="Q193" i="17"/>
  <c r="P193" i="17"/>
  <c r="Q192" i="17"/>
  <c r="P192" i="17"/>
  <c r="Q191" i="17"/>
  <c r="P191" i="17"/>
  <c r="Q190" i="17"/>
  <c r="P190" i="17"/>
  <c r="Q189" i="17"/>
  <c r="P189" i="17"/>
  <c r="Q188" i="17"/>
  <c r="P188" i="17"/>
  <c r="Q187" i="17"/>
  <c r="P187" i="17"/>
  <c r="Q186" i="17"/>
  <c r="P186" i="17"/>
  <c r="Q185" i="17"/>
  <c r="P185" i="17"/>
  <c r="Q184" i="17"/>
  <c r="P184" i="17"/>
  <c r="Q183" i="17"/>
  <c r="P183" i="17"/>
  <c r="Q182" i="17"/>
  <c r="P182" i="17"/>
  <c r="Q181" i="17"/>
  <c r="P181" i="17"/>
  <c r="Q180" i="17"/>
  <c r="P180" i="17"/>
  <c r="Q179" i="17"/>
  <c r="P179" i="17"/>
  <c r="Q178" i="17"/>
  <c r="P178" i="17"/>
  <c r="Q177" i="17"/>
  <c r="P177" i="17"/>
  <c r="Q176" i="17"/>
  <c r="P176" i="17"/>
  <c r="Q175" i="17"/>
  <c r="P175" i="17"/>
  <c r="Q174" i="17"/>
  <c r="P174" i="17"/>
  <c r="Q173" i="17"/>
  <c r="P173" i="17"/>
  <c r="Q172" i="17"/>
  <c r="P172" i="17"/>
  <c r="Q171" i="17"/>
  <c r="P171" i="17"/>
  <c r="Q170" i="17"/>
  <c r="P170" i="17"/>
  <c r="Q169" i="17"/>
  <c r="P169" i="17"/>
  <c r="Q168" i="17"/>
  <c r="P168" i="17"/>
  <c r="K168" i="17"/>
  <c r="Q167" i="17"/>
  <c r="P167" i="17"/>
  <c r="K167" i="17"/>
  <c r="Q166" i="17"/>
  <c r="P166" i="17"/>
  <c r="K166" i="17"/>
  <c r="Q165" i="17"/>
  <c r="P165" i="17"/>
  <c r="K165" i="17"/>
  <c r="Q164" i="17"/>
  <c r="P164" i="17"/>
  <c r="Q163" i="17"/>
  <c r="P163" i="17"/>
  <c r="Q162" i="17"/>
  <c r="P162" i="17"/>
  <c r="Q161" i="17"/>
  <c r="P161" i="17"/>
  <c r="Q160" i="17"/>
  <c r="P160" i="17"/>
  <c r="Q159" i="17"/>
  <c r="P159" i="17"/>
  <c r="Q158" i="17"/>
  <c r="P158" i="17"/>
  <c r="Q157" i="17"/>
  <c r="P157" i="17"/>
  <c r="Q156" i="17"/>
  <c r="P156" i="17"/>
  <c r="Q155" i="17"/>
  <c r="P155" i="17"/>
  <c r="Q154" i="17"/>
  <c r="P154" i="17"/>
  <c r="Q153" i="17"/>
  <c r="P153" i="17"/>
  <c r="Q152" i="17"/>
  <c r="P152" i="17"/>
  <c r="Q151" i="17"/>
  <c r="P151" i="17"/>
  <c r="Q150" i="17"/>
  <c r="P150" i="17"/>
  <c r="Q149" i="17"/>
  <c r="P149" i="17"/>
  <c r="Q148" i="17"/>
  <c r="P148" i="17"/>
  <c r="Q147" i="17"/>
  <c r="P147" i="17"/>
  <c r="Q146" i="17"/>
  <c r="P146" i="17"/>
  <c r="Q145" i="17"/>
  <c r="P145" i="17"/>
  <c r="Q144" i="17"/>
  <c r="P144" i="17"/>
  <c r="Q143" i="17"/>
  <c r="P143" i="17"/>
  <c r="Q142" i="17"/>
  <c r="P142" i="17"/>
  <c r="Q141" i="17"/>
  <c r="P141" i="17"/>
  <c r="Q140" i="17"/>
  <c r="P140" i="17"/>
  <c r="Q139" i="17"/>
  <c r="P139" i="17"/>
  <c r="Q138" i="17"/>
  <c r="P138" i="17"/>
  <c r="Q137" i="17"/>
  <c r="P137" i="17"/>
  <c r="Q136" i="17"/>
  <c r="P136" i="17"/>
  <c r="Q135" i="17"/>
  <c r="P135" i="17"/>
  <c r="Q134" i="17"/>
  <c r="P134" i="17"/>
  <c r="Q133" i="17"/>
  <c r="P133" i="17"/>
  <c r="Q132" i="17"/>
  <c r="P132" i="17"/>
  <c r="Q131" i="17"/>
  <c r="P131" i="17"/>
  <c r="Q130" i="17"/>
  <c r="P130" i="17"/>
  <c r="Q129" i="17"/>
  <c r="P129" i="17"/>
  <c r="Q128" i="17"/>
  <c r="P128" i="17"/>
  <c r="Q127" i="17"/>
  <c r="P127" i="17"/>
  <c r="Q126" i="17"/>
  <c r="P126" i="17"/>
  <c r="Q125" i="17"/>
  <c r="P125" i="17"/>
  <c r="Q124" i="17"/>
  <c r="P124" i="17"/>
  <c r="Q123" i="17"/>
  <c r="P123" i="17"/>
  <c r="Q122" i="17"/>
  <c r="P122" i="17"/>
  <c r="Q121" i="17"/>
  <c r="P121" i="17"/>
  <c r="Q120" i="17"/>
  <c r="P120" i="17"/>
  <c r="Q119" i="17"/>
  <c r="P119" i="17"/>
  <c r="Q118" i="17"/>
  <c r="P118" i="17"/>
  <c r="Q117" i="17"/>
  <c r="P117" i="17"/>
  <c r="Q116" i="17"/>
  <c r="P116" i="17"/>
  <c r="Q115" i="17"/>
  <c r="P115" i="17"/>
  <c r="Q114" i="17"/>
  <c r="P114" i="17"/>
  <c r="Q113" i="17"/>
  <c r="P113" i="17"/>
  <c r="Q112" i="17"/>
  <c r="P112" i="17"/>
  <c r="Q111" i="17"/>
  <c r="P111" i="17"/>
  <c r="Q110" i="17"/>
  <c r="P110" i="17"/>
  <c r="Q109" i="17"/>
  <c r="P109" i="17"/>
  <c r="Q108" i="17"/>
  <c r="P108" i="17"/>
  <c r="Q107" i="17"/>
  <c r="P107" i="17"/>
  <c r="Q106" i="17"/>
  <c r="P106" i="17"/>
  <c r="Q105" i="17"/>
  <c r="P105" i="17"/>
  <c r="Q104" i="17"/>
  <c r="P104" i="17"/>
  <c r="Q103" i="17"/>
  <c r="P103" i="17"/>
  <c r="Q102" i="17"/>
  <c r="P102" i="17"/>
  <c r="Q101" i="17"/>
  <c r="P101" i="17"/>
  <c r="Q100" i="17"/>
  <c r="P100" i="17"/>
  <c r="Q99" i="17"/>
  <c r="P99" i="17"/>
  <c r="Q98" i="17"/>
  <c r="P98" i="17"/>
  <c r="Q97" i="17"/>
  <c r="P97" i="17"/>
  <c r="Q96" i="17"/>
  <c r="P96" i="17"/>
  <c r="Q95" i="17"/>
  <c r="P95" i="17"/>
  <c r="Q94" i="17"/>
  <c r="P94" i="17"/>
  <c r="Q93" i="17"/>
  <c r="P93" i="17"/>
  <c r="Q92" i="17"/>
  <c r="P92" i="17"/>
  <c r="Q91" i="17"/>
  <c r="P91" i="17"/>
  <c r="Q90" i="17"/>
  <c r="P90" i="17"/>
  <c r="Q89" i="17"/>
  <c r="P89" i="17"/>
  <c r="Q88" i="17"/>
  <c r="P88" i="17"/>
  <c r="Q87" i="17"/>
  <c r="P87" i="17"/>
  <c r="Q86" i="17"/>
  <c r="P86" i="17"/>
  <c r="Q85" i="17"/>
  <c r="P85" i="17"/>
  <c r="Q84" i="17"/>
  <c r="P84" i="17"/>
  <c r="Q83" i="17"/>
  <c r="P83" i="17"/>
  <c r="Q82" i="17"/>
  <c r="P82" i="17"/>
  <c r="Q81" i="17"/>
  <c r="P81" i="17"/>
  <c r="Q80" i="17"/>
  <c r="P80" i="17"/>
  <c r="Q79" i="17"/>
  <c r="P79" i="17"/>
  <c r="Q78" i="17"/>
  <c r="P78" i="17"/>
  <c r="Q77" i="17"/>
  <c r="P77" i="17"/>
  <c r="Q76" i="17"/>
  <c r="P76" i="17"/>
  <c r="Q75" i="17"/>
  <c r="P75" i="17"/>
  <c r="Q74" i="17"/>
  <c r="P74" i="17"/>
  <c r="Q73" i="17"/>
  <c r="P73" i="17"/>
  <c r="Q72" i="17"/>
  <c r="P72" i="17"/>
  <c r="Q71" i="17"/>
  <c r="P71" i="17"/>
  <c r="Q70" i="17"/>
  <c r="P70" i="17"/>
  <c r="Q69" i="17"/>
  <c r="P69" i="17"/>
  <c r="Q68" i="17"/>
  <c r="P68" i="17"/>
  <c r="Q67" i="17"/>
  <c r="P67" i="17"/>
  <c r="Q66" i="17"/>
  <c r="P66" i="17"/>
  <c r="Q65" i="17"/>
  <c r="P65" i="17"/>
  <c r="Q64" i="17"/>
  <c r="P64" i="17"/>
  <c r="Q63" i="17"/>
  <c r="P63" i="17"/>
  <c r="Q62" i="17"/>
  <c r="P62" i="17"/>
  <c r="Q61" i="17"/>
  <c r="P61" i="17"/>
  <c r="Q60" i="17"/>
  <c r="P60" i="17"/>
  <c r="Q59" i="17"/>
  <c r="P59" i="17"/>
  <c r="Q58" i="17"/>
  <c r="P58" i="17"/>
  <c r="Q57" i="17"/>
  <c r="P57" i="17"/>
  <c r="Q56" i="17"/>
  <c r="P56" i="17"/>
  <c r="Q55" i="17"/>
  <c r="P55" i="17"/>
  <c r="Q54" i="17"/>
  <c r="P54" i="17"/>
  <c r="Q53" i="17"/>
  <c r="P53" i="17"/>
  <c r="Q52" i="17"/>
  <c r="P52" i="17"/>
  <c r="Q51" i="17"/>
  <c r="P51" i="17"/>
  <c r="Q50" i="17"/>
  <c r="P50" i="17"/>
  <c r="Q49" i="17"/>
  <c r="P49" i="17"/>
  <c r="Q48" i="17"/>
  <c r="P48" i="17"/>
  <c r="Q47" i="17"/>
  <c r="P47" i="17"/>
  <c r="Q46" i="17"/>
  <c r="P46" i="17"/>
  <c r="Q45" i="17"/>
  <c r="P45" i="17"/>
  <c r="Q44" i="17"/>
  <c r="P44" i="17"/>
  <c r="K44" i="17"/>
  <c r="Q43" i="17"/>
  <c r="P43" i="17"/>
  <c r="Q42" i="17"/>
  <c r="P42" i="17"/>
  <c r="Q41" i="17"/>
  <c r="P41" i="17"/>
  <c r="Q40" i="17"/>
  <c r="P40" i="17"/>
  <c r="Q39" i="17"/>
  <c r="P39" i="17"/>
  <c r="Q38" i="17"/>
  <c r="P38" i="17"/>
  <c r="Q37" i="17"/>
  <c r="P37" i="17"/>
  <c r="Q36" i="17"/>
  <c r="P36" i="17"/>
  <c r="Q35" i="17"/>
  <c r="P35" i="17"/>
  <c r="Q34" i="17"/>
  <c r="P34" i="17"/>
  <c r="Q33" i="17"/>
  <c r="P33" i="17"/>
  <c r="Q32" i="17"/>
  <c r="P32" i="17"/>
  <c r="Q31" i="17"/>
  <c r="P31" i="17"/>
  <c r="Q30" i="17"/>
  <c r="P30" i="17"/>
  <c r="Q29" i="17"/>
  <c r="P29" i="17"/>
  <c r="Q28" i="17"/>
  <c r="P28" i="17"/>
  <c r="Q27" i="17"/>
  <c r="P27" i="17"/>
  <c r="Q26" i="17"/>
  <c r="P26" i="17"/>
  <c r="Q25" i="17"/>
  <c r="P25" i="17"/>
  <c r="K25" i="17"/>
  <c r="Q24" i="17"/>
  <c r="P24" i="17"/>
  <c r="Q23" i="17"/>
  <c r="P23" i="17"/>
  <c r="Q22" i="17"/>
  <c r="P22" i="17"/>
  <c r="Q21" i="17"/>
  <c r="P21" i="17"/>
  <c r="Q20" i="17"/>
  <c r="P20" i="17"/>
  <c r="Q19" i="17"/>
  <c r="P19" i="17"/>
  <c r="Q18" i="17"/>
  <c r="P18" i="17"/>
  <c r="Q17" i="17"/>
  <c r="P17" i="17"/>
  <c r="Q16" i="17"/>
  <c r="P16" i="17"/>
  <c r="Q15" i="17"/>
  <c r="P15" i="17"/>
  <c r="Q14" i="17"/>
  <c r="P14" i="17"/>
  <c r="Q13" i="17"/>
  <c r="P13" i="17"/>
  <c r="Q12" i="17"/>
  <c r="P12" i="17"/>
  <c r="Q11" i="17"/>
  <c r="P11" i="17"/>
  <c r="Q10" i="17"/>
  <c r="P10" i="17"/>
  <c r="Q9" i="17"/>
  <c r="P9" i="17"/>
  <c r="Q8" i="17"/>
  <c r="P8" i="17"/>
  <c r="Q7" i="17"/>
  <c r="P7" i="17"/>
  <c r="Q6" i="17"/>
  <c r="P6" i="17"/>
  <c r="Q5" i="17"/>
  <c r="P5" i="17"/>
  <c r="Q4" i="17"/>
  <c r="P4" i="17"/>
  <c r="Q3" i="17"/>
  <c r="P3" i="17"/>
  <c r="Q2" i="17"/>
  <c r="P2" i="17"/>
  <c r="O11" i="11"/>
  <c r="O10" i="11"/>
  <c r="O9" i="11"/>
  <c r="E11" i="10" l="1"/>
  <c r="C11" i="10"/>
  <c r="N12" i="11"/>
  <c r="N11" i="10"/>
  <c r="M12" i="11"/>
  <c r="M11" i="10" l="1"/>
  <c r="L12" i="11"/>
  <c r="L11" i="10" l="1"/>
  <c r="K12" i="11"/>
  <c r="J12" i="11"/>
  <c r="I12" i="11" l="1"/>
  <c r="H12" i="11" l="1"/>
  <c r="G12" i="11" l="1"/>
  <c r="F12" i="11" l="1"/>
  <c r="E12" i="11" l="1"/>
  <c r="D12" i="11" l="1"/>
  <c r="C12" i="11" l="1"/>
  <c r="O9" i="10" l="1"/>
  <c r="O10" i="10" l="1"/>
  <c r="O11" i="10" s="1"/>
  <c r="K11" i="10" l="1"/>
  <c r="J11" i="10" l="1"/>
  <c r="I11" i="10" l="1"/>
  <c r="H11" i="10" l="1"/>
  <c r="G11" i="10" l="1"/>
  <c r="F11" i="10"/>
</calcChain>
</file>

<file path=xl/sharedStrings.xml><?xml version="1.0" encoding="utf-8"?>
<sst xmlns="http://schemas.openxmlformats.org/spreadsheetml/2006/main" count="2829" uniqueCount="1014">
  <si>
    <t>Total</t>
  </si>
  <si>
    <t>Purchase order(PCS)</t>
  </si>
  <si>
    <t>Invoice on time (PCS)</t>
  </si>
  <si>
    <t>แบบประเมินวัดผลวัตถุประสงค์ - เป้าหมายคุณภาพ</t>
  </si>
  <si>
    <t>ผู้อนุมัติข้อมูล</t>
  </si>
  <si>
    <t>ผู้รับรองข้อมูล</t>
  </si>
  <si>
    <t>ผู้จัดทำ</t>
  </si>
  <si>
    <t xml:space="preserve">วัตถุประสงค์ :  </t>
  </si>
  <si>
    <t>เป้าหมาย :</t>
  </si>
  <si>
    <t>เกณฑ์ :  ต่อเดือน</t>
  </si>
  <si>
    <t>เดือน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</si>
  <si>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</si>
  <si>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</si>
  <si>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</si>
  <si>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</si>
  <si>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</si>
  <si>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</si>
  <si>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</si>
  <si>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</si>
  <si>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</si>
  <si>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</si>
  <si>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</si>
  <si>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</si>
  <si>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หมายเหตุ</t>
  </si>
  <si>
    <t>ผลการประเมิน</t>
  </si>
  <si>
    <t>รายละเอียดของสิ่งที่ทำให้เป้าหมายไม่บรรลุวัตถุประสงค์</t>
  </si>
  <si>
    <t>ลำดับ</t>
  </si>
  <si>
    <t>สาเหตุ</t>
  </si>
  <si>
    <t>การแก้ไขเบื้องต้น</t>
  </si>
  <si>
    <t>การป้องกัน</t>
  </si>
  <si>
    <t>เริ่ม</t>
  </si>
  <si>
    <t>เสร็จ</t>
  </si>
  <si>
    <t>ผู้รับผิดชอบ</t>
  </si>
  <si>
    <r>
      <rPr>
        <b/>
        <sz val="16"/>
        <rFont val="Angsana New"/>
        <family val="1"/>
      </rPr>
      <t>หมายเหตที่ 1 :</t>
    </r>
    <r>
      <rPr>
        <sz val="16"/>
        <rFont val="Angsana New"/>
        <family val="1"/>
      </rPr>
      <t xml:space="preserve">  </t>
    </r>
    <r>
      <rPr>
        <b/>
        <sz val="16"/>
        <rFont val="Angsana New"/>
        <family val="1"/>
      </rPr>
      <t xml:space="preserve">การแก้ไข (  Corrective  Act. ) คือ การแก้ไขปัญหา หรือการแก้ไขสิ่งที่ผิดให้ถูกเท่านั้น รวมทั้งเรื่องการ Review  ด้วย </t>
    </r>
  </si>
  <si>
    <t>หมายเหตที่ 2 :  การป้องกัน (  Preventive  Act. ) ได้มาจากการสะท้อนจากสาเหตุ</t>
  </si>
  <si>
    <t>ฝ่าย :   จัดซื้อ</t>
  </si>
  <si>
    <t>ส่วนงาน :  จัดซื้อ</t>
  </si>
  <si>
    <t>ส่วนงาน :   จัดซื้อ</t>
  </si>
  <si>
    <t>New price amount</t>
  </si>
  <si>
    <t>Current Price amount</t>
  </si>
  <si>
    <t>Cost saving amount</t>
  </si>
  <si>
    <r>
      <t xml:space="preserve">Percentage of cost saving </t>
    </r>
    <r>
      <rPr>
        <b/>
        <sz val="14"/>
        <rFont val="Cordia New"/>
        <family val="2"/>
      </rPr>
      <t>%</t>
    </r>
  </si>
  <si>
    <t>Percentage of Delivery on time%</t>
  </si>
  <si>
    <r>
      <t xml:space="preserve">วัตถุประสงค์ :  </t>
    </r>
    <r>
      <rPr>
        <b/>
        <sz val="16"/>
        <color rgb="FF002060"/>
        <rFont val="Cordia New"/>
        <family val="2"/>
      </rPr>
      <t>Delivery on time (ส่งสินค้าได้ตามกำหนด)</t>
    </r>
  </si>
  <si>
    <t>ผ่าน</t>
  </si>
  <si>
    <t>Cost  Savings (ประหยัดต้นทุน)</t>
  </si>
  <si>
    <r>
      <rPr>
        <b/>
        <sz val="16"/>
        <rFont val="Angsana New"/>
        <family val="1"/>
      </rPr>
      <t>ประจำปี</t>
    </r>
    <r>
      <rPr>
        <sz val="16"/>
        <rFont val="Angsana New"/>
        <family val="1"/>
      </rPr>
      <t xml:space="preserve"> :  2569</t>
    </r>
  </si>
  <si>
    <t>Details</t>
  </si>
  <si>
    <t>Qty.</t>
  </si>
  <si>
    <t>Remark</t>
  </si>
  <si>
    <t>No.</t>
  </si>
  <si>
    <t>JOB NO.</t>
  </si>
  <si>
    <t>Suppliers-Name</t>
  </si>
  <si>
    <t>Unit</t>
  </si>
  <si>
    <t>Price</t>
  </si>
  <si>
    <t>Discount</t>
  </si>
  <si>
    <t>Totals Price</t>
  </si>
  <si>
    <t>PO NO.</t>
  </si>
  <si>
    <t>PO Date</t>
  </si>
  <si>
    <t>Expected date</t>
  </si>
  <si>
    <t>Received date</t>
  </si>
  <si>
    <t>Ability</t>
  </si>
  <si>
    <t>Diff</t>
  </si>
  <si>
    <t>Ea.</t>
  </si>
  <si>
    <t>ฮาร์ดแวร์เฮาส์ จำกัด (สาขาเทพารักษ์)</t>
  </si>
  <si>
    <t>ถุง</t>
  </si>
  <si>
    <t>PCS.</t>
  </si>
  <si>
    <t>MISUMI (THAILAND) CO.,LTD</t>
  </si>
  <si>
    <t>ซีเคดี ไทย คอร์ปอเรชั่น จำกัด</t>
  </si>
  <si>
    <t>m.</t>
  </si>
  <si>
    <t>เจ.เค.เอส.กรุ๊ป (2002) จำกัด</t>
  </si>
  <si>
    <t>ไทยโพลิเมอร์ ซัพพลาย จำกัด</t>
  </si>
  <si>
    <t>SET</t>
  </si>
  <si>
    <t>เอ็ม.ซี.เค.สตีล เซ็นเตอร์ จำกัด</t>
  </si>
  <si>
    <t>เส้น</t>
  </si>
  <si>
    <t>สยาม เอส.ซี. สตีล เพลท จำกัด</t>
  </si>
  <si>
    <t>JR-STORE</t>
  </si>
  <si>
    <t>โลตัสอ็อกซิเย่นแก๊ส (2012) จำกัด</t>
  </si>
  <si>
    <t>ยูเอ แมททีเรียล จำกัด</t>
  </si>
  <si>
    <t>JR-26-04-045/PR69-365/MODIFY (SVS 1)</t>
  </si>
  <si>
    <t>พีเอชเอ ออโตเมชั่น จำกัด</t>
  </si>
  <si>
    <t>เที่ยว</t>
  </si>
  <si>
    <t>ที.เอ็ม.ที.พรีซิชั่น เวิร์ค จำกัด</t>
  </si>
  <si>
    <t>อินเตอร์ ซัพพลาย (1992) จำกัด</t>
  </si>
  <si>
    <t>คงกิจเชิดชู อิเล็คทริค แอนด์ แมชชีนทูล จำกัด</t>
  </si>
  <si>
    <t>แผ่น</t>
  </si>
  <si>
    <t>บางพลีสเตชั่นเนอรี่ จำกัด</t>
  </si>
  <si>
    <t>กล่อง</t>
  </si>
  <si>
    <t>Pack.</t>
  </si>
  <si>
    <t>กิโลกรัม</t>
  </si>
  <si>
    <t>Job.</t>
  </si>
  <si>
    <t>คู่</t>
  </si>
  <si>
    <t>Lot</t>
  </si>
  <si>
    <t>JR-OFFICE</t>
  </si>
  <si>
    <t>เซ็นทรัลโบลท จำกัด</t>
  </si>
  <si>
    <t xml:space="preserve">MISUMI (THAILAND) CO.,LTD </t>
  </si>
  <si>
    <t>Purchase Order</t>
  </si>
  <si>
    <t>Invoice on time</t>
  </si>
  <si>
    <t>Supplier delivery on time %</t>
  </si>
  <si>
    <t>Kms.</t>
  </si>
  <si>
    <t>Hrs.</t>
  </si>
  <si>
    <t>JR-26-04-042/PR69-499/NS BLUESCOPE</t>
  </si>
  <si>
    <t>กรุงเทพ ไวร์เวิร์ค จำกัด</t>
  </si>
  <si>
    <t>ต.ธีรกิจ อินโนเวชั่น จำกัด</t>
  </si>
  <si>
    <t xml:space="preserve">  1 ) MEP-SSS-0006 STEEL (เหล็กกล่อง) 50x50x4mmx6m</t>
  </si>
  <si>
    <t>ชุด</t>
  </si>
  <si>
    <t xml:space="preserve">  2 ) SUP-STA-0020 ถุงมือ PU ไซส์ L GPU09-BK-1SC</t>
  </si>
  <si>
    <t>ซินเนอร์จี เอเชีย โซลูชั่น จำกัด</t>
  </si>
  <si>
    <t xml:space="preserve">  1 ) SUP-STA-0021 ถุงมือ PU ไซส์ M GPU08-BK-1SC</t>
  </si>
  <si>
    <t>ทูเดย์ ไอที แอนด์ คอมพิวเตอร์ จำกัด</t>
  </si>
  <si>
    <t>JR-26-05-058/PR69-442/DSM</t>
  </si>
  <si>
    <t xml:space="preserve">  3 ) SUP-GAS-0004 GAS ARGON อาร์กอน 6.0 คิว</t>
  </si>
  <si>
    <t xml:space="preserve">  2 ) SUP-GAS-0003 GAS CARBON DIOXIDE (CO2) คาร์บอนไดออกไซด์ 6.0 คิว</t>
  </si>
  <si>
    <t>ทีเอ็นกรุ๊ป คอร์ปอเรชั่น จำกัด (มหาชน)</t>
  </si>
  <si>
    <t>ไทย ออล ทูลส์ จำกัด</t>
  </si>
  <si>
    <t>ห่อ</t>
  </si>
  <si>
    <t>PO69-681</t>
  </si>
  <si>
    <t>ซิกม่าแอคท์ จำกัด</t>
  </si>
  <si>
    <t>JR-25-12-140/PR69-451/T.C.UNION</t>
  </si>
  <si>
    <t>Cost Saving Jun 2026</t>
  </si>
  <si>
    <t>(Repeat product)</t>
  </si>
  <si>
    <t>Item</t>
  </si>
  <si>
    <t>Current Price list</t>
  </si>
  <si>
    <t>New price#1</t>
  </si>
  <si>
    <t>Current price 
amount</t>
  </si>
  <si>
    <t>Save amount</t>
  </si>
  <si>
    <t>% Save</t>
  </si>
  <si>
    <t>Total's</t>
  </si>
  <si>
    <t>PR NO.</t>
  </si>
  <si>
    <t>Code</t>
  </si>
  <si>
    <t>JR-26-05-053/PR69-412/Betagen</t>
  </si>
  <si>
    <t>ยาสกาว่า อิเล็คทริก (ประเทศไทย) จำกัด</t>
  </si>
  <si>
    <t xml:space="preserve">  1 ) SVP-INS-0001 PRIMARY INSPECTION ROBOT GP180/YRC1000</t>
  </si>
  <si>
    <t>Au</t>
  </si>
  <si>
    <t>PO69-629</t>
  </si>
  <si>
    <t xml:space="preserve">  2 ) ELS-COV-0012 COVER HDG 100x3000mm. T1.2 mm (ฝาแบบกดล็อค)</t>
  </si>
  <si>
    <t xml:space="preserve">  1 ) MES-BEL-0047 BELT PVC 2 MM. WHITE THK2xW485xL2,318mm.ต่อกลม</t>
  </si>
  <si>
    <t>PO69-675</t>
  </si>
  <si>
    <t xml:space="preserve">  2 ) MES-BEL-0048 BELT PVC 3 MM. WHITE THK3xW485xL2,192mm.OPEN</t>
  </si>
  <si>
    <t>JR-OFFICE/PR69-491/Asset</t>
  </si>
  <si>
    <t>เอ็ม โปรเกรส เทรดดิ้ง จำกัด</t>
  </si>
  <si>
    <t xml:space="preserve">  1 ) 14-1008- HELI รถลากพาเลท พิกัด 3T หน้ากว้าง 685mm (HL30-HELI-685)</t>
  </si>
  <si>
    <t>คัน</t>
  </si>
  <si>
    <t>PO69-739</t>
  </si>
  <si>
    <t>JR-26-06-071/PR69-506/BETAGEN</t>
  </si>
  <si>
    <t xml:space="preserve">  1 ) SVP-ENG-0001 ENGINEERING FEE WEEKDAY PRICE</t>
  </si>
  <si>
    <t>PO69-814</t>
  </si>
  <si>
    <t xml:space="preserve">  2 ) SVP-TRV-0001 TRAVELLING TIME 1,000 THB/HRS/PERSON</t>
  </si>
  <si>
    <t xml:space="preserve">  3 ) SVP-TRV-0001 TRAVELLING FEE EXPENSE 10 THB/KM</t>
  </si>
  <si>
    <t>JR-26-06-073/PR69-513/PRIME BOX</t>
  </si>
  <si>
    <t xml:space="preserve">  1 ) ELS-POW-0037 POWER CHARGE-UNIT PARTS JZRCR-YUP01C-1</t>
  </si>
  <si>
    <t>PO69-777</t>
  </si>
  <si>
    <t xml:space="preserve">  1 ) SVP-ENG-0001 ENGINEERING FEE</t>
  </si>
  <si>
    <t>PO69-778</t>
  </si>
  <si>
    <t>JR-25-12-140/PR69-582/T.C.UNION</t>
  </si>
  <si>
    <t>ซิสเต็มเทค เอ็นจิเนียริ่ง จำกัด</t>
  </si>
  <si>
    <t xml:space="preserve">  1 ) MEM-FAB-0002 ADDITIONAL PLATFORM FOR SCREW CONVEYOR</t>
  </si>
  <si>
    <t>PO69-876</t>
  </si>
  <si>
    <t xml:space="preserve">  2 ) SVP-TRA-0001 TRANSPORTATION &amp; INSTALLATION ONSITE (T.C.UNION)</t>
  </si>
  <si>
    <t>JR-24-04-021/PR69-570/TEI (Palletizing)</t>
  </si>
  <si>
    <t xml:space="preserve"> 16 ) MES-ROL-0038 ROLLER FOR CONVEYOR HROB38-313 (MISUMI)</t>
  </si>
  <si>
    <t>PO69-873</t>
  </si>
  <si>
    <t xml:space="preserve"> 13 ) MES-ROT-0010 ROTARY SHAFT FXFA30-17-F38 (MISUMI)</t>
  </si>
  <si>
    <t>JR-STORE,OFFICE</t>
  </si>
  <si>
    <t>PR69-601</t>
  </si>
  <si>
    <t xml:space="preserve">อินเตอร์ ซัพพลาย (1992) จำกัด </t>
  </si>
  <si>
    <t xml:space="preserve">SUP-WEL-0002 </t>
  </si>
  <si>
    <t>WELDING WIRE MG-51T 1.2mm. (CO2) KOBE</t>
  </si>
  <si>
    <t>ROLL</t>
  </si>
  <si>
    <t>PO69-904</t>
  </si>
  <si>
    <t>JR-26-05-057/PR69-561/LERTVILAI</t>
  </si>
  <si>
    <t xml:space="preserve">  1 ) MES-SCR-0239 SCREW สกรูหัวจม (ชุบขาว) M16x45</t>
  </si>
  <si>
    <t>PO69-871</t>
  </si>
  <si>
    <t xml:space="preserve">  2 ) MES-SCR-0094 SCREW สกรูหัวจม (ชุบขาว) M5x16</t>
  </si>
  <si>
    <t xml:space="preserve">  3 ) MES-SCR-0240 SCREW สกรูหัวจมเตเปอร์ (ชุบขาว) M8x30</t>
  </si>
  <si>
    <t xml:space="preserve">  4 ) MES-SCR-0241 SCREW สกรูหัวจมเตเปอร์ (ชุบขาว) M16x45</t>
  </si>
  <si>
    <t xml:space="preserve">  5 ) MES-PIN-0005 PINS (SUS) 10x30</t>
  </si>
  <si>
    <t xml:space="preserve">  6 ) MES-SCR-0242 SCREW สกรูหัวจม (ชุบขาว) M4x15</t>
  </si>
  <si>
    <t xml:space="preserve">  7 ) MES-SCR-0053 SCREW สกรูหัวจมกลม (SUS) M3x12</t>
  </si>
  <si>
    <t xml:space="preserve"> 10 ) MES-TIM-0022 TIMING BELTS PARTS C-TBCR-T10300 (MISUMI)</t>
  </si>
  <si>
    <t xml:space="preserve">  9 ) MES-ADA-0006 ADAPTOR APMTS-T1-T1 (MISUMI)</t>
  </si>
  <si>
    <t xml:space="preserve">  2 ) MES-HIN-0034 HINGE PINS PCLBGNU12-40 (MISUMI)</t>
  </si>
  <si>
    <t xml:space="preserve">  3 ) MES-HIN-0035 HINGE PINS PCLBGNU12-30 (MISUMI)</t>
  </si>
  <si>
    <t xml:space="preserve"> 12 ) MES-TIM-0020 TIMING PULLYE TTPM40T10300-A-Y40-Q55-R55-S13-T13</t>
  </si>
  <si>
    <t xml:space="preserve"> 14 ) MES-SPR-0079 SPROCKET SP40B18-N-22 (MISUMI)</t>
  </si>
  <si>
    <t>JR-STORE/PR69-572</t>
  </si>
  <si>
    <t xml:space="preserve">  1 ) 14-1008- ชุดเครื่องมือช่าง 147 ชิ้น  TOTAL THKTHP21476</t>
  </si>
  <si>
    <t>PO69-863</t>
  </si>
  <si>
    <t>JR-24-04-021/PR69-568/TEI (Palletizing)</t>
  </si>
  <si>
    <t>เซเกียว คิไซ (ประเทศไทย) จำกัด</t>
  </si>
  <si>
    <t xml:space="preserve">  1 ) MES-AIR-0204 AIR CYLINDER MDBL80-75NZ-M9BZ (SMC)</t>
  </si>
  <si>
    <t>PO69-861</t>
  </si>
  <si>
    <t xml:space="preserve"> 19 ) MES-AIR-0239 AIR CYLINDER CDQ2B25-40DZ-M9BL (SMC)</t>
  </si>
  <si>
    <t xml:space="preserve"> 15 ) MES-HOL-0012 HOLDER FOR SHAFT C-SHA12 (MISUMI)</t>
  </si>
  <si>
    <t>JR-26-05-057/PR69-518/LERTVILAI</t>
  </si>
  <si>
    <t xml:space="preserve">  1 ) MEP-SSS-0046 STEEL SS400 (เหล็กเพลากลม) 60MM.x500MM.</t>
  </si>
  <si>
    <t>PO69-784</t>
  </si>
  <si>
    <t>JR-25-09-101/PR69-540/AUTO DOOR</t>
  </si>
  <si>
    <t xml:space="preserve">  1 ) MES-NBR-0001 NBR ปะเก็นยางทนน้ำมัน กว้าง 1mหนา 3mm.(10ม./ม้วน)</t>
  </si>
  <si>
    <t>PO69-819</t>
  </si>
  <si>
    <t xml:space="preserve">  1 ) MEM-SSS-0120 JR-26-04-042-010-008-B (rev.1)  (SS400)</t>
  </si>
  <si>
    <t>PO69-762</t>
  </si>
  <si>
    <t xml:space="preserve">  2 ) MEM-SSS-0121 JR-26-04-042-010-009-A (SS400)</t>
  </si>
  <si>
    <t>JR-24-04-018/PR69-508/EQ (Pick &amp; Place)</t>
  </si>
  <si>
    <t xml:space="preserve">  1 ) MES-AIR-0280 AIR CYLINDER SSD2-L-63-125-T1V3-D-N (CKD)</t>
  </si>
  <si>
    <t>PO69-775</t>
  </si>
  <si>
    <t xml:space="preserve">  1 ) MES-OIL-0027 OIL FREE BUSH MDZF12-6 (MISUMI)</t>
  </si>
  <si>
    <t xml:space="preserve">  4 ) MES-MAN-0053 MANIFOLDS BMSN4-12 (MISUMI)</t>
  </si>
  <si>
    <t xml:space="preserve">  6 ) MES-DOW-0045 DOWEL PIN MSTP10-25 MISUMI</t>
  </si>
  <si>
    <t xml:space="preserve">  7 ) MES-NUT-0052 NUTS EG_NUTS E-GLNUTS10 MISUMI</t>
  </si>
  <si>
    <t xml:space="preserve">  8 ) MES-COP-0001 COPPER THREADED JOINT E-SJSPB46 (MISUMI)</t>
  </si>
  <si>
    <t>JR-26-05-057/PR69-599/LERTVILAI</t>
  </si>
  <si>
    <t xml:space="preserve">  1 ) ELS-SIG-0007 SIGNAL TOWER BUZZER PILOTLAMP NE-24A-G PATLITE</t>
  </si>
  <si>
    <t>PO69-895</t>
  </si>
  <si>
    <t xml:space="preserve">  2 ) ELS-SIG-0008 SIGNAL TOWER BUZZER PILOTLAMP NE-24A-R PATLITE</t>
  </si>
  <si>
    <t xml:space="preserve">  3 ) ELS-POW-0019 POWER SUPPLY S8VK-S24024 OMRON</t>
  </si>
  <si>
    <t>JR-26-05-057/PR69-597/LERTVILAI</t>
  </si>
  <si>
    <t xml:space="preserve">  1 ) ELS-CON-0032 CONTROL CONSOLE ACCESSORIES EBA-25-20E (SHINO)</t>
  </si>
  <si>
    <t>PO69-896</t>
  </si>
  <si>
    <t xml:space="preserve">  2 ) ELS-SWI-0074 INDUSTRIAL SWITCH MES-M8RJ-ST (MISUMI)</t>
  </si>
  <si>
    <t xml:space="preserve">  3 ) ELS-COV-0013 COVER BREAKER TCS-05SV3 (MITSUBISHI)</t>
  </si>
  <si>
    <t xml:space="preserve">  4 ) ELS-COV-0014 COVER BREAKER TCS-05SV2 (MITSUBISHI)</t>
  </si>
  <si>
    <t>JR-26-05-057/pR69-599/LERTVILAI</t>
  </si>
  <si>
    <t xml:space="preserve">  1 ) ELS-CPU-0012 CPU Q03UDVCPU (MITSUBISHI)</t>
  </si>
  <si>
    <t>PO69-892</t>
  </si>
  <si>
    <t xml:space="preserve">  2 ) ELS-PLC-0039 PLC QJ61BT11N (MITSUBISHI)</t>
  </si>
  <si>
    <t xml:space="preserve">  3 ) ELS-PLC-0036 PLC Q35B (MISUBISHI)</t>
  </si>
  <si>
    <t xml:space="preserve">  4 ) ELS-PLC-0037 PLC Q61P (MISUBISHI)</t>
  </si>
  <si>
    <t xml:space="preserve">  5 ) ELS-PLC-0001 PLC MITSUBISHI IO QH42P  (MISUBISHI)</t>
  </si>
  <si>
    <t xml:space="preserve">  6 ) ELS-CON-0144 CONNECTOR CABLE A6TBXY36 (MISUBISHI)</t>
  </si>
  <si>
    <t xml:space="preserve">  7 ) ELS-INV-0023 INVERTER FR-E820-1.5K-1 (MITSUBISHI)</t>
  </si>
  <si>
    <t xml:space="preserve">  8 ) ELS-INV-0016 INVERTER FR-E820-0.4K-1 (MITSUBISHI)</t>
  </si>
  <si>
    <t>JR-26-05-057/PR69-654/LERTVILAI</t>
  </si>
  <si>
    <t>ต.วิชชุกรณ์ จำกัด</t>
  </si>
  <si>
    <t xml:space="preserve">  1 ) ELS-BOX-0102 CONTROL BOX WNP ตู้เหล็ก 800x1900x400mm.(CX0340)</t>
  </si>
  <si>
    <t>PO69-854</t>
  </si>
  <si>
    <t>แลปป์ เคเบิ้ล (ประเทศไทย)จำกัด</t>
  </si>
  <si>
    <t xml:space="preserve">  1 ) ELS-CAB-0317 CABLE OFLEX CLASSIC 110 4X0,5 P/N 1119754</t>
  </si>
  <si>
    <t>PO69-893</t>
  </si>
  <si>
    <t xml:space="preserve">  2 ) ELS-CAB-0115 CABLE OLFLEX CLASSIC 110 10G0,5 P/N 1119010</t>
  </si>
  <si>
    <t>เมตร</t>
  </si>
  <si>
    <t xml:space="preserve">  3 ) ELS-CAB-0152 CABLE OLFLEX CLASSIC 110 21G0,5 P/N 1119021</t>
  </si>
  <si>
    <t xml:space="preserve">  4 ) ELS-CAB-0284 CABLE H07V-K 1X2.5 VDE WH RAL 9010 P/N 8120052</t>
  </si>
  <si>
    <t xml:space="preserve">  5 ) ELS-CAB-0318 CABLE X07V-K 1X2.5 YE RAL 1003 P/N 3801331</t>
  </si>
  <si>
    <t xml:space="preserve">  6 ) ELS-CAB-0226 CABLE H07V-K 1X6 VDE BK RAL 9005 P/N 8120014</t>
  </si>
  <si>
    <t xml:space="preserve">ปิยะพจน์อีเลคทริค จำกัด </t>
  </si>
  <si>
    <t xml:space="preserve">  1 ) ELS-BRE-0023 BREAKER NF32-SV 3P 10A (MITSUBISHI)</t>
  </si>
  <si>
    <t>PO69-906</t>
  </si>
  <si>
    <t xml:space="preserve">  2 ) ELS-PUS-0069 PUSHBUTTON ABN 111 BK 30mm. (IDEC)</t>
  </si>
  <si>
    <t xml:space="preserve">  3 ) ELS-PUS-0070 PUSHBUTTON ABN 111 W 30mm. (IDEC)</t>
  </si>
  <si>
    <t xml:space="preserve">  4 ) ELS-EME-0019 EMERGENCY STOP SWITCH AVN 322NR (IDEC)</t>
  </si>
  <si>
    <t xml:space="preserve">  5 ) ELS-WIR-0143 WIREDUCT WD-6080-8 (BANDEX)</t>
  </si>
  <si>
    <t xml:space="preserve">  6 ) ELS-WIR-0144 WIREDUCT WD-4080-8 (BANDEX)</t>
  </si>
  <si>
    <t xml:space="preserve">  7 ) ELS-TER-0044 TERMINAL BNDE15W (IDEC)</t>
  </si>
  <si>
    <t xml:space="preserve">  8 ) ELS-CAB-0228 CABLE VCT-GRD-YAZAKI 3x2.5/2.5 SQMM.</t>
  </si>
  <si>
    <t xml:space="preserve">  9 ) ELS-CON-0020 คอนเนตเตอร์ท่ออ่อนกันน้ำ-TIGER 1/2^</t>
  </si>
  <si>
    <t xml:space="preserve"> 10 ) ELS-FLE-0009 FLEXIBLE ท่ออ่อนกันน้ำ-สีดำ.BLISS 1/2^ (1/50)</t>
  </si>
  <si>
    <t xml:space="preserve"> 11 ) ELS-CAB-0108 CABLE VCT-GRD-YAZAKI 3x1.5/1.5 SQMM.</t>
  </si>
  <si>
    <t xml:space="preserve"> 12 ) ELS-CAB-0320 CABLE VCT-GRD-YAZAKI 3x6/6 SQMM.</t>
  </si>
  <si>
    <t>JR-26-04-042/PR69-610/NS BLUESCOPE</t>
  </si>
  <si>
    <t>นาสป้า เอเซีย จำกัด</t>
  </si>
  <si>
    <t xml:space="preserve">  1 ) MEP-SSS-0064 STEEL SS400 (เหล็ก-Finishing plate) 950x50xT40mm.</t>
  </si>
  <si>
    <t>PO69-925</t>
  </si>
  <si>
    <t>JR-25-12-137/PR69-538/RICOH</t>
  </si>
  <si>
    <t xml:space="preserve">  1 ) MES-ALU-0316 ALUMINUM FRAME NEFS8-4040-420</t>
  </si>
  <si>
    <t>PO69-812</t>
  </si>
  <si>
    <t xml:space="preserve">  2 ) MES-ALU-0317 ALUMINUM FRAME NEFS8-4040-830</t>
  </si>
  <si>
    <t xml:space="preserve">  3 ) MES-ALU-0318 ALUMINUM FRAME NEFS8-4040-810</t>
  </si>
  <si>
    <t xml:space="preserve">  4 ) MES-ALU-0319 ALUMINUM FRAME NEFS8-4040-750</t>
  </si>
  <si>
    <t xml:space="preserve">  5 ) MES-CAP-0001 CAP FOR ALUMINUM FRAME HFC8-4040-B</t>
  </si>
  <si>
    <t xml:space="preserve">  6 ) MES-BRA-0094 ALUMINUM BRACKETS HBLFSNF8-C-SET</t>
  </si>
  <si>
    <t xml:space="preserve">  7 ) MES-FOO-0009 FOOTBASE FOR ALUMINUM FRAME HLFC8-4040</t>
  </si>
  <si>
    <t xml:space="preserve">  8 ) MES-ADJ-0061 ADJUSTER PADS ECONOMY C-CFJFN10-100</t>
  </si>
  <si>
    <t>JR-26-04-042/PR69-494/NS BLUESCOPE</t>
  </si>
  <si>
    <t>เพาเวอร์ เพนแนล บอร์ด จำกัด</t>
  </si>
  <si>
    <t xml:space="preserve">  2 ) ELS-BOX-0099 CONTROL PANEL BASE (ฐานตู้) W700xH700xD370 mm.</t>
  </si>
  <si>
    <t>PO69-745</t>
  </si>
  <si>
    <t>JR-26-04-042/PR69-527/NS BLUESCOPE</t>
  </si>
  <si>
    <t xml:space="preserve">  1 ) MEM-SSS-0128 DWG No : JR-26-04-042-050-020 (SUS304-Hairline)</t>
  </si>
  <si>
    <t>PO69-797</t>
  </si>
  <si>
    <t>เจดับบลิวเทค จำกัด</t>
  </si>
  <si>
    <t xml:space="preserve">  1 ) ELS-BRE-0009 BREAKER CP30-BA 2P 1-M 10A (MITSUBISHI)</t>
  </si>
  <si>
    <t>PO69-907</t>
  </si>
  <si>
    <t xml:space="preserve">  2 ) ELS-TOU-0001 TOUCH SCREEN GS2110-WTBD-N (MITSUBISHI)</t>
  </si>
  <si>
    <t xml:space="preserve">  3 ) ELS-MAG-0014 MAGNETICCONTACTOR SD-Q11 DC24V (MITSUBISHI)</t>
  </si>
  <si>
    <t xml:space="preserve">  4 ) ELS-TOW-0013 TOWER LIGHT LR6-502LJBW-RYGBC (PATLITE)</t>
  </si>
  <si>
    <t xml:space="preserve">  5 ) ELS-BRE-0013 BREAKER NF32-SV 3P 16A (MITSUBISHI)</t>
  </si>
  <si>
    <t xml:space="preserve">  6 ) ELS-BRE-0022 BREAKER NF32-SV 2P 10A (MITSUBISHI)</t>
  </si>
  <si>
    <t xml:space="preserve">  7 ) ELS-EME-0008 EMERGEMCY STOP NAME PLATE HNAV-27 (30MM)</t>
  </si>
  <si>
    <t xml:space="preserve">  8 ) ELS-TER-0001 TERMINAL BNDH15W (IDEC)</t>
  </si>
  <si>
    <t xml:space="preserve">  9 ) ELS-TER-0004 TERMINAL BNH30W (IDEC)</t>
  </si>
  <si>
    <t xml:space="preserve"> 10 ) ELS-TER-0015 TERMINAL COVER BNC 230 (IDEC)</t>
  </si>
  <si>
    <t xml:space="preserve"> 11 ) ELS-DIN-0002 DIN RAIL BAA1000 (IDEC)</t>
  </si>
  <si>
    <t xml:space="preserve"> 12 ) ELS-REL-0022 RELAY MY4N-GS-R 24VDC (OMRON)</t>
  </si>
  <si>
    <t xml:space="preserve"> 13 ) ELS-SOC-0010 SOCKET RELAY PYFZ-14-E (OMRON)</t>
  </si>
  <si>
    <t xml:space="preserve"> 14 ) ELS-BRE-0063 BREAKER NF-32SV 3P 25A (MITSUBISHI)</t>
  </si>
  <si>
    <t>แพลน เนท ที แอนด์ เอส จำกัด</t>
  </si>
  <si>
    <t xml:space="preserve">  1 ) ELS-CAB-0319 CABLE KDF (5P)10C x 0.3 sqmm (KURAMO)</t>
  </si>
  <si>
    <t>PO69-894</t>
  </si>
  <si>
    <t>JR-26-04-042/PR69-495/NS BLUESCOPE</t>
  </si>
  <si>
    <t xml:space="preserve">  1 ) ELS-BRE-0060 BREAKER BH-D6 3P 10A (MITSUBISHI)</t>
  </si>
  <si>
    <t>PO69-753</t>
  </si>
  <si>
    <t xml:space="preserve">  2 ) ELS-BRE-0062 BREAKER BH-D6 3P 40A (MITSUBISHI)</t>
  </si>
  <si>
    <t xml:space="preserve">  1 ) MEP-SSS-0044 STEEL SS400 (เหล็กแผ่น) T20x260x400MM.</t>
  </si>
  <si>
    <t>PO69-783</t>
  </si>
  <si>
    <t xml:space="preserve">  2 ) MEP-SSS-0045 STEEL SS400 (เหล็กแผ่น) T20x300x400MM.</t>
  </si>
  <si>
    <t>JR-26-04-045/PR69-522/MODIFY (SVS 1)</t>
  </si>
  <si>
    <t xml:space="preserve">  1 ) MES-COU-0020 COUPLINGS GCPW ECONOMY GCPW26-6-10 (MISUMI)</t>
  </si>
  <si>
    <t>PO69-792</t>
  </si>
  <si>
    <t xml:space="preserve">  2 ) MES-ROT-0017 ROTARY ENCODERS E6C2-CWZ6C 720P/R 2M (OMRON)</t>
  </si>
  <si>
    <t>JR-26-04-042/PR69-520/NS BLUESCOPE</t>
  </si>
  <si>
    <t>ทวีธนลาภสตีล จำกัด</t>
  </si>
  <si>
    <t xml:space="preserve">  2 ) MEP-SSS-0047 STEEL SS400 (เหล็กฉาก) 40X40X4MM.X6M.</t>
  </si>
  <si>
    <t>PO69-787</t>
  </si>
  <si>
    <t xml:space="preserve">  3 ) MEP-SSS-0048 STEEL SS400 (เหล็กเพลากลม) 12MM.x6M.</t>
  </si>
  <si>
    <t xml:space="preserve">  4 ) MEP-SSS-0019 STEEL SS400 (เหล็กแผ่น) T10mmx4'x8'</t>
  </si>
  <si>
    <t xml:space="preserve">  5 ) MEP-SSS-0007 STEEL SS400 (เหล็กแผ่น) T5mmx4'x8'</t>
  </si>
  <si>
    <t xml:space="preserve">  6 ) MEP-SSS-0009 STEEL SS400 (เหล็กแผ่น) T3mmx4'x8'</t>
  </si>
  <si>
    <t>JR-OFFICE/PR69-545</t>
  </si>
  <si>
    <t xml:space="preserve">  1 ) SUF-STA-0317 กรวยน้ำ 5000 ลังเขียว*BP</t>
  </si>
  <si>
    <t>PO69-831</t>
  </si>
  <si>
    <t xml:space="preserve">  2 ) SUP-TAP-0014 TAPE เทป OPP 2 x 45y น้ำตาล Unitape</t>
  </si>
  <si>
    <t xml:space="preserve">  1 ) SUP-TER-0003 TERMINAL CORD END SELLVER CE-0.50-8 (สีส้ม)</t>
  </si>
  <si>
    <t>PO69-834</t>
  </si>
  <si>
    <t xml:space="preserve">  2 ) SUP-TER-0012 TERMINAL SPADE Y-1.5-4S</t>
  </si>
  <si>
    <t xml:space="preserve">  3 ) SUP-BEN-0001 แป้นกาวยึดสาย (ตีนตุ๊กแก ใหญ่ ขาว) 28x28 BANDEX</t>
  </si>
  <si>
    <t xml:space="preserve">  4 ) SUP-SAD-0002 SADDLE TIE TM-02</t>
  </si>
  <si>
    <t xml:space="preserve">  5 ) MES-SPE-0040 SPEED CONTROLLER AS3201F-03-10A (SMC)</t>
  </si>
  <si>
    <t xml:space="preserve"> 29 ) MES-SPE-0001 SPEED CONTROLLER AS2201F-01-08SA (SMC)</t>
  </si>
  <si>
    <t xml:space="preserve"> 34 ) MES-SPE-0001 SPEED CONTROLLER AS2201F-01-08SA (SMC)</t>
  </si>
  <si>
    <t>JR-26-07-078/PR69-596/SSL</t>
  </si>
  <si>
    <t>เดอะ วินเนอร์ พาร์ท แอนด์ เซอร์วิส จำกัด</t>
  </si>
  <si>
    <t xml:space="preserve">  1 ) MES-MOT-0094 WORM GEAR MOTOR MODEL: MRV050 (MOTOVARIO)</t>
  </si>
  <si>
    <t>PO69-889</t>
  </si>
  <si>
    <t xml:space="preserve">  2 ) MES-CHA-0034 CHAIN NO.35-1R HKH</t>
  </si>
  <si>
    <t xml:space="preserve">  3 ) MES-CHA-0035 ข้อต่อโซ่ NO.35-1R (CL)</t>
  </si>
  <si>
    <t xml:space="preserve">  4 ) SVP-DEL-0001 ค่าบริการ-ส่งของ-DELIVERY</t>
  </si>
  <si>
    <t>JR-STORE,OFFICE/PR69-601</t>
  </si>
  <si>
    <t xml:space="preserve">  1 ) SUP-STA-0370 เศษผ้าเย็บวนหลากสี (25kg/กระสอบ)</t>
  </si>
  <si>
    <t>PO69-919</t>
  </si>
  <si>
    <t>พีทูเอ็น ออฟฟิศซัพพลายส์ จำกัด</t>
  </si>
  <si>
    <t xml:space="preserve">  1 ) SUF-STA-0437 ผ้าหมึก BROTHER TN-1000</t>
  </si>
  <si>
    <t>PO69-900</t>
  </si>
  <si>
    <t xml:space="preserve">  1 ) MEP-SSS-0040 STEEL SS400 (เหล็กแผ่น) T20x20x130MM.</t>
  </si>
  <si>
    <t>PO69-759</t>
  </si>
  <si>
    <t xml:space="preserve">  2 ) MEP-SSS-0041 STEEL SS400 (เหล็กแผ่น) T16x20x62MM.</t>
  </si>
  <si>
    <t xml:space="preserve">  3 ) MEP-SSS-0042 STEEL SS400 (เหล็กแผ่น) T10x60x350MM.</t>
  </si>
  <si>
    <t xml:space="preserve">  4 ) MEP-SSS-0043 STEEL SS400 (เหล็กแผ่น) T10x80x350MM.</t>
  </si>
  <si>
    <t xml:space="preserve">  1 ) ELS-HMI-0012 HMI 7^ PROFACE ^PFXGP4402WADW^ (SCHNEIDER)</t>
  </si>
  <si>
    <t>PO69-748</t>
  </si>
  <si>
    <t xml:space="preserve">  1 ) ELS-SWI-0056 INDUSTRIAL SWITCH MES-G5RJ-ST ECONOMY (MISUMI)</t>
  </si>
  <si>
    <t>PO69-749</t>
  </si>
  <si>
    <t xml:space="preserve">  1 ) ELS-FLE-0065 FLEXISOFT BUNDLE MICRO (8 SDI, 4 SDO) #1058113</t>
  </si>
  <si>
    <t>PO69-750</t>
  </si>
  <si>
    <t xml:space="preserve">  2 ) ELS-FLE-0066 FLEXISOFT I/O EXPANSION FX3-XTIO84002 #1044125</t>
  </si>
  <si>
    <t xml:space="preserve">  3 ) ELS-PRO-0035 PROTECTION DEVICE VPU AC II 3+1 300/50 #2591080000</t>
  </si>
  <si>
    <t>ทริปเปิ้ล อี เทรดดิ้ง จำกัด</t>
  </si>
  <si>
    <t xml:space="preserve">  1 ) ELS-REL-0022 RELAY MY4N-GS-R 24VDC (OMRON)</t>
  </si>
  <si>
    <t>PO69-751</t>
  </si>
  <si>
    <t xml:space="preserve">  2 ) ELS-SOC-0010 SOCKET RELAY PYFZ-14-E (OMRON)</t>
  </si>
  <si>
    <t xml:space="preserve">  3 ) ELS-BRE-0009 BREAKER CP30-BA 2P 10A (MITSUBISHI)</t>
  </si>
  <si>
    <t>เจเจ-แลปป์ (ที) จำกัด</t>
  </si>
  <si>
    <t xml:space="preserve">  1 ) ELS-CAB-0266 CABLE H07V-K 1X2.5 VDE BN RAL 8003 P/N 8120032</t>
  </si>
  <si>
    <t>PO69-744</t>
  </si>
  <si>
    <t xml:space="preserve">  2 ) ELS-CAB-0265 CABLE H07V-K 1X2.5 VDE BK RAL 9005 P/N 8120012</t>
  </si>
  <si>
    <t xml:space="preserve">  3 ) ELS-CAB-0267 CABLE H07V-K 1X2.5 VDE GY RAL 7000 P/N 8120062</t>
  </si>
  <si>
    <t xml:space="preserve">  4 ) ELS-CAB-0248 CABLE H07V-K 1X2.5 VDE GNYE P/N 8120002</t>
  </si>
  <si>
    <t xml:space="preserve">  5 ) ELS-CAB-0263 CABLE H07V-K 1X2.5 VDE BU RAL 5010 P/N 8120022</t>
  </si>
  <si>
    <t xml:space="preserve">  6 ) ELS-CAB-0223 CABLE H05V-K 1X1.0 VDE RD RAL 3000 P/N 8110043</t>
  </si>
  <si>
    <t xml:space="preserve">  7 ) ELS-CAB-0146 CABLE H05V-K 1X1.0 VDE BK RAL 9005 P/N 8110013</t>
  </si>
  <si>
    <t xml:space="preserve">  8 ) ELS-CAB-0250 CABLE H05V-K 1X0.5 VDE LBU RAL 5015 P/N 8100548</t>
  </si>
  <si>
    <t xml:space="preserve">  9 ) ELS-CAB-0278 CABLE H05V-K 1X0.5 VDE GY RAL 7000 P/N 8110061</t>
  </si>
  <si>
    <t xml:space="preserve"> 10 ) ELS-CAB-0251 CABLE H05V-K 1X0.5 VDE OG RAL 2003 P/N 8110091</t>
  </si>
  <si>
    <t xml:space="preserve"> 11 ) ELS-CAB-0152 CABLE OLFLEX CLASSIC 110 21G0,5 P/N 1119021</t>
  </si>
  <si>
    <t xml:space="preserve"> 12 ) ELS-CAB-0097 CABLE OLFLEX CLASSIC 110 4G0.5 P/N 1119004</t>
  </si>
  <si>
    <t>JR-25-12-140/PR69-493/TC.UNION</t>
  </si>
  <si>
    <t>บุญทัน ขนส่ง จำกัด</t>
  </si>
  <si>
    <t xml:space="preserve">  1 ) 5150-43 ค่าบริการรถ 6 ล้อเฮี๊ยบจาก Robot ไป T.C.UNION</t>
  </si>
  <si>
    <t>PO69-740</t>
  </si>
  <si>
    <t>JR-25-12-140/PR69-083/T.C.UNION</t>
  </si>
  <si>
    <t>อีสเทิร์น เทค แมชชีนเนอรี่ จำกัด</t>
  </si>
  <si>
    <t xml:space="preserve">  1 ) MES-CON-0108 SLOP LOADING CONVEYOR W600xL2250xH1300mm</t>
  </si>
  <si>
    <t>PO69-145</t>
  </si>
  <si>
    <t xml:space="preserve">  2 ) MES-ROL-0023 ROLLER เพลาเหลี่ยม W615 x L1500 x H1300mm</t>
  </si>
  <si>
    <t xml:space="preserve">  3 ) MES-PAL-0005 FIGGER SUPPORT PALLET W3700xL6000xH500mm</t>
  </si>
  <si>
    <t xml:space="preserve">  4 ) MES-RAI-0005 GUIDE RAIL FOR PALLET TRANSFER</t>
  </si>
  <si>
    <t xml:space="preserve">  5 ) MES-STA-0009 LOAD IN STATION X-LIFT TRANSFER W980xL1750xH450mm</t>
  </si>
  <si>
    <t xml:space="preserve">  6 ) MES-STA-0010 ROBOT STATION X-LIFT TRANSFER W980xL3650xH450mm</t>
  </si>
  <si>
    <t xml:space="preserve">  7 ) MES-STA-0011 LOAD OUT STATION X-LIFT TRANSFER W980xL1750xH450mm</t>
  </si>
  <si>
    <t xml:space="preserve">  8 ) MES-AIR-0254 AIR BOWER UNIT</t>
  </si>
  <si>
    <t xml:space="preserve">  1 ) SVP-INS-0001 INSTALLATION COST</t>
  </si>
  <si>
    <t>PO69-151</t>
  </si>
  <si>
    <t xml:space="preserve">  2 ) SVP-TRA-0001 TRANSPORTATION COST</t>
  </si>
  <si>
    <t xml:space="preserve">  3 ) SVP-INP-0001 MICELLANEOUSLY COST</t>
  </si>
  <si>
    <t xml:space="preserve">  4 ) SVP-INP-0001 OVER HEAD COST</t>
  </si>
  <si>
    <t xml:space="preserve">  1 ) SUP-GAS-0002 GAS OXYGEN (O2) ออกซิเจน 6.0 คิว</t>
  </si>
  <si>
    <t>PO69-822</t>
  </si>
  <si>
    <t xml:space="preserve">  1 ) MEM-SSS-0117 JR-26-04-042-020-001-A (SS400)(ผิวดิบ/ตัดแก็ส)</t>
  </si>
  <si>
    <t>PO69-761</t>
  </si>
  <si>
    <t xml:space="preserve">  2 ) MEM-SSS-0118 JR-26-04-042-010-001-A (SS400)</t>
  </si>
  <si>
    <t xml:space="preserve">  3 ) MEM-SSS-0119 JR-26-04-042-010-002-A (SS400)</t>
  </si>
  <si>
    <t>JR-25-12-137/PR69-543/RICOH</t>
  </si>
  <si>
    <t xml:space="preserve">  1 ) MES-ADJ-0062 ADJUSTER PADS ECONOMY E-CFJFNVD65-12-150</t>
  </si>
  <si>
    <t>PO69-823</t>
  </si>
  <si>
    <t>JR-25-10-111/PR69-529/SUMITOMO</t>
  </si>
  <si>
    <t>วี เอ อาร์ คอร์ปอเรชั่น กรุ๊ป จำกัด</t>
  </si>
  <si>
    <t xml:space="preserve">  1 ) SVP-WAG-0001 ค่าจ้างทำสี Powder Coat :Matte Black Steel Part</t>
  </si>
  <si>
    <t>PO69-808</t>
  </si>
  <si>
    <t>JR-25-10-108/PR69-530/FCC</t>
  </si>
  <si>
    <t xml:space="preserve">  1 ) SVP-WAG-0001 ค่าจ้างทำสี Powder Coat : Matte Black Steel Part</t>
  </si>
  <si>
    <t>PO69-809</t>
  </si>
  <si>
    <t>JR-25-12-140/PR69-531/T.C.UNION</t>
  </si>
  <si>
    <t xml:space="preserve">  1 ) SVP-WAG-0001 ค่าจ้างทำสี Painting : Chugoku CS672</t>
  </si>
  <si>
    <t>PO69-810</t>
  </si>
  <si>
    <t xml:space="preserve">  2 ) SVP-WAG-0001 ค่าจ้างทำสี Primer JOTUN ( Grey )</t>
  </si>
  <si>
    <t xml:space="preserve">  3 ) SVP-WAG-0001 ค่าจ้างทำสี Chugoku CS672 Green</t>
  </si>
  <si>
    <t xml:space="preserve">  4 ) SVP-WAG-0001 ค่าจ้างทำสี Painting : Chugoku CS672 Green</t>
  </si>
  <si>
    <t>JR-24-04-018/PR69-521/EQ (Pick &amp; Place)</t>
  </si>
  <si>
    <t xml:space="preserve">  1 ) MES-SEA-0008 SEAL KIT STG-63K (CKD)</t>
  </si>
  <si>
    <t>PO69-785</t>
  </si>
  <si>
    <t>JR-25-12-137/PR69-546/RICOH</t>
  </si>
  <si>
    <t>ลีออง จิน สเปเชียล สตีล (ประเทศไทย) จำกัด</t>
  </si>
  <si>
    <t xml:space="preserve">  1 ) MEP-SSS-0049 STEEL SS400 (FINISHING PLATE) 460x380xT15 mm.</t>
  </si>
  <si>
    <t>PO69-824</t>
  </si>
  <si>
    <t xml:space="preserve">  1 ) MES-WIC-0109 ตะแกรงอาร์คลวดดำ ปล่อยปลาย(50x50x4mm.) 680x1530mm</t>
  </si>
  <si>
    <t>PO69-786</t>
  </si>
  <si>
    <t xml:space="preserve">  2 ) MES-WIC-0110 ตะแกรงอาร์คลวดดำ ปล่อยปลาย(50x50x4mm.) 970x1530mm</t>
  </si>
  <si>
    <t xml:space="preserve">  3 ) MES-WIC-0111 ตะแกรงอาร์คลวดดำ ปล่อยปลาย(50x50x4mm.) 960x1610mm</t>
  </si>
  <si>
    <t xml:space="preserve">  4 ) MES-WIC-0112 ตะแกรงอาร์คลวดดำ ปล่อยปลาย(50x50x4mm.) 710x1610mm</t>
  </si>
  <si>
    <t xml:space="preserve">  5 ) MES-WIC-0113 ตะแกรงอาร์คลวดดำ ปล่อยปลาย(50x50x4mm.) 460x1610mm</t>
  </si>
  <si>
    <t xml:space="preserve">  6 ) MES-WIC-0114 ตะแกรงอาร์คลวดดำ ปล่อยปลาย(50x50x4mm.) 210x1610mm</t>
  </si>
  <si>
    <t xml:space="preserve">  7 ) MES-WIC-0115 ตะแกรงอาร์คลวดดำ ปล่อยปลาย(50x50x4mm.) 915x1530mm</t>
  </si>
  <si>
    <t xml:space="preserve">  8 ) SVP-DEL-0001 ค่าบริการ-ส่งของ-DELIVERY</t>
  </si>
  <si>
    <t>JR-26-04-037/PR69-406/NS-SIAM</t>
  </si>
  <si>
    <t>บีแทค อินดัสเตรียล ออโตเมชั่น จำกัด</t>
  </si>
  <si>
    <t xml:space="preserve">  1 ) FGD-BRA-SEA-01 Sealing plate type DI-PL 442-5R18 O10O10 F FXP-FMP</t>
  </si>
  <si>
    <t>PO69-623</t>
  </si>
  <si>
    <t>JR-26-05-057/PR69-549/LERTVILAI</t>
  </si>
  <si>
    <t xml:space="preserve">  1 ) MEP-ALU-0054 ALUMINUM AL6061 T50x75x90MM.</t>
  </si>
  <si>
    <t>PO69-830</t>
  </si>
  <si>
    <t xml:space="preserve">  1 ) MEM-SSS-0122 DWG No : JR-24-04-018-001-301 (SS400)</t>
  </si>
  <si>
    <t>PO69-774</t>
  </si>
  <si>
    <t xml:space="preserve">  2 ) MEM-SSS-0123 DWG No : JR-24-04-018-001-302 (SS400)</t>
  </si>
  <si>
    <t xml:space="preserve">  3 ) MEM-SSS-0124 DWG No : JR-24-04-018-001-303 (SS400)</t>
  </si>
  <si>
    <t xml:space="preserve">  4 ) MEM-SSS-0125 DWG No : JR-24-04-018-001-304 (SS400)</t>
  </si>
  <si>
    <t xml:space="preserve">  5 ) MEM-SSS-0126 DWG No : JR-24-04-018-001-305 (SS400)</t>
  </si>
  <si>
    <t xml:space="preserve">  6 ) MEM-SSS-0127 DWG No : JR-24-04-018-001-306 (SS400)</t>
  </si>
  <si>
    <t xml:space="preserve">เอ็ม.ซี.เค.สตีล เซ็นเตอร์ จำกัด </t>
  </si>
  <si>
    <t xml:space="preserve">  1 ) SUP-SPL-0011 สเเตนเลสแผ่น (SUS304)-2B 2x1220x2440mm.</t>
  </si>
  <si>
    <t>PO69-833</t>
  </si>
  <si>
    <t xml:space="preserve">  2 ) SUP-SPL-0013 สแตนเลสแผ่น (SUS304)-2B 3x1220x2440mm.</t>
  </si>
  <si>
    <t>JR-OFFICE/PR69-551</t>
  </si>
  <si>
    <t>อัสคา อิเล็คโทรนิคส์ จำกัด</t>
  </si>
  <si>
    <t xml:space="preserve">  1 ) SUP-DRI-0227 ต๊าปเกลียว NPT 1^x11.1/2 (2ตัว/ชุด) KEIBA</t>
  </si>
  <si>
    <t>PO69-835</t>
  </si>
  <si>
    <t>JR-26-04-042/PR69-544/NS BLUESCOPE</t>
  </si>
  <si>
    <t>เคพีที1993 จำกัด</t>
  </si>
  <si>
    <t xml:space="preserve">  2 ) ELS-BOX-0100 CONTROL BOX S-ENCLOSURE CL16-34 (NITTO)</t>
  </si>
  <si>
    <t>PO69-828</t>
  </si>
  <si>
    <t xml:space="preserve">  1 ) ELS-BOX-0098 CONTROL BOX (ตู้เหล็ก SPCC) W700xH1200xD400 mm.</t>
  </si>
  <si>
    <t>JR-STORE/PR69-562/PRODUCTION</t>
  </si>
  <si>
    <t xml:space="preserve">  1 ) SUP-DRI-0228 ดอกต๊าปเกลียวตราคนป่า ขนาด 10 x 1.0 มม. (3ตัว/ชุด)</t>
  </si>
  <si>
    <t>PO69-852</t>
  </si>
  <si>
    <t>JR-25-12-140/PR69-563/T.C.UNION</t>
  </si>
  <si>
    <t xml:space="preserve">บุญทัน ขนส่ง จำกัด </t>
  </si>
  <si>
    <t xml:space="preserve">  1 ) 5150-43 ค่าขนส่ง 12ล้อ(ยาว9M.) ขนงานจาก ROBOT ไป T.C.UNION</t>
  </si>
  <si>
    <t>PO69-851</t>
  </si>
  <si>
    <t>JR-25-10-111/PR69-567/SUMITOMO</t>
  </si>
  <si>
    <t xml:space="preserve">  1 ) MES-ADJ-0063 ADJUSTER PADS AJCP12-B (MISUMI)</t>
  </si>
  <si>
    <t>PO69-858</t>
  </si>
  <si>
    <t>JR-25-12-140/PR69-573/T.C.UNION</t>
  </si>
  <si>
    <t xml:space="preserve">  1 ) MES-HOL-0019 HOLDER FOR SHAFT C-ALKDE12 (MISUMI)</t>
  </si>
  <si>
    <t>PO69-862</t>
  </si>
  <si>
    <t>JR-26-05-057/PR69-542/LERTVILAI</t>
  </si>
  <si>
    <t xml:space="preserve">  1 ) MEM-SSS-0129 DWG No : M23015-01-08-00 (SUJ2-60-65 HRC)</t>
  </si>
  <si>
    <t>PO69-817</t>
  </si>
  <si>
    <t xml:space="preserve">  2 ) MEM-SSS-0130 DWG No : M23015-01-09-00 (SUJ2-60-65 HRC)</t>
  </si>
  <si>
    <t xml:space="preserve">  3 ) MEM-SSS-0131 DWG No : M23015-01-10-00 (SS400)</t>
  </si>
  <si>
    <t xml:space="preserve">  4 ) MEM-SSS-0132 DWG No : M23015-01-12-00 (SS400)</t>
  </si>
  <si>
    <t>JR-25-10-108/PR69-554/FCC</t>
  </si>
  <si>
    <t xml:space="preserve">  1 ) MEM-BRA-0008 DWG No:JR-25-10-108-006-304_R1 (BRASS)</t>
  </si>
  <si>
    <t>PO69-844</t>
  </si>
  <si>
    <t>JR-26-05-057/PR69-535/LERTVILAI</t>
  </si>
  <si>
    <t xml:space="preserve">  1 ) ELS-CON-0158 I/O CONTACTOR XS2F-D422-G80-F (OMRON)</t>
  </si>
  <si>
    <t>PO69-815</t>
  </si>
  <si>
    <t>JR-26-05-057/PR69-526/LERTVILAI</t>
  </si>
  <si>
    <t xml:space="preserve">  1 ) MES-LIN-0171 LINEAR BUSHING LMF30M (MISUMI)</t>
  </si>
  <si>
    <t>PO69-816</t>
  </si>
  <si>
    <t>PO69-887</t>
  </si>
  <si>
    <t>JR-26-05-057/PR69-537/LERTVILAI</t>
  </si>
  <si>
    <t xml:space="preserve">  1 ) MES-SOL-0094 SOLENOID VALVE CHG-V2-25-0C2-DC24V (CKD)</t>
  </si>
  <si>
    <t>PO69-818</t>
  </si>
  <si>
    <t xml:space="preserve">  2 ) MES-SIL-0027 SILENCER SL-25A (CKD)</t>
  </si>
  <si>
    <t xml:space="preserve">  3 ) MES-VAL-0035 CHECK VALVE CHV2-25 (CKD)</t>
  </si>
  <si>
    <t xml:space="preserve">  3 ) MES-PLU-0001 PLUG PT1/4-PTC16 (SMC)</t>
  </si>
  <si>
    <t xml:space="preserve">  4 ) MES-FIT-0004 FITTING KQ2H08-01AS (SMC)</t>
  </si>
  <si>
    <t xml:space="preserve">  6 ) MES-FIT-0048 FITTING KQ2L10-02AS (SMC)</t>
  </si>
  <si>
    <t xml:space="preserve">  7 ) MES-MAN-0011 MANIFOLD BASE SS5Y7-20-04 (SMC)</t>
  </si>
  <si>
    <t xml:space="preserve"> 10 ) MES-FIT-0002 FITTING KQ2H08-10A (SMC)</t>
  </si>
  <si>
    <t xml:space="preserve"> 11 ) MES-FIT-0075 FITTING KQ2H10-02AS (SMC)</t>
  </si>
  <si>
    <t xml:space="preserve"> 12 ) MES-FIT-0076 FITTING KQ2H10-04AS (SMC)</t>
  </si>
  <si>
    <t xml:space="preserve"> 13 ) MES-PLU-0002 PLUG PT 1/8-PTC16 (SMC)</t>
  </si>
  <si>
    <t xml:space="preserve"> 15 ) MES-SIL-0007 SILENCER AN20-02 (SMC)</t>
  </si>
  <si>
    <t xml:space="preserve"> 16 ) MES-CON-0099 CONNECTOR ASSY SY7000-26-22A (SMC)</t>
  </si>
  <si>
    <t xml:space="preserve"> 17 ) MES-MAN-0011 MANIFOLD BASE SS5Y7-20-04  (SMC)</t>
  </si>
  <si>
    <t xml:space="preserve"> 18 ) MES-DIR-0028 DIRECTIONAL CONTROL VALVE SY7220-5DZ-02 (SMC)</t>
  </si>
  <si>
    <t xml:space="preserve"> 20 ) MES-SIL-0007 SILENCER AN20-02 (SMC)</t>
  </si>
  <si>
    <t xml:space="preserve"> 21 ) MES-FIT-0006 FITTING KQ2H08-02AS (SMC)</t>
  </si>
  <si>
    <t xml:space="preserve"> 22 ) MES-FIT-0073 FITTING KQ2T08-00A (SMC)</t>
  </si>
  <si>
    <t xml:space="preserve"> 23 ) MES-FIT-0229 FITTING KQ2U08-00A (SMC)</t>
  </si>
  <si>
    <t xml:space="preserve"> 24 ) MES-FIT-0194 FITTING KQ2T06-08A (SMC)</t>
  </si>
  <si>
    <t xml:space="preserve"> 25 ) MES-PRE-0032 PRESSURE REGULATOR AC30-03DG-V-D (SMC)</t>
  </si>
  <si>
    <t xml:space="preserve"> 26 ) MES-SPA-0011 SPACER Y300-D (SMC)</t>
  </si>
  <si>
    <t xml:space="preserve"> 27 ) MES-PRE-0033 PRESSURE SWITCH IS10M-30-16L-D (SMC)</t>
  </si>
  <si>
    <t xml:space="preserve"> 28 ) MES-FLO-0024 FLOW CONTROL VALVE AS2201F-01-06SA (SMC)</t>
  </si>
  <si>
    <t xml:space="preserve"> 30 ) MES-FLO-0016 FLOW CONTROL VALVE AS1201F-M5-06A (SMC)</t>
  </si>
  <si>
    <t xml:space="preserve"> 31 ) MES-PLU-0001 PLUG PT1/4-PTC16 (SMC)</t>
  </si>
  <si>
    <t xml:space="preserve"> 32 ) MES-AIR-0282 AIR CYLINDER MGPM32-75Z-M9BL (SMC)</t>
  </si>
  <si>
    <t xml:space="preserve"> 33 ) MES-FLO-0036 FLOW CONTROL VALVE AS2201F-02-10SA (SMC)</t>
  </si>
  <si>
    <t xml:space="preserve"> 35 ) MES-AIR-0225 AIR CYLINDER MGPM63-100Z-M9BL (SMC)</t>
  </si>
  <si>
    <t xml:space="preserve">  1 ) ELS-WIR-0141 WIRE WAY (รางวายเวย์) Size W100xH100xL2440 mm.</t>
  </si>
  <si>
    <t>PO69-826</t>
  </si>
  <si>
    <t xml:space="preserve">  2 ) ELS-WIR-0123 ข้องอเปิดในวายเวย์ W100xH100 mm.</t>
  </si>
  <si>
    <t xml:space="preserve">  3 ) ELS-WIR-0124 ข้องอเปิดนอกวายเวย์ W100xH100 mm.</t>
  </si>
  <si>
    <t xml:space="preserve">  4 ) ELS-WIR-0129 สามทางวายเวย์ 90องศา W100xH100 mm.</t>
  </si>
  <si>
    <t xml:space="preserve">  5 ) ELS-WIR-0130 ข้องอเปิดบนวายเวย์ 90องศา W100xH100 mm.</t>
  </si>
  <si>
    <t xml:space="preserve">  6 ) ELS-WIR-0128 แผ่นปิดหัว-ท้าย W100xH100 mm.</t>
  </si>
  <si>
    <t xml:space="preserve">  7 ) ELS-WIR-0126 ข้อต่อตรง W100xH100 mm.</t>
  </si>
  <si>
    <t xml:space="preserve">  8 ) ELS-WIR-0142 Flang End (ข้อต่อลงตู้วายเวย์) Size 100 mm.</t>
  </si>
  <si>
    <t>JR-26-04-042/PR69-566/NS BLUESCOPE</t>
  </si>
  <si>
    <t xml:space="preserve">  1 ) MES-WAS-0023 PLAIN WASHER แหวนอีแปะ (ชุบขาว) M8</t>
  </si>
  <si>
    <t>PO69-857</t>
  </si>
  <si>
    <t xml:space="preserve">  2 ) MES-WAS-0022 SPRING WASHER แหวนสปริง (ชุบขาว) M8</t>
  </si>
  <si>
    <t xml:space="preserve">  6 ) MES-SCR-0064 SCREW สกรูหัวจม (ชุบขาว) M8x20</t>
  </si>
  <si>
    <t xml:space="preserve">  7 ) MES-SCR-0128 SCREW (สกรูหัวจม) ชุบขาว M8x15</t>
  </si>
  <si>
    <t xml:space="preserve"> 13 ) MES-WAS-0045 SPRING WASHER แหวนสปริง (ชุบขาว) M12</t>
  </si>
  <si>
    <t xml:space="preserve"> 15 ) MES-WAS-0047 PLAIN WASHER แหวนอีแปะ (ชุบขาว) M24</t>
  </si>
  <si>
    <t xml:space="preserve"> 16 ) MES-WAS-0048 SPRING WASHER แหวนสปริง (ชุบขาว) M24</t>
  </si>
  <si>
    <t>JR-23-11-106/PR69-595/KING PAC</t>
  </si>
  <si>
    <t xml:space="preserve">  1 ) MES-PRE-0051 PRESSURE REGULATOR AW40-04E1-2 (SMC)</t>
  </si>
  <si>
    <t>PO69-890</t>
  </si>
  <si>
    <t xml:space="preserve">  1 ) MES-VAL-0036 CHECK VALVE AKB03A-03S (SMC)</t>
  </si>
  <si>
    <t>PO69-872</t>
  </si>
  <si>
    <t>JR-STORE/PR69-580/Asset</t>
  </si>
  <si>
    <t>ยูโรป้า ฮาร์ดแวร์ กรุ๊ป จำกัด</t>
  </si>
  <si>
    <t xml:space="preserve">  1 ) 14-1008- KENDO 90702 (01.68) ชุดเครื่องมือช่าง 124 ชิ้น</t>
  </si>
  <si>
    <t>PO69-866</t>
  </si>
  <si>
    <t>JR-26-07-078/ADVANCE/SSL</t>
  </si>
  <si>
    <t>CASH -SHOPEE</t>
  </si>
  <si>
    <t xml:space="preserve">  1 ) ELS-LIG-0020 INDIE LIGHT LED 350MM-24V-36V-10W</t>
  </si>
  <si>
    <t>PO69-931</t>
  </si>
  <si>
    <t>JR-24-04-018/PR69-452/EQ (Pick &amp; Place)</t>
  </si>
  <si>
    <t xml:space="preserve">  1 ) ELS-INV-0017 INVERTER TAUAB-ACS180-04S-04A0-4 (ABB) 1.5kW</t>
  </si>
  <si>
    <t>PO69-920</t>
  </si>
  <si>
    <t xml:space="preserve">  2 ) ELS-INV-0014 INVERTER TAUAB-ACS180-04S-02A6-4 (ABB) 0.75kW</t>
  </si>
  <si>
    <t xml:space="preserve">  2 ) ELS-END-0004 END PLATE TERMINAL BNE30W (IDEC)</t>
  </si>
  <si>
    <t>PO69-905</t>
  </si>
  <si>
    <t>ภากรธนสาร จำกัด</t>
  </si>
  <si>
    <t xml:space="preserve">  1 ) MEP-SSS-0008 STEEL SS400 (เหล็กแผ่น) T2mmx4'x8'</t>
  </si>
  <si>
    <t>PO69-924</t>
  </si>
  <si>
    <t xml:space="preserve">  2 ) MEP-SSS-0011 STEEL SS400 (เหล็กแผ่น) T6mmx4'x8'</t>
  </si>
  <si>
    <t xml:space="preserve">  3 ) MEP-SSS-0056 STEEL SS400 (เหล็กแผ่น) T15mmx4'x8'</t>
  </si>
  <si>
    <t xml:space="preserve">ที.เอ็ม.ที.พรีซิชั่น เวิร์ค จำกัด </t>
  </si>
  <si>
    <t xml:space="preserve">  1 ) MEM-SSS-0134 DWG No : JR-26-04-042-040-021-A (SS400)</t>
  </si>
  <si>
    <t>PO69-938</t>
  </si>
  <si>
    <t>JR-26-07-078/PR69-609/SSL</t>
  </si>
  <si>
    <t xml:space="preserve">  1 ) MES-AIR-0287 AIR CYLINDER MGPM20-50Z (SMC)</t>
  </si>
  <si>
    <t>PO69-922</t>
  </si>
  <si>
    <t xml:space="preserve">อัสคา อิเล็คโทรนิคส์ จำกัด </t>
  </si>
  <si>
    <t xml:space="preserve">  1 ) SUP-WAT-0001 น้ำกลั่นบริสุทธิ์ 20 ลิตร</t>
  </si>
  <si>
    <t>ถัง</t>
  </si>
  <si>
    <t>PO69-908</t>
  </si>
  <si>
    <t>ฮันชิน เนจิ (ประเทศไทย) จำกัด</t>
  </si>
  <si>
    <t xml:space="preserve">  1 ) MES-PAR-0129 PARALLEL KEY BOTH ROUND S45C 6x6x150</t>
  </si>
  <si>
    <t>PO69-921</t>
  </si>
  <si>
    <t xml:space="preserve">  2 ) MES-PAR-0130 PARALLEL KEY BOTH ROUND S45C 4x4x13 (MOQ=5)</t>
  </si>
  <si>
    <t xml:space="preserve">  3 ) MES-PAR-0131 PARALLEL KEY BOTH ROUND S45C 8x7x88</t>
  </si>
  <si>
    <t xml:space="preserve">  9 ) MES-FIT-0141 FITTING KQ2U10-12A (SMC)</t>
  </si>
  <si>
    <t xml:space="preserve"> 14 ) MES-VAC-0053 VACUUM EJECTOR ZL3H06-K15LZ-EBMG (SMC)</t>
  </si>
  <si>
    <t xml:space="preserve">  1 ) MEP-SSS-0057 STEEL SS400 (เหล็ก-Finishing plate) 150x75xT50mm.</t>
  </si>
  <si>
    <t>PO69-926</t>
  </si>
  <si>
    <t xml:space="preserve">  2 ) MEP-SSS-0058 STEEL SS400 (เหล็ก-Finishing plate) 350x220xT18mm.</t>
  </si>
  <si>
    <t xml:space="preserve">  3 ) MEP-SSS-0059 STEEL SS400 (เหล็ก-Finishing plate) 350x40xT25mm.</t>
  </si>
  <si>
    <t xml:space="preserve">  4 ) MEP-SSS-0060 STEEL SS400 (เหล็ก-Finishing plate) 62x45xT30mm.</t>
  </si>
  <si>
    <t xml:space="preserve">  5 ) MEP-SSS-0061 STEEL SS400 (เหล็ก-Finishing plate) 350x25xT25mm.</t>
  </si>
  <si>
    <t xml:space="preserve">  6 ) MEP-SSS-0062 STEEL SS400 (เหล็ก-Finishing plate) 350x305xT20mm.</t>
  </si>
  <si>
    <t xml:space="preserve">  7 ) MEP-SSS-0063 STEEL SS400 (เหล็ก-Finishing plate) 70x45xT15mm.</t>
  </si>
  <si>
    <t xml:space="preserve">  8 ) MEP-SSS-0065 STEEL SS400 (เหล็ก-Finishing plate) 350x50xT40mm.</t>
  </si>
  <si>
    <t xml:space="preserve">  9 ) MEP-SSS-0066 STEEL SS400 (เหล็ก-Finishing plate) 55x50xT20mm.</t>
  </si>
  <si>
    <t xml:space="preserve"> 10 ) MEP-SSS-0067 STEEL SS400 (เหล็ก-Finishing plate) 460x400xT50mm.</t>
  </si>
  <si>
    <t>SUP-GAS-0005</t>
  </si>
  <si>
    <t xml:space="preserve">  1 ) GAS NITROGEN ไนโตรเจน 6.0 คิว</t>
  </si>
  <si>
    <t>PO69-957</t>
  </si>
  <si>
    <t xml:space="preserve">SUP-GAS-0002 </t>
  </si>
  <si>
    <t xml:space="preserve">  2 ) GAS OXYGEN (O2) ออกซิเจน 6.0 คิว</t>
  </si>
  <si>
    <t xml:space="preserve">SUP-GAS-0004 </t>
  </si>
  <si>
    <t xml:space="preserve">  3 ) GAS ARGON อาร์กอน 6.0 คิว</t>
  </si>
  <si>
    <t xml:space="preserve">สยาม เอส.ซี. สตีล เพลท จำกัด </t>
  </si>
  <si>
    <t xml:space="preserve">  1 ) MEM-SSS-0133 DWG No : JR-26-04-042-040-019-A (S45C+Black Oxide)</t>
  </si>
  <si>
    <t>PO69-927</t>
  </si>
  <si>
    <t xml:space="preserve">  5 ) MES-SCR-0043 SCREW CONBERSION JOINTS APMFSL-T1-T1-L26 (MISUMI)</t>
  </si>
  <si>
    <t xml:space="preserve"> 11 ) MES-TIM-0019 TIMING PULLYE TTPM40T10300-A-N30 (MISUMI)</t>
  </si>
  <si>
    <t>JR-26-05-057/LERTVILAI</t>
  </si>
  <si>
    <t>PR69-597</t>
  </si>
  <si>
    <t xml:space="preserve">ELS-STO-0001 </t>
  </si>
  <si>
    <t>STOPPER BNL5 (IDEC)</t>
  </si>
  <si>
    <t>Pcs.</t>
  </si>
  <si>
    <t>JR-25-12-137/RICOH</t>
  </si>
  <si>
    <t>ฮาร์ดแวร์เฮาส์ คอร์ปอเรชั่น จำกัด (สาขาศรีราชา)</t>
  </si>
  <si>
    <t xml:space="preserve">  1 ) ELS-BLO-0015 BLOCK บล็อกยาง 2 ที่1สว 3*1.0 5m S265 SOKAWA</t>
  </si>
  <si>
    <t>PO69-803</t>
  </si>
  <si>
    <t xml:space="preserve">  1 ) SUP-SAF-0009 กรวยมินิ 52cm+ช่องร้อยท่อ 710652 SF</t>
  </si>
  <si>
    <t>PO69-804</t>
  </si>
  <si>
    <t xml:space="preserve">  2 ) SUP-SAF-0010 ถุงคลุมรองเท้า CPE สีฟ้า (50 คู่)</t>
  </si>
  <si>
    <t xml:space="preserve">  3 ) SUP-TAP-0021 TAPE เทปตีเส้น/กันเขต ขาว/แดง 70mm*100m PILOT</t>
  </si>
  <si>
    <t xml:space="preserve">  1 ) ELS-POW-0024 POWER SUPPLY S8VK-G24024 OMRON</t>
  </si>
  <si>
    <t>PO69-752</t>
  </si>
  <si>
    <t>ธีรกิจ อิเล็คทริค โซลูชั่น จำกัด</t>
  </si>
  <si>
    <t xml:space="preserve">  1 ) ELS-INV-0022 INVERTER FR-D840-0.75K-22 (MITSUBISHI)</t>
  </si>
  <si>
    <t>PO69-754</t>
  </si>
  <si>
    <t xml:space="preserve">  2 ) ELS-CON-0157 CONTACTOR  S-T12 220V (MITSUBISHI)</t>
  </si>
  <si>
    <t xml:space="preserve">  3 ) ELS-POW-0018 POWER SUPPLY Q61P MITSUBISHI</t>
  </si>
  <si>
    <t xml:space="preserve">  4 ) ELS-PLC-0036 PLC Q35B MITSUBISHI</t>
  </si>
  <si>
    <t xml:space="preserve">  5 ) ELS-PLC-0003 PLC MITSUBISHI Q03UDVCPU</t>
  </si>
  <si>
    <t xml:space="preserve">  6 ) ELS-PLC-0001 PLC MITSUBISHI IO QH42P</t>
  </si>
  <si>
    <t xml:space="preserve">  7 ) ELS-INP-0001 INPUT DC QX40 MITSUBISHI</t>
  </si>
  <si>
    <t xml:space="preserve">  8 ) ELS-OUT-0003 OUTPUT TRANSISTOR QY40P (MITSUBISHI)</t>
  </si>
  <si>
    <t xml:space="preserve">  9 ) ELS-PLC-0039 PLC QJ61BT11N MITSUBISHI</t>
  </si>
  <si>
    <t xml:space="preserve"> 10 ) ELS-CON-0144 CONNECTOR CABLE A6TBXY36 (MISUBISHI)</t>
  </si>
  <si>
    <t>JR-26-04-042/PR69-496/NS BLUESCOPE</t>
  </si>
  <si>
    <t xml:space="preserve">  1 ) ELS-PIL-0032 PILOT LAMP AH164-ZTGE3 (FUJI)</t>
  </si>
  <si>
    <t>PO69-766</t>
  </si>
  <si>
    <t xml:space="preserve">  2 ) ELS-PIL-0033 PILOT LAMP AH164-ZTYE3 (FUJI)</t>
  </si>
  <si>
    <t xml:space="preserve">  3 ) ELS-PIL-0034 PILOT LAMP AH164-ZTRE3 (FUJI)</t>
  </si>
  <si>
    <t xml:space="preserve">CASH </t>
  </si>
  <si>
    <t xml:space="preserve">  1 ) ELS-CAB-0310 CABLE CB-RCA-SIO050+USB adapter RCB-CV-USB (SET)</t>
  </si>
  <si>
    <t>PO69-795</t>
  </si>
  <si>
    <t xml:space="preserve">  1 ) ELS-CON-0159 CONTROL CONSOLE ACCESSORIES EBA-20-5E SHINOHARA</t>
  </si>
  <si>
    <t>PO69-827</t>
  </si>
  <si>
    <t xml:space="preserve">  1 ) ELS-TER-0036 TERMINAL BOX BOXTM-2001 (TOYOGIKEN)</t>
  </si>
  <si>
    <t xml:space="preserve">  1 ) SUP-CUT-0001 ใบตัดเหล็กและสแตนเลส 4^X1MM.สีดํา-ทอง ^SUMO^</t>
  </si>
  <si>
    <t>PO69-832</t>
  </si>
  <si>
    <t>JR-25-12-140/PR69-557/T.C.UNION</t>
  </si>
  <si>
    <t xml:space="preserve">  1 ) MES-HIN-0036 HINGE ECONOMY C-HHSN100A MISUMI</t>
  </si>
  <si>
    <t>PO69-842</t>
  </si>
  <si>
    <t>JR-26-07-075/PR69-558/SYNGENTA</t>
  </si>
  <si>
    <t xml:space="preserve">  1 ) MES-SCR-0224 SCREW THREAD MTSFR40 (MISUMI)</t>
  </si>
  <si>
    <t>PO69-843</t>
  </si>
  <si>
    <t>PO69-859</t>
  </si>
  <si>
    <t>JR-25-12-140&amp;JR-OFFICE/T.C.UNION&amp;OFFICE</t>
  </si>
  <si>
    <t xml:space="preserve">  1 ) SUF-OFF-0002 หลอดไฟ LED Buld 11W DL SHINING (PK6)</t>
  </si>
  <si>
    <t>PO69-860</t>
  </si>
  <si>
    <t xml:space="preserve">  2 ) MES-TUB-0024 TUBE สายลมเดี่ยว 3/4^x20m (19mm) TOYOX</t>
  </si>
  <si>
    <t xml:space="preserve">  3 ) MES-TAP-0004 TAPE (เทปันเกลียว หนาเหนี่ยว) เกรด A SHOWA</t>
  </si>
  <si>
    <t xml:space="preserve">  4 ) MES-FIT-0245 ข้อต่อเกลียวนอก 1/2^ เสียบสาย 3/4^ TOYOX</t>
  </si>
  <si>
    <t xml:space="preserve">  5 ) MES-SCR-0238 SCREW สกรูหัวจมเตเปอร์ (ดำ) M12x25</t>
  </si>
  <si>
    <t xml:space="preserve">  6 ) MES-CLP-0002 เข็มขัดรัดสายยาง (สแตนเลส) 22–30mm(1A) ORBIT</t>
  </si>
  <si>
    <t xml:space="preserve">  7 ) MES-FIT-0246 FITTING ข้องอเหล็ก 90 1/2^</t>
  </si>
  <si>
    <t xml:space="preserve">  8 ) MES-FIT-0247 FITTING ข้อตอเหล็ก 1/2^</t>
  </si>
  <si>
    <t xml:space="preserve">  9 ) MES-FIT-0248 FITTING ข้องอเกลียวนอก 12/04</t>
  </si>
  <si>
    <t xml:space="preserve"> 10 ) MES-TEE-0004 STEEL TEE (สามทางเหล็ก) 1/2^</t>
  </si>
  <si>
    <t xml:space="preserve"> 11 ) MES-NIP-0004 STEEL HEX NIPPLE (นิปเปิ้ลเหล็ก) 1/2^</t>
  </si>
  <si>
    <t>JR-25-12-140/PR69-571/T.CUNION</t>
  </si>
  <si>
    <t xml:space="preserve">  1 ) MEP-PIP-0002 ท่อเหล็กอาบสังกะสี CLASS-M (คาดน้ำเงิน) ขนาด 1/2^</t>
  </si>
  <si>
    <t>PO69-855</t>
  </si>
  <si>
    <t>JR-25-12-137/PR69-550/RICOH</t>
  </si>
  <si>
    <t>โซดา วิชั่น (ประเทศไทย) จำกัด</t>
  </si>
  <si>
    <t xml:space="preserve">  1 ) ELS-CAM-0017 CAMERA 5MP,acA2500-60um (DEMO SN: 21912231)</t>
  </si>
  <si>
    <t>PO69-837</t>
  </si>
  <si>
    <t xml:space="preserve">  2 ) ELS-HAN-0001 OPERATION HANDLE BREAKERS F-05SV LF DR MITSUBISHI</t>
  </si>
  <si>
    <t>JR-26-04-042/PR69-511/NS BLUESCOPE</t>
  </si>
  <si>
    <t xml:space="preserve">  2 ) MES-PRE-0050 PRECISION LINEAR SHAFT E-PSFJW20-285-M10-N10</t>
  </si>
  <si>
    <t>PO69-790</t>
  </si>
  <si>
    <t xml:space="preserve">  1 ) SUF-STA-0453 เมาส์ไร้สาย LOGITECH M331 SILENT PLUS (สีเทา)</t>
  </si>
  <si>
    <t>PO69-903</t>
  </si>
  <si>
    <t xml:space="preserve">  1 ) MEP-SSS-0053 STEEL SS400 (เหล็กรางน้ำ) 75X40X5X7MM.X6M.</t>
  </si>
  <si>
    <t>PO69-923</t>
  </si>
  <si>
    <t>JR-23-11-106/KING PAC</t>
  </si>
  <si>
    <t>MES-FIT-0231</t>
  </si>
  <si>
    <t>FITTING 12/04 (ข้อต่อเกลียวนอก)</t>
  </si>
  <si>
    <t>PO69-951</t>
  </si>
  <si>
    <t>MES-TUB-0023</t>
  </si>
  <si>
    <t>TUBE สายลมโพลียูรีเทน 8x12 mm สีดำ For warranty</t>
  </si>
  <si>
    <t>MES-FIT-0208</t>
  </si>
  <si>
    <t>FITTING 12/02 (ข้อต่อเกลียวนอก)</t>
  </si>
  <si>
    <t>PO69-952</t>
  </si>
  <si>
    <t>MES-SCR-0250</t>
  </si>
  <si>
    <t>SCREW (สกรูหัวจม) SUS 3x30-0.5 For warranty</t>
  </si>
  <si>
    <t>JR-25-12-140/T.C.UNION</t>
  </si>
  <si>
    <t>PR69-616</t>
  </si>
  <si>
    <t>SVP-WAG-0001</t>
  </si>
  <si>
    <t>ค่าจ้างทำสี Painting : Chugoku CS672 Green</t>
  </si>
  <si>
    <t>PO69-939</t>
  </si>
  <si>
    <t>SUP-PAN-0068</t>
  </si>
  <si>
    <t>Chugoku CS672 Green (สีชูโกกุ)</t>
  </si>
  <si>
    <t>JR-24-04-018/EQ (Pick &amp; Place)</t>
  </si>
  <si>
    <t>PR69-620</t>
  </si>
  <si>
    <t>MES-AIR-0288</t>
  </si>
  <si>
    <t>AIR CYLINDER CDG1UA63-50Z-NW-M9BL (SMC) *For warranty</t>
  </si>
  <si>
    <t>PO69-944</t>
  </si>
  <si>
    <t>JR-26-04-042/PR69-600/NS BLUESCOPE</t>
  </si>
  <si>
    <t xml:space="preserve">  1 ) ELS-SAF-0076 SAFETY RELAYS RLY3-OSSD100 # 1085343 (SICK)</t>
  </si>
  <si>
    <t>PO69-917</t>
  </si>
  <si>
    <t xml:space="preserve">  2 ) ELS-SAF-0077 SAFETY CONTROLLERS FX3-XTI084002 #1044125 (SICK)</t>
  </si>
  <si>
    <t xml:space="preserve">JR-26-05-057/LERTVILAI (MCP)    </t>
  </si>
  <si>
    <t>PR69-628</t>
  </si>
  <si>
    <t>MES-CLA-0014</t>
  </si>
  <si>
    <t xml:space="preserve">STAINLESS STEEL HOSE CLAMP ORBIT 25–35mm.        </t>
  </si>
  <si>
    <t>PO69-959</t>
  </si>
  <si>
    <t>MES-BOL-0034</t>
  </si>
  <si>
    <t xml:space="preserve">STAINLESS STEEL U-BOLT 1"        </t>
  </si>
  <si>
    <t xml:space="preserve">STAINLESS STEEL U-BOLT 2"    </t>
  </si>
  <si>
    <t xml:space="preserve">  1 ) ELS-WIR-0014 WIRE DUCT WD-6060-8 (BANDEX)</t>
  </si>
  <si>
    <t>PO69-756</t>
  </si>
  <si>
    <t xml:space="preserve">  2 ) ELS-STO-0001 STOPPER BNL5 (IDEC)</t>
  </si>
  <si>
    <t xml:space="preserve">  3 ) ELS-TER-0001 TERMINAL BNDH15W (IDEC)</t>
  </si>
  <si>
    <t xml:space="preserve">  4 ) ELS-TER-0044 TERMINAL BNDE15W (IDEC)</t>
  </si>
  <si>
    <t xml:space="preserve">  5 ) ELS-TER-0004 TERMINAL BNH30W (IDEC)</t>
  </si>
  <si>
    <t xml:space="preserve">  6 ) ELS-END-0004 END PLATE TERMINAL BNE30W (IDEC)</t>
  </si>
  <si>
    <t xml:space="preserve">  7 ) ELS-TER-0015 TERMINAL COVER BNC230 (IDEC)</t>
  </si>
  <si>
    <t xml:space="preserve">  8 ) ELS-DIN-0002 DIN RAIL BAA1000 (IDEC)</t>
  </si>
  <si>
    <t xml:space="preserve">  9 ) ELS-TER-0058 TERMINAL BLOCK Jumper BNJ26FWB (IDEC)</t>
  </si>
  <si>
    <t xml:space="preserve"> 10 ) ELS-PIL-0008 PILOT LAMP YW1P-1UQM3 PW (IDEC)</t>
  </si>
  <si>
    <t xml:space="preserve"> 11 ) ELS-SEL-0001 SELECTOR SWITCHES 22mm. ASW211 (IDEC)</t>
  </si>
  <si>
    <t xml:space="preserve"> 12 ) ELS-SWI-0009 SWITCH  YW1B-V4E12 R (IDEC)</t>
  </si>
  <si>
    <t xml:space="preserve"> 13 ) ELS-FLE-0012 CONNECTOR ท่ออ่อนกันน้ำ-TIGER 3/4^</t>
  </si>
  <si>
    <t xml:space="preserve"> 14 ) ELS-FLE-0011 CONNECTOR ท่ออ่อนกันน้ำ-TIGER 1/2^</t>
  </si>
  <si>
    <t xml:space="preserve"> 15 ) ELS-FLE-0067 ท่ออ่อนกันน้ำ-สีดำ.TEEFLEX 3/4^ (1/50)</t>
  </si>
  <si>
    <t xml:space="preserve"> 16 ) ELS-FLE-0023 ท่ออ่อนกันน้ำ-สีดำ.TEEFLEX 1/2^ (1/50)</t>
  </si>
  <si>
    <t xml:space="preserve"> 17 ) ELS-TOW-0003 TOWER LIGHT LR6-202LJBW-RG PATLITE</t>
  </si>
  <si>
    <t xml:space="preserve">  1 ) ELS-WIR-0025 WIRE DUCT WD-4060-8  (BANDEX)</t>
  </si>
  <si>
    <t>PO69-755</t>
  </si>
  <si>
    <t xml:space="preserve">  2 ) ELS-PLU-0010 PLUG WEG 15829 (PANASONIC)</t>
  </si>
  <si>
    <t>ตัว</t>
  </si>
  <si>
    <t xml:space="preserve">  3 ) ELS-COV-0008 COVER PLATE WEG 6803WK ฝา 3 ช่อง (PANASONIC)</t>
  </si>
  <si>
    <t xml:space="preserve">  4 ) ELS-PLU-0013 บล๊อกลอย(N) 2x4^ 403-1 NANO ขอบเหลี่ยม</t>
  </si>
  <si>
    <t xml:space="preserve">  5 ) ELS-PUS-0023 PUSH BUTTON LAMP+SHROUD YW1L-MF2E11Q4 24V G(IDEC)</t>
  </si>
  <si>
    <t xml:space="preserve">  6 ) ELS-PUS-0024 PUSH BUTTON LAMP+SHROUD YW1L-MF2E11Q4 24V Y(IDEC)</t>
  </si>
  <si>
    <t xml:space="preserve">  7 ) ELS-PUS-0025 PUSH BUTTON LAMP+SHROUD YW1L-MF2E11Q4 24V R(IDEC)</t>
  </si>
  <si>
    <t xml:space="preserve">  8 ) ELS-LAN-0013 LAN Connector RJ45 LINK CAT6 Shield US-1004A</t>
  </si>
  <si>
    <t xml:space="preserve">  9 ) ELS-PLU-0009 ปลอกหุ้มแจ๊ค RJ45 CAT5E US-6004 BLUE (LINK)</t>
  </si>
  <si>
    <t xml:space="preserve"> 10 ) ELS-CAB-0074 CABLE GLAND สีดำ PG-16 (DAKO)</t>
  </si>
  <si>
    <t xml:space="preserve"> 11 ) ELS-CAB-0072 CABLE GLAND สีดำ PG-13.5 (DAKO)</t>
  </si>
  <si>
    <t xml:space="preserve">  1 ) ELS-NOI-0002 NOISE FILTER TDK RSHN-2010 10A (TDK)</t>
  </si>
  <si>
    <t>PO69-765</t>
  </si>
  <si>
    <t xml:space="preserve">  2 ) ELS-EME-0011 EMERGEMCY STOP NAME PLATE HWAV-27-Y (22MM)(IDEC)</t>
  </si>
  <si>
    <t xml:space="preserve">  1 ) ELS-BUS-0001 BUS BAR INSULATOR ลูกถ้วยบัสบาร์ SM-25(DAKO)</t>
  </si>
  <si>
    <t>PO69-829</t>
  </si>
  <si>
    <t xml:space="preserve">  2 ) ELS-SAF-0001 SAFETY PLUG SPT-11 (DAIWA)</t>
  </si>
  <si>
    <t xml:space="preserve">  3 ) ELS-BLO-0011 BLOCK KGN 111Y 30mm. (IDEC)</t>
  </si>
  <si>
    <t xml:space="preserve">  4 ) ELS-BLO-0002 BLOCK KGNW212Y 22mm. (IDEC)</t>
  </si>
  <si>
    <t xml:space="preserve">  5 ) ELS-SWI-0009 SWITCH  YW1B-V4E12 R (IDEC)</t>
  </si>
  <si>
    <t xml:space="preserve">  6 ) ELS-PUS-0023 PUSH BUTTON LAMP+SHROUD YW1L-MF2E11Q4 24V G (IDEC)</t>
  </si>
  <si>
    <t xml:space="preserve">  7 ) ELS-EME-0005 EMERGEMCY STOP PUSH BUTTON HWAV-27 (IDEC)</t>
  </si>
  <si>
    <t xml:space="preserve">  1 ) SUF-STA-0619 รองเท้าเซฟตี้ LFP003 Ranger 44 TRAXION</t>
  </si>
  <si>
    <t>PO69-864</t>
  </si>
  <si>
    <t xml:space="preserve">  1 ) MES-SCR-0102 SCREW สกรูหัวจมกลม (ชุบขาว) M6x12</t>
  </si>
  <si>
    <t>PO69-850</t>
  </si>
  <si>
    <t xml:space="preserve">  2 ) MES-SCR-0230 SCREW (สกรูหัวจมกลม) ชุบขาว M10x20</t>
  </si>
  <si>
    <t xml:space="preserve">  3 ) MES-SCR-0232 SCREW (สกรูหัวจมกลม) ชุบขาว M4x12</t>
  </si>
  <si>
    <t xml:space="preserve">  4 ) MES-SCR-0233 SCREW (สกรูหัวหกเหลี่ยม) SUS M4x25</t>
  </si>
  <si>
    <t xml:space="preserve">  6 ) MES-SCR-0235 SCREW สกรูหัวจมกลม (ชุบขาว) M5x12</t>
  </si>
  <si>
    <t xml:space="preserve">  7 ) MES-SCR-0236 SCREW สกรูหัวจม (ชุบขาว) M24x100</t>
  </si>
  <si>
    <t>JR-24-04-020/PR69-593/TEI (Pick &amp; Place System)</t>
  </si>
  <si>
    <t>เน็ทต้า จำกัด</t>
  </si>
  <si>
    <t xml:space="preserve">  1 ) ELS-CAB-0315 CABLE TRAY BRIDGE TYPE TEZ45.50.100 (BH01-003-002)</t>
  </si>
  <si>
    <t>PO69-879</t>
  </si>
  <si>
    <t xml:space="preserve">  2 ) ELS-CAB-0316 CABLE TRAY CONNECTOR PLATE TEZ45.50(BH01-003-008)</t>
  </si>
  <si>
    <t xml:space="preserve">  3 ) SVP-DEL-0001 ค่าบริการ-ส่งของ-DELIVERY</t>
  </si>
  <si>
    <t xml:space="preserve">  1 ) SUF-STA-0341 ตลับลูกดรัม Brother DR-1000</t>
  </si>
  <si>
    <t>PO69-902</t>
  </si>
  <si>
    <t xml:space="preserve">  2 ) SUF-STA-0355 ผ้าหมึก EPSON LQ310</t>
  </si>
  <si>
    <t xml:space="preserve">  3 ) SUF-STA-0043 กระดาษต่อเนื่องเคมี 3 ชั้น 9*11 TKS W/G/Y</t>
  </si>
  <si>
    <t>JR-25-10-111/SUMITOMO</t>
  </si>
  <si>
    <t>PR69-623</t>
  </si>
  <si>
    <t>MES-SCR-251</t>
  </si>
  <si>
    <t>SCREW (สกรูหัวหกเหลี่ยม)ดำ M6x75MM เกลียวตลอด</t>
  </si>
  <si>
    <t>PO69-956</t>
  </si>
  <si>
    <t>JR-26-04-042/PR69-516/NS BLUESCOPE</t>
  </si>
  <si>
    <t>อวาเน็ค คอมโพแนนซ์ จำกัด</t>
  </si>
  <si>
    <t xml:space="preserve">  1 ) MES-PLA-0006 PLASTIC END CAP PEI2P-50 PE 2^ Black</t>
  </si>
  <si>
    <t>PO69-836</t>
  </si>
  <si>
    <t>JR-26-07-074/PR69-556/LEISTIEZ</t>
  </si>
  <si>
    <t>เอบีบี โรโบติกส์ (ประเทศไทย) จำกัด</t>
  </si>
  <si>
    <t xml:space="preserve">  1 ) FGD-COM-0001 COMPUTER DSQC1024 3HAC058366-001 (ABB)</t>
  </si>
  <si>
    <t>PO69-841</t>
  </si>
  <si>
    <t>JR-25-12-140/PR69-559/T.C.UNION</t>
  </si>
  <si>
    <t xml:space="preserve">  1 ) MEP-SSS-0052 STEEL SS400 (เหล็กแผ่น) T12mmx4'x8'</t>
  </si>
  <si>
    <t>PO69-845</t>
  </si>
  <si>
    <t xml:space="preserve">  2 ) MEP-SSS-0050 STEEL SS400 (เหล็กกล่อง) 150x75x3.2MMx6M.</t>
  </si>
  <si>
    <t xml:space="preserve">  3 ) MEP-SSS-0051 STEEL SS400 (เหล็กกล่อง) 75x75x3.2MMx6M.</t>
  </si>
  <si>
    <t xml:space="preserve">  1 ) MES-WAS-0043 PLAIN WASHER แหวนอีแปะ (ชุบขาว) M12</t>
  </si>
  <si>
    <t>PO69-847</t>
  </si>
  <si>
    <t xml:space="preserve">  2 ) MES-WAS-0045 SPRING WASHER แหวนสปริง (ชุบขาว) M12</t>
  </si>
  <si>
    <t xml:space="preserve">  3 ) MES-SCR-0225 SCREW (สกรูหัวหกเหลี่ยม) M12x50 ชุบขาว(เกลียวตลอด)</t>
  </si>
  <si>
    <t xml:space="preserve">  4 ) MES-NUT-0079 NUT น็อตตัวเมีย (ชุบขาว) M12</t>
  </si>
  <si>
    <t xml:space="preserve">  5 ) MES-WAS-0022 SPRING WASHER แหวนสปริง (ชุบขาว) M8</t>
  </si>
  <si>
    <t xml:space="preserve">  6 ) MES-SCR-0191 SCREW สกรูหัวหกเหลี่ยม (ชุบขาว) M8x15</t>
  </si>
  <si>
    <t xml:space="preserve">  7 ) MES-WAS-0027 SPRING WASHER แหวนสปริง (ชุบขาว) M5</t>
  </si>
  <si>
    <t xml:space="preserve">  8 ) MES-SCR-0226 SCREW (สกรูหัวหกเหลี่ยม) M5x12 (ชุบขาว)</t>
  </si>
  <si>
    <t xml:space="preserve">  9 ) MES-WAS-0026 PLAIN WASHER แหวนอีแปะ (ชุบขาว) M5</t>
  </si>
  <si>
    <t xml:space="preserve"> 10 ) MES-SCR-0190 SCREW สกรูหัวหกเหลี่ยม (ชุบขาว) M5x15</t>
  </si>
  <si>
    <t xml:space="preserve"> 11 ) MES-NUT-0084 NUT น็อตตัวเมีย (ชุบขาว) M5</t>
  </si>
  <si>
    <t xml:space="preserve"> 12 ) MES-SCR-0227 SCREW (สกรูหัวหกเหลี่ยม) M12x25 ชุบขาว(เกลียวตลอด)</t>
  </si>
  <si>
    <t xml:space="preserve"> 13 ) MES-SCR-0229 SCREW (สกรูหัวหกเหลี่ยม) M10x20 ชุบขาว(เกลียวตลอด)</t>
  </si>
  <si>
    <t>JR-PROJECT,STORE,OFFICE</t>
  </si>
  <si>
    <t>พงษ์เจริญ ฮาร์ดแวร์ ทูล</t>
  </si>
  <si>
    <t xml:space="preserve">  1 ) SUP-END-0108 CARBIDE  6mm 4F (H2-มือสอง)</t>
  </si>
  <si>
    <t>PO69-880</t>
  </si>
  <si>
    <t xml:space="preserve">  2 ) SUP-END-0109 CARBIDE  8mm 4F (H2-มือสอง)</t>
  </si>
  <si>
    <t xml:space="preserve">  3 ) SUP-END-0101 CARBIDE 10mm 4F L75 (H2 มือสอง)</t>
  </si>
  <si>
    <t xml:space="preserve">  4 ) SUP-END-0106 CARBIDE 12mm 4F (H2 มือสอง)</t>
  </si>
  <si>
    <t xml:space="preserve">  5 ) SUP-END-0110 CARBIDE 10mm 4F L100  (H2 มือสอง)</t>
  </si>
  <si>
    <t xml:space="preserve">  6 ) SUP-TOL-0004 MACHINE BASE (ขาตั้งแม่เหล็ก) สีแดง</t>
  </si>
  <si>
    <t xml:space="preserve">  7 ) SUP-LOC-0014 V TECH VT-8436 กาวล็อกเกลียว สีน้ำเงิน 6ML.</t>
  </si>
  <si>
    <t xml:space="preserve">  8 ) SUP-LOC-0015 V TECH VT-87150 กาวล็อกเกลียว สีแดง 50ML.</t>
  </si>
  <si>
    <t xml:space="preserve">  9 ) SUP-COV-0022 กระดาษทรายน้ำ 62A NO.1000 SUMO</t>
  </si>
  <si>
    <t xml:space="preserve"> 10 ) SUP-SHE-0001 แผ่นใยสังเคราะห์ 6*9#400 (80400) สีแดงเข้ม</t>
  </si>
  <si>
    <t xml:space="preserve"> 11 ) MES-STU-0010 STUD (ชุบขาว) M8-1.25x1000</t>
  </si>
  <si>
    <t xml:space="preserve"> 12 ) SUP-KEY-0013 กุญแจคล้องรุ่น SL99 คอสั้น 30MM SOLEX</t>
  </si>
  <si>
    <t xml:space="preserve"> 13 ) SUP-COO-0003 น้ำยาลบรอยเชื่อมสแตนเลส 1000g SUMO (FAST)</t>
  </si>
  <si>
    <t xml:space="preserve"> 14 ) SUP-STA-0207 ตลับเมตร 5 เมตร  STANLEY 30496-180TH</t>
  </si>
  <si>
    <t xml:space="preserve"> 15 ) SUP-WEL-0007 หน้ากากกันแสงเชื่อม แบบสวมหัว YMD-405N</t>
  </si>
  <si>
    <t xml:space="preserve"> 16 ) SUP-SPA-0003 น้ำยาล้างหัวเชื่อมมิค ARCTECH</t>
  </si>
  <si>
    <t xml:space="preserve"> 17 ) MES-NUT-0085 NUT น็อตตัวเมีย (ดำ) M8-1.25 (13*6.5)</t>
  </si>
  <si>
    <t xml:space="preserve"> 18 ) MES-NUT-0086 NUT น็อตตัวเมีย (ดำ) M12-1.75 (19*10)</t>
  </si>
  <si>
    <t xml:space="preserve"> 19 ) SUP-WHE-0014 ลูกขัด PTX ผ้าทราย  4^ #80</t>
  </si>
  <si>
    <t xml:space="preserve">เอพีเจ (เอส) เทรดดิ้ง </t>
  </si>
  <si>
    <t xml:space="preserve">  1 ) SUF-STA-0585 กระดาษเช็ดมือสีน้ำตาล รุ่น วี-โฟลด์ 2ชั้น 250แผ่น</t>
  </si>
  <si>
    <t>PO69-899</t>
  </si>
  <si>
    <t>PO69-901</t>
  </si>
  <si>
    <t xml:space="preserve">  1 ) SUP-COO-0001 COOLANT OIL น้ำยาหล่อเย็น ^TRANE^ T909 18L.</t>
  </si>
  <si>
    <t>PO69-898</t>
  </si>
  <si>
    <t>JR-25-12-140/PR69-608/T.C.UNION</t>
  </si>
  <si>
    <t>Keyence(Thailand)CO.,LTD.</t>
  </si>
  <si>
    <t xml:space="preserve">  1 ) ELS-SAF-0078 SAFETY LIGHT GL-VM40LP (KEYENCE)</t>
  </si>
  <si>
    <t>PO69-935</t>
  </si>
  <si>
    <t xml:space="preserve">  2 ) ELS-SAF-0079 SAFETY LIGHT GL-VP10S (KEYENCE)</t>
  </si>
  <si>
    <t xml:space="preserve">  3 ) ELS-SAF-0080 SAFETY LIGHT GL-VB31 (KEYENCE)</t>
  </si>
  <si>
    <t xml:space="preserve">  4 ) ELS-SAF-0081 SAFETY LIGHT GL-VB01 (KEYENCE)</t>
  </si>
  <si>
    <t>JR-STORE/ADVANCE/STOCK</t>
  </si>
  <si>
    <t xml:space="preserve">  1 ) ELS-CAM-0015 CAMERA MV-CU120-10UM ขาวดำ (Hikrobot)</t>
  </si>
  <si>
    <t>PO69-807</t>
  </si>
  <si>
    <t xml:space="preserve">  2 ) ELS-CAM-0016 CAMERA MV-CU120-10UC สี (Hikrobot)</t>
  </si>
  <si>
    <t xml:space="preserve">  3 ) ELS-COM-0015 COMPUTER HIK</t>
  </si>
  <si>
    <t>JR-OFFICE/PR69-525</t>
  </si>
  <si>
    <t xml:space="preserve">นิมเบิล คอปอเรชัน จำกัด </t>
  </si>
  <si>
    <t xml:space="preserve">  1 ) 14-1004- Notebook MSI Cyborg 15 B2RWFKG-058TH(Odyssey Grey)</t>
  </si>
  <si>
    <t>PO69-825</t>
  </si>
  <si>
    <t>JR-OFFICE/PR69-583</t>
  </si>
  <si>
    <t>วิจิตรศิลป์แอร์ ซัพพลาย</t>
  </si>
  <si>
    <t xml:space="preserve">  1 ) 53-1025- ค่าบริการตรวจเช็คระบบเครื่องปรับอากาศ ออฟฟิศชั้น 2</t>
  </si>
  <si>
    <t>PO69-875</t>
  </si>
  <si>
    <t>JR-26-04-042/ADVANCE/NS BLUESCOPE</t>
  </si>
  <si>
    <t>พีซีพี พาร์ท จำกัด</t>
  </si>
  <si>
    <t>ค่าชุบซิงค์ *จ่ายแล้ว*</t>
  </si>
  <si>
    <t>PO69-953</t>
  </si>
  <si>
    <t>JR-26-04-042/NS BLUESCOPE</t>
  </si>
  <si>
    <t>PR69-618</t>
  </si>
  <si>
    <t>ค่าจ้างทำสี Powder Coat / RAL 1023 (Structure Columns)</t>
  </si>
  <si>
    <t>PO69-940</t>
  </si>
  <si>
    <t>ค่าจ้างทำสี Powder Coat / RAL 1023 (Structure For Door)</t>
  </si>
  <si>
    <t>ค่าจ้างทำสี Powder Coat / RAL 1023 (Stopper)</t>
  </si>
  <si>
    <t>ค่าจ้างทำสี Powder Coat / Black RAL 9017 (Structure Fence 1150x1850)</t>
  </si>
  <si>
    <t>ค่าจ้างทำสี Powder Coat / Black RAL 9017 (Structure Fence 1680x2006)</t>
  </si>
  <si>
    <t>ค่าจ้างทำสี Powder Coat / Black RAL 9017 (Structure Fence 250x1850)</t>
  </si>
  <si>
    <t>ค่าจ้างทำสี Powder Coat / Black RAL 9017 (Structure Fence 1630x2006)</t>
  </si>
  <si>
    <t>ค่าจ้างทำสี Powder Coat / Black RAL 9017 (Structure Fence 1450x1850)</t>
  </si>
  <si>
    <t>ค่าจ้างทำสี Powder Coat / Black RAL 9017 (Structure Fence 1780x2006)</t>
  </si>
  <si>
    <t>ค่าจ้างทำสี Powder Coat / Black RAL 9017 (Structure Fence 600x1850)</t>
  </si>
  <si>
    <t>ค่าจ้างทำสี Powder Coat / Black RAL 9017 (Structure Fence 1380x2006)</t>
  </si>
  <si>
    <t>ค่าจ้างทำสี Powder Coat / Black RAL 9017 (Structure Fence 750x1850)</t>
  </si>
  <si>
    <t>JR-24-04-018/PR69-578/EQ (Pick &amp; Place)</t>
  </si>
  <si>
    <t>ปิยะพจน์อีเลคทริค จำกัด</t>
  </si>
  <si>
    <t xml:space="preserve">  1 ) ELS-FAN-0014 FAN FP-108-C-S1B AC220/240V (COMMONWEALTH)</t>
  </si>
  <si>
    <t>PO69-937</t>
  </si>
  <si>
    <t>JR-26-04-045/MODIFY (SVS 1)</t>
  </si>
  <si>
    <t>PR69-615</t>
  </si>
  <si>
    <t>CASH</t>
  </si>
  <si>
    <t>ELS-BAT-0011</t>
  </si>
  <si>
    <t>BATTERY ER17500V (TOSHIBA)</t>
  </si>
  <si>
    <t>PO69-943</t>
  </si>
  <si>
    <t>SVP-DEL-0001</t>
  </si>
  <si>
    <t>ค่าบริการ-ส่งของ-DELIVERY Order online:SHOPEE</t>
  </si>
  <si>
    <t>ELS-BAT-0010</t>
  </si>
  <si>
    <t>BATTERY CR17335SE/3V (FDK) Order online : Shopee</t>
  </si>
  <si>
    <t>PO69-948</t>
  </si>
  <si>
    <t xml:space="preserve">  1 ) ELS-LIG-0019 LIGHT LED 24v-36v 300mm (ไฟแสดงสถานะ)</t>
  </si>
  <si>
    <t>PO69-930</t>
  </si>
  <si>
    <t xml:space="preserve">  1 ) MES-OIL-0036 OIL FREE BUSHINGS E-SHBZ25-50 ECONOMY (MISUMI)</t>
  </si>
  <si>
    <t>PO69-776</t>
  </si>
  <si>
    <t xml:space="preserve">  2 ) MES-NUT-0083 NUT ANN20-1.5 (MISUMI)</t>
  </si>
  <si>
    <t xml:space="preserve">  1 ) MES-PAR-0125 PARALLEL PIN MSH8-25</t>
  </si>
  <si>
    <t xml:space="preserve">  3 ) MES-URE-0011 URETHANE SHEET UTSHN6H15-350-60-F165-G40-Z8-XC10-Y</t>
  </si>
  <si>
    <t xml:space="preserve">  4 ) MES-URE-0012 URETHANE SHEET UTSHN2H15-60-30-F40-G15-Z8-XC10</t>
  </si>
  <si>
    <t xml:space="preserve">  5 ) MES-CAB-0054 CABLE ACCESORRY: N2BG40</t>
  </si>
  <si>
    <t xml:space="preserve">  6 ) MES-DOW-0077 HMN S45C-Q DOWEL PINS HPB-Q-12X25</t>
  </si>
  <si>
    <t xml:space="preserve">  7 ) MES-DOW-0075 DOWEL PIN THS12-25</t>
  </si>
  <si>
    <t xml:space="preserve">  8 ) MES-DOW-0076 HMN DOWEL PINS B HPB-25X90</t>
  </si>
  <si>
    <t>JR-OFFICE/PR69-548/OFFICE</t>
  </si>
  <si>
    <t>เวิลด์ไวด์ คอม เซอร์วิส จากัด</t>
  </si>
  <si>
    <t xml:space="preserve">  1 ) SUP-MTN-0001 Full Hotend Kit Printer Creality Ender-3(หัวพิมพ์)</t>
  </si>
  <si>
    <t>PO69-840</t>
  </si>
  <si>
    <t xml:space="preserve">  2 ) SUP-MTN-0002 Extruder (ชุดขับเส้น) For 3D Printer</t>
  </si>
  <si>
    <t xml:space="preserve">  3 ) 51-5038- ค่าบริการตรวจซ่อม 3D Printer Creality S/N P201I06B</t>
  </si>
  <si>
    <t xml:space="preserve">  1 ) ELS-CCL-0010 REMOTE I/O MODULE AJ65SBTB1-32DT (MITSUBISHI)</t>
  </si>
  <si>
    <t>PO69-936</t>
  </si>
  <si>
    <t xml:space="preserve">  2 ) ELS-CCL-0012 REMOTE I/O MODULE AJ65SBTB1-32T (MITSUBISH)</t>
  </si>
  <si>
    <t>JR-26-05-057/PR69-524/LERTVILAI</t>
  </si>
  <si>
    <t xml:space="preserve">  1 ) MES-PRE-0001 PRESSURE SWITCH PPX-R01N-6M-KA (CKD)</t>
  </si>
  <si>
    <t>PO69-800</t>
  </si>
  <si>
    <t xml:space="preserve">  1 ) MES-CYL-0030 ROUND MAGNETIC AIR CYLINDER F-MQS25</t>
  </si>
  <si>
    <t>PO69-932</t>
  </si>
  <si>
    <t>JR-25-12-140/PR69-607/T.C.UNION</t>
  </si>
  <si>
    <t xml:space="preserve">  1 ) ELS-PHO-0050 PHOTOELECTRIC SENSOR E3Z-R81 2M (OMRON)</t>
  </si>
  <si>
    <t>PO69-934</t>
  </si>
  <si>
    <t xml:space="preserve">  1 ) MES-SWI-0021 SWITCH SHL-W155 (OMRON)</t>
  </si>
  <si>
    <t>PO69-791</t>
  </si>
  <si>
    <t>JR-OFFICE/PR69-472</t>
  </si>
  <si>
    <t xml:space="preserve">  1 ) SUF-MTN-0001 แคปรัน (80 MFD 440V/50-60 Hz)</t>
  </si>
  <si>
    <t>PO69-769</t>
  </si>
  <si>
    <t xml:space="preserve">  2 ) SUF-MTN-0002 แผงรังผึ้งคอยล์เย็น (43T44570)</t>
  </si>
  <si>
    <t xml:space="preserve">  3 ) SUF-MTN-0003 น้ำยา R410A เต็มระบบและอุปกรณ์</t>
  </si>
  <si>
    <t xml:space="preserve">  4 ) 53-1025- ค่าบริการเปลี่ยนอะไหล่ พร้อมรันระบบเครื่อง</t>
  </si>
  <si>
    <t xml:space="preserve">  5 ) 53-1025- ค่าบริการตรวจเช็คเครื่องปรับอากาศ</t>
  </si>
  <si>
    <t>ควอลิเทค คอนโทรล จำกัด</t>
  </si>
  <si>
    <t xml:space="preserve">  1 ) ELS-SEN-0053 PROXIMITY SENSOR E2E-X3D1-M1GJ 0.3M (OMRON)</t>
  </si>
  <si>
    <t>PO69-811</t>
  </si>
  <si>
    <t>JR-26-05-057/PR69-536/LERTVILAI</t>
  </si>
  <si>
    <t xml:space="preserve">  1 ) MES-FIT-0239 ข้องอเกลียวใน สแตนเลส 90 1^</t>
  </si>
  <si>
    <t>PO69-805</t>
  </si>
  <si>
    <t xml:space="preserve">  2 ) MES-FIT-0240 สามทางเกลียวใน สแตนเลส 1^</t>
  </si>
  <si>
    <t xml:space="preserve">  3 ) MES-FIT-0241 นิปเปิ้ล สแตนเลส 1^</t>
  </si>
  <si>
    <t xml:space="preserve">  4 ) MES-FIT-0242 ข้อลดเหลี่ยม สแตนเลส 1^ x 1/4^</t>
  </si>
  <si>
    <t xml:space="preserve">  5 ) MES-FIT-0243 ข้อลดเหลี่ยม สแตนเลส 1/4^ x 1/8^</t>
  </si>
  <si>
    <t xml:space="preserve">  6 ) MES-FIT-0244 หางปลาไหล สแตนเลส สแตนเลส 1^</t>
  </si>
  <si>
    <t>JR-26-05-057/PR69-533/LERTVILAI</t>
  </si>
  <si>
    <t xml:space="preserve">  1 ) MES-HOS-0004 สายใยลวด ^TOYOX^ TS-25 25X33MM. 1^ (50เมตร/ม้วน)</t>
  </si>
  <si>
    <t>PO69-806</t>
  </si>
  <si>
    <t>เอสทูอินโนเวชั่น จำกัด</t>
  </si>
  <si>
    <t xml:space="preserve">  1 ) ELS-SWI-0073 SWITCH DISCONNECTOR 3LD2003-0TK53 (SIEMENS)</t>
  </si>
  <si>
    <t>PO69-746</t>
  </si>
  <si>
    <t xml:space="preserve">  1 ) ELS-HAN-0004 OPERATION HANDLE FOR BREAKERS V-05SV (MITSUBISHI)</t>
  </si>
  <si>
    <t>PO69-747</t>
  </si>
  <si>
    <t>JR-25-12-140/PR69-606/T.C.UNION</t>
  </si>
  <si>
    <t>พีออโตเมชั่น จำกัด</t>
  </si>
  <si>
    <t xml:space="preserve">  1 ) ELS-SWI-0075 SWITCH MTX100-A8K0080 (VELMA)</t>
  </si>
  <si>
    <t>PO69-933</t>
  </si>
  <si>
    <t>PO69-853</t>
  </si>
  <si>
    <t xml:space="preserve">  3 ) SUP-MTN-0003 ท่อยางหัวพิมพ์ For 3D Printer</t>
  </si>
  <si>
    <t xml:space="preserve">  4 ) 51-5038- ค่าบริการตรวจซ่อม 3D Printer Ender 3 S/N P201I08C0</t>
  </si>
  <si>
    <t>PR69-619</t>
  </si>
  <si>
    <t>จ.เจริญสลักภัณฑ์ จำกัด</t>
  </si>
  <si>
    <t>MES-FIT-0252</t>
  </si>
  <si>
    <t>FITTING ข้อต่อตรงทองเหลือง (M22x1.5 x 1/2^) (เกลียวนอก x เกลียวใน) ข้อต่อลด-ข้อต่อเพิ่ม</t>
  </si>
  <si>
    <t>PO69-947</t>
  </si>
  <si>
    <t>ค่าบริการ-ส่งของ-DELIVERY</t>
  </si>
  <si>
    <t>JR-26-07-078/PR69-598/SSL</t>
  </si>
  <si>
    <t xml:space="preserve">  1 ) MES-FLA-0010 RHOMB FLANGE UNITS (CAST IRON) UCFL204D1</t>
  </si>
  <si>
    <t>PO69-888</t>
  </si>
  <si>
    <t xml:space="preserve">  2 ) MES-SPR-0090 SPROCKET SP35B23-N-20 (MISUMI)</t>
  </si>
  <si>
    <t xml:space="preserve">  3 ) MES-SPR-0090 SPROCKET SP35B23-N-20 (MISUMI)</t>
  </si>
  <si>
    <t>JR-OFFICE/PR69-472/OFFICE</t>
  </si>
  <si>
    <t xml:space="preserve">  1 ) SUF-MTN-0004 ปั๊มดูดน้ำทิ้ง (กำลักน้ำ Value M1 24,000 BTU )</t>
  </si>
  <si>
    <t>PO69-770</t>
  </si>
  <si>
    <t xml:space="preserve">  2 ) SUF-MTN-0007 ท่อ PVC 1/2 (หุ้มฉนวนหนา 3/8 ภายในฝ้า 11 เมตร)</t>
  </si>
  <si>
    <t xml:space="preserve">  3 ) 53-1025- ค่าบริการเปลี่ยนปั๊มดูดน้ำทิ้ง พร้อมเดินระบบท่อ</t>
  </si>
  <si>
    <t>JR-26-04-042/PR69-565/NS BLUESCOPE</t>
  </si>
  <si>
    <t xml:space="preserve">Shenzhen Wonsor Technology Co., Ltd. </t>
  </si>
  <si>
    <t xml:space="preserve">  1 ) ELS-SEN-0056 SNESOR ^LT-3006-E^ (Advanced) (WONSOR)</t>
  </si>
  <si>
    <t>PO69-856</t>
  </si>
  <si>
    <t xml:space="preserve">  2 ) ELS-SEN-0057 SNESOR  ^BR-LT01^  (WONSOR)</t>
  </si>
  <si>
    <t xml:space="preserve">  3 ) ELS-BRA-0008 BRACKET CABLE ^CA-LTE15-N^ (WONSOR)</t>
  </si>
  <si>
    <t xml:space="preserve">  4 ) ELS-CAB-0314 CABLE ^CA-LTP15-N^ (WONSOR)</t>
  </si>
  <si>
    <t>Jul 2026</t>
  </si>
  <si>
    <t>AIR CYLINDER MDBL80-75NZ-M9BZ SMC</t>
  </si>
  <si>
    <t>PLUG PT1/4-PTC16 (SMC)</t>
  </si>
  <si>
    <t>FITTING KQ2H08-01AS SMC</t>
  </si>
  <si>
    <t>SPEED CONTROLLER AS3201F-03-10A SMC</t>
  </si>
  <si>
    <t>FITTING KQ2L10-02AS (SMC)</t>
  </si>
  <si>
    <t>FITTING KQ2U10-12A SMC</t>
  </si>
  <si>
    <t>FITTING KQ2H08-10A SMC</t>
  </si>
  <si>
    <t>FITTING KQ2H10-02AS (SMC)</t>
  </si>
  <si>
    <t>FITTING KQ2H10-04AS SMC</t>
  </si>
  <si>
    <t>VACUUM EJECTOR ZL3H06-K15LZ-EBMG SMC</t>
  </si>
  <si>
    <t>SILENCER AN20-02 (SMC)</t>
  </si>
  <si>
    <t>CONNECTOR ASSY SY7000-26-22A SMC</t>
  </si>
  <si>
    <t>FITTING KQ2H08-02AS (SMC)</t>
  </si>
  <si>
    <t>FITTING KQ2T08-00A SMC</t>
  </si>
  <si>
    <t>FITTING KQ2U08-00A (SMC)</t>
  </si>
  <si>
    <t>PRESSURE SWITCH IS10M-30-16L-D SMC</t>
  </si>
  <si>
    <t>FLOW CONTROL VALVE AS2201F-01-06SA (SMC)</t>
  </si>
  <si>
    <t>SPEED CONTROLLER AS2201F-01-08SA (SMC)</t>
  </si>
  <si>
    <t>FLOW CONTROL VALVE AS1201F-M5-06A SMC</t>
  </si>
  <si>
    <t>FLOW CONTROL VALVE AS2201F-02-10SA (SMC)</t>
  </si>
  <si>
    <t>AIR CYLINDER MGPM63-100Z-M9BL SMC</t>
  </si>
  <si>
    <t xml:space="preserve">LEVEL COMPENSATOR 30mm.Stroke L1830T              </t>
  </si>
  <si>
    <t>STOPPER MS40-A</t>
  </si>
  <si>
    <t xml:space="preserve"> FEMALE,NO MESH FILTER G1/8, B1.5/40-18F</t>
  </si>
  <si>
    <t>COPPER THREADED JOINT E-SJSPB46</t>
  </si>
  <si>
    <t>ROTARY ENCODER E69-C06B OMRON</t>
  </si>
  <si>
    <t>ROTARY ENCODER E6B2-CWZ6C 1000P/R 2M OMRON</t>
  </si>
  <si>
    <t>DIRECTIONAL CONTROL VALVE SY5000-26-20A (SMC)</t>
  </si>
  <si>
    <t>FLOW CONTROL W/FITTING AS2201F-02-08SA (SMC)</t>
  </si>
  <si>
    <t>MANIFOLD BASE SS5Y5-41-03-01 (SMC)</t>
  </si>
  <si>
    <t>FITTING KQ2S08-01AS SMC</t>
  </si>
  <si>
    <t xml:space="preserve">FLOW CONTROL VALVE ASP430F-02-08S (SMC)           </t>
  </si>
  <si>
    <t>SAFETY PLUG SPT-11 (DAIWA)</t>
  </si>
  <si>
    <t>JR-25-08-094/UD TRUCKS</t>
  </si>
  <si>
    <t>PR69-560</t>
  </si>
  <si>
    <t>สมยศ เคลือบหิรัญ</t>
  </si>
  <si>
    <t xml:space="preserve">SVP-ENG-0001 </t>
  </si>
  <si>
    <t>ค่าแรง-ENGINEERING FEE</t>
  </si>
  <si>
    <t>PO69-849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</si>
</sst>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%"/>
    <numFmt numFmtId="165" formatCode="[$-101041E]d\ mmm\ yy;@"/>
    <numFmt numFmtId="166" formatCode="[$-101041E]d\ mmmm\ yyyy;@"/>
    <numFmt numFmtId="167" formatCode="_(* #,##0.00_);_(* \(#,##0.00\);_(* &quot;-&quot;??_);_(@_)"/>
    <numFmt numFmtId="168" formatCode="dd/mm/yy"/>
    <numFmt numFmtId="169" formatCode="B1mmm\-yy"/>
    <numFmt numFmtId="170" formatCode="dd/mm/yyyy"/>
  </numFmts>
  <fonts count="108"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4"/>
      <name val="Angsana New"/>
      <family val="1"/>
    </font>
    <font>
      <b/>
      <sz val="14"/>
      <name val="Angsana New"/>
      <family val="1"/>
    </font>
    <font>
      <b/>
      <sz val="20"/>
      <name val="Angsana New"/>
      <family val="1"/>
    </font>
    <font>
      <b/>
      <sz val="16"/>
      <name val="Angsana New"/>
      <family val="1"/>
    </font>
    <font>
      <b/>
      <sz val="16"/>
      <name val="Cordia New"/>
      <family val="2"/>
      <charset val="222"/>
    </font>
    <font>
      <sz val="16"/>
      <name val="Angsana New"/>
      <family val="1"/>
    </font>
    <font>
      <sz val="16"/>
      <name val="Cordia New"/>
      <family val="2"/>
      <charset val="222"/>
    </font>
    <font>
      <b/>
      <sz val="14"/>
      <name val="Cordia New"/>
      <family val="2"/>
      <charset val="222"/>
    </font>
    <font>
      <b/>
      <u/>
      <sz val="16"/>
      <name val="Cordia New"/>
      <family val="2"/>
      <charset val="222"/>
    </font>
    <font>
      <b/>
      <u/>
      <sz val="16"/>
      <color theme="1"/>
      <name val="Cordia New"/>
      <family val="2"/>
      <charset val="222"/>
    </font>
    <font>
      <b/>
      <sz val="16"/>
      <color theme="1"/>
      <name val="Cordia New"/>
      <family val="2"/>
      <charset val="222"/>
    </font>
    <font>
      <b/>
      <sz val="16"/>
      <color rgb="FFFF0000"/>
      <name val="Cordia New"/>
      <family val="2"/>
      <charset val="222"/>
    </font>
    <font>
      <b/>
      <sz val="16"/>
      <color indexed="12"/>
      <name val="Cordia New"/>
      <family val="2"/>
      <charset val="222"/>
    </font>
    <font>
      <sz val="16"/>
      <color rgb="FFFF0000"/>
      <name val="Cordia New"/>
      <family val="2"/>
      <charset val="222"/>
    </font>
    <font>
      <b/>
      <u/>
      <sz val="16"/>
      <name val="Angsana New"/>
      <family val="1"/>
    </font>
    <font>
      <sz val="12"/>
      <name val="Angsana New"/>
      <family val="1"/>
      <charset val="222"/>
    </font>
    <font>
      <sz val="16"/>
      <color theme="1"/>
      <name val="Angsana New"/>
      <family val="1"/>
    </font>
    <font>
      <b/>
      <sz val="16"/>
      <name val="Cordia New"/>
      <family val="2"/>
    </font>
    <font>
      <b/>
      <sz val="16"/>
      <color rgb="FF002060"/>
      <name val="Cordia New"/>
      <family val="2"/>
    </font>
    <font>
      <b/>
      <sz val="16"/>
      <color rgb="FF002060"/>
      <name val="Cordia New"/>
      <family val="2"/>
      <charset val="222"/>
    </font>
    <font>
      <b/>
      <sz val="14"/>
      <name val="Cordia New"/>
      <family val="2"/>
    </font>
    <font>
      <sz val="14"/>
      <name val="Angsana New"/>
      <family val="1"/>
      <charset val="222"/>
    </font>
    <font>
      <b/>
      <u/>
      <sz val="16"/>
      <color rgb="FF002060"/>
      <name val="Cordia New"/>
      <family val="2"/>
    </font>
    <font>
      <b/>
      <sz val="16"/>
      <color rgb="FF0070C0"/>
      <name val="Angsana New"/>
      <family val="1"/>
    </font>
    <font>
      <b/>
      <sz val="16"/>
      <color theme="5" tint="-0.249977111117893"/>
      <name val="Angsana New"/>
      <family val="1"/>
    </font>
    <font>
      <sz val="16"/>
      <color rgb="FF0070C0"/>
      <name val="Angsana New"/>
      <family val="1"/>
    </font>
    <font>
      <sz val="16"/>
      <color theme="5" tint="-0.249977111117893"/>
      <name val="Angsana New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C00000"/>
      <name val="Angsana New"/>
      <family val="1"/>
    </font>
    <font>
      <b/>
      <sz val="11"/>
      <color theme="1"/>
      <name val="Tahoma"/>
      <family val="2"/>
    </font>
    <font>
      <sz val="11"/>
      <color theme="4"/>
      <name val="Tahoma"/>
      <family val="2"/>
    </font>
    <font>
      <sz val="11"/>
      <color theme="1"/>
      <name val="Tahoma"/>
      <family val="2"/>
    </font>
    <font>
      <sz val="11"/>
      <color rgb="FFC00000"/>
      <name val="Tahoma"/>
      <family val="2"/>
    </font>
    <font>
      <b/>
      <sz val="11"/>
      <name val="Tahoma"/>
      <family val="2"/>
    </font>
    <font>
      <b/>
      <sz val="11"/>
      <color rgb="FFC00000"/>
      <name val="Tahoma"/>
      <family val="2"/>
    </font>
    <font>
      <sz val="11"/>
      <name val="Tahoma"/>
      <family val="2"/>
    </font>
    <font>
      <u/>
      <sz val="11"/>
      <color theme="10"/>
      <name val="Calibri"/>
      <family val="2"/>
      <charset val="222"/>
      <scheme val="minor"/>
    </font>
    <font>
      <u/>
      <sz val="11"/>
      <color theme="10"/>
      <name val="Tahoma"/>
      <family val="2"/>
    </font>
    <font>
      <sz val="16"/>
      <color rgb="FFC00000"/>
      <name val="Angsana New"/>
      <family val="1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5">
    <xf numFmtId="0" fontId="0" fillId="0" borderId="0"/>
    <xf numFmtId="0" fontId="65" fillId="0" borderId="0"/>
    <xf numFmtId="0" fontId="65" fillId="0" borderId="0"/>
    <xf numFmtId="0" fontId="63" fillId="0" borderId="0"/>
    <xf numFmtId="0" fontId="64" fillId="0" borderId="0"/>
    <xf numFmtId="43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4" fontId="66" fillId="0" borderId="0" applyFill="0" applyBorder="0" applyProtection="0">
      <alignment horizontal="left" vertical="center"/>
    </xf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165" fontId="64" fillId="0" borderId="0"/>
    <xf numFmtId="165" fontId="64" fillId="0" borderId="0"/>
    <xf numFmtId="165" fontId="59" fillId="0" borderId="0"/>
    <xf numFmtId="0" fontId="58" fillId="0" borderId="0"/>
    <xf numFmtId="0" fontId="58" fillId="0" borderId="0"/>
    <xf numFmtId="167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57" fillId="0" borderId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0" fontId="56" fillId="0" borderId="0"/>
    <xf numFmtId="0" fontId="55" fillId="0" borderId="0"/>
    <xf numFmtId="43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4" fillId="0" borderId="0"/>
    <xf numFmtId="43" fontId="66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  <xf numFmtId="0" fontId="54" fillId="0" borderId="0"/>
    <xf numFmtId="43" fontId="6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51" fillId="0" borderId="0"/>
    <xf numFmtId="0" fontId="51" fillId="0" borderId="0"/>
    <xf numFmtId="167" fontId="51" fillId="0" borderId="0" applyFont="0" applyFill="0" applyBorder="0" applyAlignment="0" applyProtection="0"/>
    <xf numFmtId="0" fontId="50" fillId="0" borderId="0"/>
    <xf numFmtId="167" fontId="50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  <xf numFmtId="0" fontId="49" fillId="0" borderId="0"/>
    <xf numFmtId="167" fontId="49" fillId="0" borderId="0" applyFont="0" applyFill="0" applyBorder="0" applyAlignment="0" applyProtection="0"/>
    <xf numFmtId="0" fontId="48" fillId="0" borderId="0"/>
    <xf numFmtId="167" fontId="48" fillId="0" borderId="0" applyFont="0" applyFill="0" applyBorder="0" applyAlignment="0" applyProtection="0"/>
    <xf numFmtId="0" fontId="47" fillId="0" borderId="0"/>
    <xf numFmtId="167" fontId="47" fillId="0" borderId="0" applyFont="0" applyFill="0" applyBorder="0" applyAlignment="0" applyProtection="0"/>
    <xf numFmtId="0" fontId="46" fillId="0" borderId="0"/>
    <xf numFmtId="167" fontId="46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0" fontId="44" fillId="0" borderId="0"/>
    <xf numFmtId="43" fontId="44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9" fontId="4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9" fontId="40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8" fillId="0" borderId="0"/>
    <xf numFmtId="9" fontId="38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37" fillId="0" borderId="0"/>
    <xf numFmtId="9" fontId="3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9" fontId="35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107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1">
    <xf numFmtId="0" fontId="0" fillId="0" borderId="0" xfId="0"/>
    <xf numFmtId="165" fontId="67" fillId="2" borderId="14" xfId="12" applyFont="1" applyFill="1" applyBorder="1" applyAlignment="1">
      <alignment vertical="center"/>
    </xf>
    <xf numFmtId="165" fontId="67" fillId="2" borderId="15" xfId="12" applyFont="1" applyFill="1" applyBorder="1" applyAlignment="1">
      <alignment vertical="center"/>
    </xf>
    <xf numFmtId="165" fontId="67" fillId="2" borderId="0" xfId="12" applyFont="1" applyFill="1" applyAlignment="1">
      <alignment vertical="center"/>
    </xf>
    <xf numFmtId="165" fontId="67" fillId="2" borderId="16" xfId="12" applyFont="1" applyFill="1" applyBorder="1" applyAlignment="1">
      <alignment vertical="center"/>
    </xf>
    <xf numFmtId="165" fontId="66" fillId="2" borderId="17" xfId="12" applyFont="1" applyFill="1" applyBorder="1" applyAlignment="1">
      <alignment vertical="center"/>
    </xf>
    <xf numFmtId="165" fontId="66" fillId="2" borderId="18" xfId="12" applyFont="1" applyFill="1" applyBorder="1" applyAlignment="1">
      <alignment vertical="center"/>
    </xf>
    <xf numFmtId="165" fontId="67" fillId="2" borderId="6" xfId="12" applyFont="1" applyFill="1" applyBorder="1" applyAlignment="1">
      <alignment horizontal="center" vertical="center"/>
    </xf>
    <xf numFmtId="165" fontId="66" fillId="2" borderId="0" xfId="12" applyFont="1" applyFill="1" applyAlignment="1">
      <alignment vertical="center"/>
    </xf>
    <xf numFmtId="165" fontId="70" fillId="2" borderId="14" xfId="12" applyFont="1" applyFill="1" applyBorder="1" applyAlignment="1">
      <alignment vertical="center"/>
    </xf>
    <xf numFmtId="165" fontId="70" fillId="2" borderId="15" xfId="12" applyFont="1" applyFill="1" applyBorder="1" applyAlignment="1">
      <alignment vertical="center"/>
    </xf>
    <xf numFmtId="165" fontId="70" fillId="2" borderId="15" xfId="12" applyFont="1" applyFill="1" applyBorder="1" applyAlignment="1">
      <alignment horizontal="center" vertical="center"/>
    </xf>
    <xf numFmtId="0" fontId="70" fillId="2" borderId="15" xfId="12" applyNumberFormat="1" applyFont="1" applyFill="1" applyBorder="1" applyAlignment="1">
      <alignment horizontal="center" vertical="center"/>
    </xf>
    <xf numFmtId="165" fontId="71" fillId="2" borderId="15" xfId="12" applyFont="1" applyFill="1" applyBorder="1" applyAlignment="1">
      <alignment horizontal="center" vertical="center"/>
    </xf>
    <xf numFmtId="165" fontId="69" fillId="2" borderId="4" xfId="12" applyFont="1" applyFill="1" applyBorder="1" applyAlignment="1">
      <alignment horizontal="center" vertical="center"/>
    </xf>
    <xf numFmtId="165" fontId="70" fillId="2" borderId="16" xfId="12" applyFont="1" applyFill="1" applyBorder="1" applyAlignment="1">
      <alignment vertical="center"/>
    </xf>
    <xf numFmtId="165" fontId="70" fillId="2" borderId="0" xfId="12" applyFont="1" applyFill="1" applyAlignment="1">
      <alignment vertical="center"/>
    </xf>
    <xf numFmtId="165" fontId="70" fillId="2" borderId="0" xfId="12" applyFont="1" applyFill="1" applyAlignment="1">
      <alignment horizontal="center" vertical="center"/>
    </xf>
    <xf numFmtId="165" fontId="72" fillId="2" borderId="0" xfId="12" applyFont="1" applyFill="1" applyAlignment="1">
      <alignment vertical="center"/>
    </xf>
    <xf numFmtId="0" fontId="70" fillId="2" borderId="0" xfId="12" applyNumberFormat="1" applyFont="1" applyFill="1" applyAlignment="1">
      <alignment horizontal="center" vertical="center"/>
    </xf>
    <xf numFmtId="165" fontId="71" fillId="2" borderId="0" xfId="12" applyFont="1" applyFill="1" applyAlignment="1">
      <alignment horizontal="center" vertical="center"/>
    </xf>
    <xf numFmtId="165" fontId="71" fillId="2" borderId="9" xfId="12" applyFont="1" applyFill="1" applyBorder="1" applyAlignment="1">
      <alignment vertical="center"/>
    </xf>
    <xf numFmtId="165" fontId="71" fillId="2" borderId="0" xfId="12" applyFont="1" applyFill="1" applyAlignment="1">
      <alignment vertical="center"/>
    </xf>
    <xf numFmtId="165" fontId="73" fillId="2" borderId="17" xfId="12" applyFont="1" applyFill="1" applyBorder="1" applyAlignment="1">
      <alignment vertical="center"/>
    </xf>
    <xf numFmtId="165" fontId="73" fillId="2" borderId="18" xfId="12" applyFont="1" applyFill="1" applyBorder="1" applyAlignment="1">
      <alignment vertical="center"/>
    </xf>
    <xf numFmtId="165" fontId="73" fillId="2" borderId="18" xfId="12" applyFont="1" applyFill="1" applyBorder="1" applyAlignment="1">
      <alignment horizontal="center" vertical="center"/>
    </xf>
    <xf numFmtId="0" fontId="73" fillId="2" borderId="18" xfId="12" applyNumberFormat="1" applyFont="1" applyFill="1" applyBorder="1" applyAlignment="1">
      <alignment horizontal="center" vertical="center"/>
    </xf>
    <xf numFmtId="165" fontId="66" fillId="2" borderId="18" xfId="12" applyFont="1" applyFill="1" applyBorder="1" applyAlignment="1">
      <alignment horizontal="center" vertical="center"/>
    </xf>
    <xf numFmtId="165" fontId="70" fillId="2" borderId="0" xfId="12" applyFont="1" applyFill="1" applyAlignment="1">
      <alignment horizontal="left" vertical="center"/>
    </xf>
    <xf numFmtId="165" fontId="70" fillId="2" borderId="0" xfId="12" applyFont="1" applyFill="1" applyAlignment="1">
      <alignment horizontal="right" vertical="center"/>
    </xf>
    <xf numFmtId="165" fontId="72" fillId="2" borderId="0" xfId="12" applyFont="1" applyFill="1" applyAlignment="1">
      <alignment horizontal="left" vertical="center"/>
    </xf>
    <xf numFmtId="0" fontId="70" fillId="2" borderId="0" xfId="12" applyNumberFormat="1" applyFont="1" applyFill="1" applyAlignment="1">
      <alignment horizontal="left" vertical="center"/>
    </xf>
    <xf numFmtId="165" fontId="71" fillId="2" borderId="0" xfId="12" applyFont="1" applyFill="1" applyAlignment="1">
      <alignment horizontal="left" vertical="center"/>
    </xf>
    <xf numFmtId="165" fontId="69" fillId="2" borderId="9" xfId="12" applyFont="1" applyFill="1" applyBorder="1" applyAlignment="1">
      <alignment horizontal="left" vertical="center"/>
    </xf>
    <xf numFmtId="165" fontId="70" fillId="3" borderId="12" xfId="12" applyFont="1" applyFill="1" applyBorder="1" applyAlignment="1">
      <alignment horizontal="center" vertical="center"/>
    </xf>
    <xf numFmtId="0" fontId="70" fillId="3" borderId="12" xfId="12" applyNumberFormat="1" applyFont="1" applyFill="1" applyBorder="1" applyAlignment="1">
      <alignment horizontal="center" vertical="center"/>
    </xf>
    <xf numFmtId="165" fontId="70" fillId="3" borderId="13" xfId="12" applyFont="1" applyFill="1" applyBorder="1" applyAlignment="1">
      <alignment horizontal="center" vertical="center"/>
    </xf>
    <xf numFmtId="165" fontId="70" fillId="3" borderId="21" xfId="12" applyFont="1" applyFill="1" applyBorder="1" applyAlignment="1">
      <alignment horizontal="center" vertical="center"/>
    </xf>
    <xf numFmtId="165" fontId="69" fillId="2" borderId="0" xfId="12" applyFont="1" applyFill="1" applyAlignment="1">
      <alignment horizontal="center" vertical="center"/>
    </xf>
    <xf numFmtId="165" fontId="70" fillId="2" borderId="20" xfId="13" applyFont="1" applyFill="1" applyBorder="1" applyAlignment="1">
      <alignment horizontal="left" vertical="center" wrapText="1"/>
    </xf>
    <xf numFmtId="3" fontId="74" fillId="0" borderId="12" xfId="13" applyNumberFormat="1" applyFont="1" applyBorder="1" applyAlignment="1">
      <alignment horizontal="center" vertical="center"/>
    </xf>
    <xf numFmtId="3" fontId="71" fillId="2" borderId="24" xfId="12" applyNumberFormat="1" applyFont="1" applyFill="1" applyBorder="1" applyAlignment="1">
      <alignment horizontal="left" vertical="center"/>
    </xf>
    <xf numFmtId="3" fontId="71" fillId="2" borderId="25" xfId="12" applyNumberFormat="1" applyFont="1" applyFill="1" applyBorder="1" applyAlignment="1">
      <alignment horizontal="left" vertical="center"/>
    </xf>
    <xf numFmtId="3" fontId="71" fillId="2" borderId="26" xfId="12" applyNumberFormat="1" applyFont="1" applyFill="1" applyBorder="1" applyAlignment="1">
      <alignment horizontal="left" vertical="center"/>
    </xf>
    <xf numFmtId="165" fontId="70" fillId="2" borderId="19" xfId="13" applyFont="1" applyFill="1" applyBorder="1" applyAlignment="1">
      <alignment horizontal="left" vertical="center"/>
    </xf>
    <xf numFmtId="3" fontId="74" fillId="2" borderId="12" xfId="13" applyNumberFormat="1" applyFont="1" applyFill="1" applyBorder="1" applyAlignment="1">
      <alignment horizontal="center" vertical="center"/>
    </xf>
    <xf numFmtId="0" fontId="74" fillId="2" borderId="12" xfId="13" applyNumberFormat="1" applyFont="1" applyFill="1" applyBorder="1" applyAlignment="1">
      <alignment horizontal="center" vertical="center"/>
    </xf>
    <xf numFmtId="3" fontId="74" fillId="2" borderId="13" xfId="13" applyNumberFormat="1" applyFont="1" applyFill="1" applyBorder="1" applyAlignment="1">
      <alignment horizontal="center" vertical="center"/>
    </xf>
    <xf numFmtId="165" fontId="76" fillId="2" borderId="19" xfId="13" applyFont="1" applyFill="1" applyBorder="1" applyAlignment="1">
      <alignment vertical="center"/>
    </xf>
    <xf numFmtId="165" fontId="76" fillId="2" borderId="22" xfId="13" applyFont="1" applyFill="1" applyBorder="1" applyAlignment="1">
      <alignment vertical="center"/>
    </xf>
    <xf numFmtId="9" fontId="76" fillId="2" borderId="12" xfId="13" applyNumberFormat="1" applyFont="1" applyFill="1" applyBorder="1" applyAlignment="1">
      <alignment horizontal="center" vertical="center"/>
    </xf>
    <xf numFmtId="165" fontId="71" fillId="2" borderId="0" xfId="13" applyFont="1" applyFill="1" applyAlignment="1">
      <alignment vertical="center"/>
    </xf>
    <xf numFmtId="165" fontId="78" fillId="2" borderId="19" xfId="12" applyFont="1" applyFill="1" applyBorder="1" applyAlignment="1">
      <alignment vertical="center"/>
    </xf>
    <xf numFmtId="165" fontId="78" fillId="2" borderId="20" xfId="12" applyFont="1" applyFill="1" applyBorder="1" applyAlignment="1">
      <alignment vertical="center"/>
    </xf>
    <xf numFmtId="165" fontId="69" fillId="2" borderId="0" xfId="12" applyFont="1" applyFill="1" applyAlignment="1">
      <alignment vertical="center"/>
    </xf>
    <xf numFmtId="1" fontId="78" fillId="2" borderId="16" xfId="12" applyNumberFormat="1" applyFont="1" applyFill="1" applyBorder="1" applyAlignment="1">
      <alignment vertical="center"/>
    </xf>
    <xf numFmtId="1" fontId="78" fillId="2" borderId="0" xfId="12" applyNumberFormat="1" applyFont="1" applyFill="1" applyAlignment="1">
      <alignment vertical="center"/>
    </xf>
    <xf numFmtId="1" fontId="71" fillId="2" borderId="0" xfId="12" applyNumberFormat="1" applyFont="1" applyFill="1" applyAlignment="1">
      <alignment horizontal="left" vertical="center"/>
    </xf>
    <xf numFmtId="1" fontId="71" fillId="2" borderId="9" xfId="12" applyNumberFormat="1" applyFont="1" applyFill="1" applyBorder="1" applyAlignment="1">
      <alignment horizontal="left" vertical="center"/>
    </xf>
    <xf numFmtId="1" fontId="69" fillId="2" borderId="0" xfId="12" applyNumberFormat="1" applyFont="1" applyFill="1" applyAlignment="1">
      <alignment vertical="center"/>
    </xf>
    <xf numFmtId="165" fontId="78" fillId="2" borderId="16" xfId="12" applyFont="1" applyFill="1" applyBorder="1" applyAlignment="1">
      <alignment vertical="center"/>
    </xf>
    <xf numFmtId="165" fontId="78" fillId="2" borderId="0" xfId="12" applyFont="1" applyFill="1" applyAlignment="1">
      <alignment vertical="center"/>
    </xf>
    <xf numFmtId="10" fontId="76" fillId="2" borderId="0" xfId="12" applyNumberFormat="1" applyFont="1" applyFill="1" applyAlignment="1">
      <alignment horizontal="center" vertical="center"/>
    </xf>
    <xf numFmtId="10" fontId="77" fillId="2" borderId="0" xfId="12" applyNumberFormat="1" applyFont="1" applyFill="1" applyAlignment="1">
      <alignment horizontal="center" vertical="center"/>
    </xf>
    <xf numFmtId="10" fontId="79" fillId="2" borderId="0" xfId="12" applyNumberFormat="1" applyFont="1" applyFill="1" applyAlignment="1">
      <alignment horizontal="center" vertical="center"/>
    </xf>
    <xf numFmtId="3" fontId="71" fillId="2" borderId="0" xfId="12" applyNumberFormat="1" applyFont="1" applyFill="1" applyAlignment="1">
      <alignment horizontal="left" vertical="center"/>
    </xf>
    <xf numFmtId="3" fontId="71" fillId="2" borderId="9" xfId="12" applyNumberFormat="1" applyFont="1" applyFill="1" applyBorder="1" applyAlignment="1">
      <alignment horizontal="left" vertical="center"/>
    </xf>
    <xf numFmtId="165" fontId="69" fillId="2" borderId="16" xfId="12" applyFont="1" applyFill="1" applyBorder="1" applyAlignment="1">
      <alignment vertical="center"/>
    </xf>
    <xf numFmtId="0" fontId="71" fillId="2" borderId="0" xfId="12" applyNumberFormat="1" applyFont="1" applyFill="1" applyAlignment="1">
      <alignment horizontal="center" vertical="center"/>
    </xf>
    <xf numFmtId="165" fontId="67" fillId="2" borderId="9" xfId="12" applyFont="1" applyFill="1" applyBorder="1" applyAlignment="1">
      <alignment horizontal="center" vertical="center"/>
    </xf>
    <xf numFmtId="165" fontId="71" fillId="2" borderId="16" xfId="12" applyFont="1" applyFill="1" applyBorder="1" applyAlignment="1">
      <alignment vertical="center"/>
    </xf>
    <xf numFmtId="165" fontId="80" fillId="2" borderId="16" xfId="12" applyFont="1" applyFill="1" applyBorder="1" applyAlignment="1">
      <alignment vertical="center"/>
    </xf>
    <xf numFmtId="0" fontId="69" fillId="4" borderId="5" xfId="12" applyNumberFormat="1" applyFont="1" applyFill="1" applyBorder="1" applyAlignment="1">
      <alignment horizontal="center"/>
    </xf>
    <xf numFmtId="0" fontId="81" fillId="0" borderId="28" xfId="12" applyNumberFormat="1" applyFont="1" applyBorder="1" applyAlignment="1">
      <alignment horizontal="center" vertical="top"/>
    </xf>
    <xf numFmtId="165" fontId="81" fillId="2" borderId="0" xfId="12" applyFont="1" applyFill="1" applyAlignment="1">
      <alignment vertical="center"/>
    </xf>
    <xf numFmtId="0" fontId="81" fillId="0" borderId="33" xfId="12" applyNumberFormat="1" applyFont="1" applyBorder="1" applyAlignment="1">
      <alignment horizontal="center" vertical="top"/>
    </xf>
    <xf numFmtId="0" fontId="81" fillId="0" borderId="8" xfId="12" applyNumberFormat="1" applyFont="1" applyBorder="1" applyAlignment="1">
      <alignment horizontal="left" vertical="top" wrapText="1"/>
    </xf>
    <xf numFmtId="0" fontId="81" fillId="0" borderId="18" xfId="12" applyNumberFormat="1" applyFont="1" applyBorder="1" applyAlignment="1">
      <alignment horizontal="left" vertical="top" wrapText="1"/>
    </xf>
    <xf numFmtId="0" fontId="81" fillId="0" borderId="7" xfId="12" applyNumberFormat="1" applyFont="1" applyBorder="1" applyAlignment="1">
      <alignment horizontal="left" vertical="top" wrapText="1"/>
    </xf>
    <xf numFmtId="0" fontId="81" fillId="0" borderId="18" xfId="12" applyNumberFormat="1" applyFont="1" applyBorder="1" applyAlignment="1">
      <alignment horizontal="left" vertical="top"/>
    </xf>
    <xf numFmtId="0" fontId="81" fillId="0" borderId="7" xfId="12" applyNumberFormat="1" applyFont="1" applyBorder="1" applyAlignment="1">
      <alignment horizontal="left" vertical="top"/>
    </xf>
    <xf numFmtId="166" fontId="81" fillId="0" borderId="18" xfId="12" applyNumberFormat="1" applyFont="1" applyBorder="1" applyAlignment="1">
      <alignment horizontal="center" vertical="top"/>
    </xf>
    <xf numFmtId="166" fontId="81" fillId="0" borderId="8" xfId="12" applyNumberFormat="1" applyFont="1" applyBorder="1" applyAlignment="1">
      <alignment horizontal="center" vertical="top"/>
    </xf>
    <xf numFmtId="166" fontId="81" fillId="0" borderId="7" xfId="12" applyNumberFormat="1" applyFont="1" applyBorder="1" applyAlignment="1">
      <alignment horizontal="center" vertical="top"/>
    </xf>
    <xf numFmtId="165" fontId="81" fillId="2" borderId="18" xfId="12" applyFont="1" applyFill="1" applyBorder="1" applyAlignment="1">
      <alignment horizontal="center" vertical="top"/>
    </xf>
    <xf numFmtId="165" fontId="81" fillId="2" borderId="6" xfId="12" applyFont="1" applyFill="1" applyBorder="1" applyAlignment="1">
      <alignment horizontal="center" vertical="top"/>
    </xf>
    <xf numFmtId="165" fontId="82" fillId="0" borderId="17" xfId="14" applyFont="1" applyBorder="1"/>
    <xf numFmtId="165" fontId="82" fillId="0" borderId="18" xfId="14" applyFont="1" applyBorder="1"/>
    <xf numFmtId="165" fontId="71" fillId="2" borderId="18" xfId="12" applyFont="1" applyFill="1" applyBorder="1" applyAlignment="1">
      <alignment horizontal="center" vertical="center"/>
    </xf>
    <xf numFmtId="0" fontId="71" fillId="2" borderId="18" xfId="12" applyNumberFormat="1" applyFont="1" applyFill="1" applyBorder="1" applyAlignment="1">
      <alignment horizontal="center" vertical="center"/>
    </xf>
    <xf numFmtId="165" fontId="66" fillId="2" borderId="0" xfId="12" applyFont="1" applyFill="1" applyAlignment="1">
      <alignment horizontal="center" vertical="center"/>
    </xf>
    <xf numFmtId="0" fontId="66" fillId="2" borderId="0" xfId="12" applyNumberFormat="1" applyFont="1" applyFill="1" applyAlignment="1">
      <alignment horizontal="center" vertical="center"/>
    </xf>
    <xf numFmtId="165" fontId="67" fillId="2" borderId="0" xfId="12" applyFont="1" applyFill="1" applyAlignment="1">
      <alignment horizontal="center" vertical="center"/>
    </xf>
    <xf numFmtId="9" fontId="85" fillId="2" borderId="0" xfId="13" applyNumberFormat="1" applyFont="1" applyFill="1" applyAlignment="1">
      <alignment horizontal="left" vertical="center"/>
    </xf>
    <xf numFmtId="165" fontId="85" fillId="2" borderId="0" xfId="12" applyFont="1" applyFill="1" applyAlignment="1">
      <alignment horizontal="left" vertical="center"/>
    </xf>
    <xf numFmtId="4" fontId="75" fillId="0" borderId="12" xfId="13" applyNumberFormat="1" applyFont="1" applyBorder="1" applyAlignment="1">
      <alignment horizontal="center" vertical="center"/>
    </xf>
    <xf numFmtId="4" fontId="74" fillId="2" borderId="12" xfId="13" applyNumberFormat="1" applyFont="1" applyFill="1" applyBorder="1" applyAlignment="1">
      <alignment horizontal="center" vertical="center"/>
    </xf>
    <xf numFmtId="4" fontId="74" fillId="0" borderId="12" xfId="13" applyNumberFormat="1" applyFont="1" applyBorder="1" applyAlignment="1">
      <alignment horizontal="center" vertical="center"/>
    </xf>
    <xf numFmtId="4" fontId="75" fillId="0" borderId="13" xfId="13" applyNumberFormat="1" applyFont="1" applyBorder="1" applyAlignment="1">
      <alignment horizontal="center" vertical="center"/>
    </xf>
    <xf numFmtId="4" fontId="74" fillId="2" borderId="13" xfId="13" applyNumberFormat="1" applyFont="1" applyFill="1" applyBorder="1" applyAlignment="1">
      <alignment horizontal="center" vertical="center"/>
    </xf>
    <xf numFmtId="1" fontId="85" fillId="2" borderId="0" xfId="12" applyNumberFormat="1" applyFont="1" applyFill="1" applyAlignment="1">
      <alignment horizontal="center" vertical="center"/>
    </xf>
    <xf numFmtId="10" fontId="83" fillId="2" borderId="12" xfId="12" applyNumberFormat="1" applyFont="1" applyFill="1" applyBorder="1" applyAlignment="1">
      <alignment horizontal="center" vertical="center"/>
    </xf>
    <xf numFmtId="10" fontId="84" fillId="2" borderId="12" xfId="12" applyNumberFormat="1" applyFont="1" applyFill="1" applyBorder="1" applyAlignment="1">
      <alignment horizontal="center" vertical="center"/>
    </xf>
    <xf numFmtId="10" fontId="84" fillId="2" borderId="12" xfId="13" applyNumberFormat="1" applyFont="1" applyFill="1" applyBorder="1" applyAlignment="1">
      <alignment horizontal="center" vertical="center"/>
    </xf>
    <xf numFmtId="4" fontId="88" fillId="2" borderId="21" xfId="13" applyNumberFormat="1" applyFont="1" applyFill="1" applyBorder="1" applyAlignment="1">
      <alignment horizontal="center" vertical="center"/>
    </xf>
    <xf numFmtId="164" fontId="84" fillId="2" borderId="27" xfId="13" applyNumberFormat="1" applyFont="1" applyFill="1" applyBorder="1" applyAlignment="1">
      <alignment horizontal="center" vertical="center"/>
    </xf>
    <xf numFmtId="10" fontId="84" fillId="2" borderId="27" xfId="12" applyNumberFormat="1" applyFont="1" applyFill="1" applyBorder="1" applyAlignment="1">
      <alignment horizontal="center" vertical="center"/>
    </xf>
    <xf numFmtId="3" fontId="88" fillId="2" borderId="21" xfId="13" applyNumberFormat="1" applyFont="1" applyFill="1" applyBorder="1" applyAlignment="1">
      <alignment horizontal="center" vertical="center"/>
    </xf>
    <xf numFmtId="3" fontId="71" fillId="0" borderId="12" xfId="8" applyNumberFormat="1" applyFont="1" applyFill="1" applyBorder="1" applyAlignment="1">
      <alignment horizontal="center" vertical="center"/>
    </xf>
    <xf numFmtId="4" fontId="71" fillId="0" borderId="12" xfId="8" applyFont="1" applyFill="1" applyBorder="1">
      <alignment horizontal="left" vertical="center"/>
    </xf>
    <xf numFmtId="3" fontId="71" fillId="0" borderId="12" xfId="8" applyNumberFormat="1" applyFont="1" applyFill="1" applyBorder="1">
      <alignment horizontal="left" vertical="center"/>
    </xf>
    <xf numFmtId="43" fontId="71" fillId="0" borderId="12" xfId="29" applyFont="1" applyFill="1" applyBorder="1" applyAlignment="1">
      <alignment horizontal="right" vertical="center"/>
    </xf>
    <xf numFmtId="4" fontId="71" fillId="0" borderId="12" xfId="8" applyFont="1" applyFill="1" applyBorder="1" applyAlignment="1">
      <alignment horizontal="center" vertical="center"/>
    </xf>
    <xf numFmtId="4" fontId="69" fillId="0" borderId="12" xfId="8" applyFont="1" applyFill="1" applyBorder="1" applyAlignment="1">
      <alignment horizontal="center" vertical="center"/>
    </xf>
    <xf numFmtId="168" fontId="71" fillId="0" borderId="12" xfId="8" applyNumberFormat="1" applyFont="1" applyFill="1" applyBorder="1" applyAlignment="1">
      <alignment horizontal="center" vertical="center"/>
    </xf>
    <xf numFmtId="168" fontId="91" fillId="0" borderId="12" xfId="8" applyNumberFormat="1" applyFont="1" applyFill="1" applyBorder="1" applyAlignment="1">
      <alignment horizontal="center" vertical="center"/>
    </xf>
    <xf numFmtId="0" fontId="92" fillId="0" borderId="12" xfId="8" applyNumberFormat="1" applyFont="1" applyFill="1" applyBorder="1" applyAlignment="1">
      <alignment horizontal="center" vertical="center"/>
    </xf>
    <xf numFmtId="4" fontId="71" fillId="0" borderId="0" xfId="8" applyFont="1" applyFill="1">
      <alignment horizontal="left" vertical="center"/>
    </xf>
    <xf numFmtId="4" fontId="71" fillId="0" borderId="12" xfId="8" applyFont="1" applyFill="1" applyBorder="1" applyAlignment="1">
      <alignment horizontal="right" vertical="center"/>
    </xf>
    <xf numFmtId="43" fontId="71" fillId="0" borderId="12" xfId="29" applyFont="1" applyFill="1" applyBorder="1" applyAlignment="1">
      <alignment horizontal="left" vertical="center"/>
    </xf>
    <xf numFmtId="43" fontId="71" fillId="0" borderId="12" xfId="29" applyFont="1" applyFill="1" applyBorder="1" applyAlignment="1">
      <alignment horizontal="center" vertical="center"/>
    </xf>
    <xf numFmtId="4" fontId="71" fillId="0" borderId="0" xfId="8" applyFont="1" applyFill="1" applyAlignment="1">
      <alignment horizontal="center" vertical="center"/>
    </xf>
    <xf numFmtId="43" fontId="71" fillId="0" borderId="0" xfId="29" applyFont="1" applyFill="1" applyAlignment="1">
      <alignment horizontal="right" vertical="center"/>
    </xf>
    <xf numFmtId="43" fontId="71" fillId="0" borderId="0" xfId="29" applyFont="1" applyFill="1" applyAlignment="1">
      <alignment horizontal="center" vertical="center"/>
    </xf>
    <xf numFmtId="4" fontId="69" fillId="0" borderId="0" xfId="8" applyFont="1" applyFill="1" applyAlignment="1">
      <alignment horizontal="center" vertical="center"/>
    </xf>
    <xf numFmtId="4" fontId="92" fillId="0" borderId="0" xfId="8" applyFont="1" applyFill="1" applyAlignment="1">
      <alignment horizontal="center" vertical="center"/>
    </xf>
    <xf numFmtId="0" fontId="71" fillId="0" borderId="0" xfId="8" applyNumberFormat="1" applyFont="1" applyFill="1" applyAlignment="1">
      <alignment horizontal="right" vertical="center"/>
    </xf>
    <xf numFmtId="43" fontId="99" fillId="0" borderId="36" xfId="177" applyFont="1" applyFill="1" applyBorder="1" applyAlignment="1">
      <alignment horizontal="right"/>
    </xf>
    <xf numFmtId="43" fontId="99" fillId="0" borderId="0" xfId="177" applyFont="1" applyAlignment="1">
      <alignment horizontal="center"/>
    </xf>
    <xf numFmtId="43" fontId="99" fillId="0" borderId="36" xfId="177" applyFont="1" applyBorder="1" applyAlignment="1">
      <alignment horizontal="center"/>
    </xf>
    <xf numFmtId="43" fontId="100" fillId="0" borderId="36" xfId="177" applyFont="1" applyFill="1" applyBorder="1" applyAlignment="1">
      <alignment horizontal="center"/>
    </xf>
    <xf numFmtId="43" fontId="103" fillId="0" borderId="36" xfId="177" applyFont="1" applyBorder="1" applyAlignment="1">
      <alignment horizontal="right"/>
    </xf>
    <xf numFmtId="43" fontId="97" fillId="8" borderId="37" xfId="177" applyFont="1" applyFill="1" applyBorder="1" applyAlignment="1">
      <alignment horizontal="center"/>
    </xf>
    <xf numFmtId="43" fontId="102" fillId="8" borderId="37" xfId="177" applyFont="1" applyFill="1" applyBorder="1" applyAlignment="1">
      <alignment horizontal="center"/>
    </xf>
    <xf numFmtId="0" fontId="105" fillId="0" borderId="0" xfId="180" applyFont="1" applyAlignment="1">
      <alignment horizontal="center"/>
    </xf>
    <xf numFmtId="43" fontId="100" fillId="0" borderId="0" xfId="177" applyFont="1" applyAlignment="1">
      <alignment horizontal="center"/>
    </xf>
    <xf numFmtId="0" fontId="69" fillId="0" borderId="12" xfId="8" applyNumberFormat="1" applyFont="1" applyFill="1" applyBorder="1" applyAlignment="1">
      <alignment horizontal="center" vertical="center"/>
    </xf>
    <xf numFmtId="43" fontId="69" fillId="0" borderId="12" xfId="29" applyFont="1" applyFill="1" applyBorder="1" applyAlignment="1">
      <alignment horizontal="center" vertical="center"/>
    </xf>
    <xf numFmtId="170" fontId="69" fillId="0" borderId="12" xfId="8" applyNumberFormat="1" applyFont="1" applyFill="1" applyBorder="1" applyAlignment="1">
      <alignment horizontal="center" vertical="center"/>
    </xf>
    <xf numFmtId="170" fontId="89" fillId="0" borderId="12" xfId="8" applyNumberFormat="1" applyFont="1" applyFill="1" applyBorder="1" applyAlignment="1">
      <alignment horizontal="center" vertical="center"/>
    </xf>
    <xf numFmtId="170" fontId="96" fillId="0" borderId="12" xfId="8" applyNumberFormat="1" applyFont="1" applyFill="1" applyBorder="1" applyAlignment="1">
      <alignment horizontal="center" vertical="center"/>
    </xf>
    <xf numFmtId="4" fontId="90" fillId="0" borderId="12" xfId="8" applyFont="1" applyFill="1" applyBorder="1" applyAlignment="1">
      <alignment horizontal="center" vertical="center"/>
    </xf>
    <xf numFmtId="170" fontId="71" fillId="0" borderId="12" xfId="8" applyNumberFormat="1" applyFont="1" applyFill="1" applyBorder="1" applyAlignment="1">
      <alignment horizontal="center" vertical="center"/>
    </xf>
    <xf numFmtId="170" fontId="91" fillId="0" borderId="12" xfId="8" applyNumberFormat="1" applyFont="1" applyFill="1" applyBorder="1" applyAlignment="1">
      <alignment horizontal="center" vertical="center"/>
    </xf>
    <xf numFmtId="3" fontId="71" fillId="0" borderId="0" xfId="8" applyNumberFormat="1" applyFont="1" applyFill="1" applyAlignment="1">
      <alignment horizontal="center" vertical="center"/>
    </xf>
    <xf numFmtId="4" fontId="106" fillId="0" borderId="0" xfId="8" applyFont="1" applyFill="1">
      <alignment horizontal="left" vertical="center"/>
    </xf>
    <xf numFmtId="4" fontId="106" fillId="0" borderId="12" xfId="8" applyFont="1" applyFill="1" applyBorder="1">
      <alignment horizontal="left" vertical="center"/>
    </xf>
    <xf numFmtId="4" fontId="106" fillId="0" borderId="12" xfId="8" applyFont="1" applyFill="1" applyBorder="1" applyAlignment="1">
      <alignment horizontal="center" vertical="center"/>
    </xf>
    <xf numFmtId="3" fontId="106" fillId="0" borderId="12" xfId="8" applyNumberFormat="1" applyFont="1" applyFill="1" applyBorder="1">
      <alignment horizontal="left" vertical="center"/>
    </xf>
    <xf numFmtId="43" fontId="106" fillId="0" borderId="12" xfId="29" applyFont="1" applyFill="1" applyBorder="1" applyAlignment="1">
      <alignment horizontal="right" vertical="center"/>
    </xf>
    <xf numFmtId="4" fontId="106" fillId="0" borderId="12" xfId="8" applyFont="1" applyFill="1" applyBorder="1" applyAlignment="1">
      <alignment horizontal="right" vertical="center"/>
    </xf>
    <xf numFmtId="4" fontId="96" fillId="0" borderId="12" xfId="8" applyFont="1" applyFill="1" applyBorder="1" applyAlignment="1">
      <alignment horizontal="center" vertical="center"/>
    </xf>
    <xf numFmtId="170" fontId="106" fillId="0" borderId="12" xfId="8" applyNumberFormat="1" applyFont="1" applyFill="1" applyBorder="1" applyAlignment="1">
      <alignment horizontal="center" vertical="center"/>
    </xf>
    <xf numFmtId="0" fontId="106" fillId="0" borderId="12" xfId="8" applyNumberFormat="1" applyFont="1" applyFill="1" applyBorder="1" applyAlignment="1">
      <alignment horizontal="center" vertical="center"/>
    </xf>
    <xf numFmtId="0" fontId="71" fillId="0" borderId="12" xfId="181" applyFont="1" applyBorder="1" applyAlignment="1">
      <alignment horizontal="left" vertical="center"/>
    </xf>
    <xf numFmtId="0" fontId="71" fillId="0" borderId="12" xfId="181" applyFont="1" applyBorder="1" applyAlignment="1">
      <alignment horizontal="center" vertical="center"/>
    </xf>
    <xf numFmtId="2" fontId="71" fillId="0" borderId="12" xfId="181" applyNumberFormat="1" applyFont="1" applyBorder="1" applyAlignment="1">
      <alignment horizontal="right" vertical="center"/>
    </xf>
    <xf numFmtId="4" fontId="71" fillId="0" borderId="12" xfId="181" applyNumberFormat="1" applyFont="1" applyBorder="1" applyAlignment="1">
      <alignment horizontal="right" vertical="center"/>
    </xf>
    <xf numFmtId="0" fontId="69" fillId="0" borderId="12" xfId="181" applyFont="1" applyBorder="1" applyAlignment="1">
      <alignment horizontal="center" vertical="center"/>
    </xf>
    <xf numFmtId="170" fontId="71" fillId="0" borderId="12" xfId="181" applyNumberFormat="1" applyFont="1" applyBorder="1" applyAlignment="1">
      <alignment horizontal="center" vertical="center"/>
    </xf>
    <xf numFmtId="170" fontId="91" fillId="0" borderId="12" xfId="181" applyNumberFormat="1" applyFont="1" applyBorder="1" applyAlignment="1">
      <alignment horizontal="center" vertical="center"/>
    </xf>
    <xf numFmtId="0" fontId="93" fillId="5" borderId="0" xfId="182" applyFont="1" applyFill="1" applyAlignment="1">
      <alignment horizontal="right"/>
    </xf>
    <xf numFmtId="43" fontId="94" fillId="5" borderId="0" xfId="183" applyFont="1" applyFill="1" applyBorder="1" applyAlignment="1"/>
    <xf numFmtId="170" fontId="71" fillId="0" borderId="0" xfId="8" applyNumberFormat="1" applyFont="1" applyFill="1" applyAlignment="1">
      <alignment horizontal="center" vertical="center"/>
    </xf>
    <xf numFmtId="170" fontId="91" fillId="0" borderId="0" xfId="8" applyNumberFormat="1" applyFont="1" applyFill="1" applyAlignment="1">
      <alignment horizontal="center" vertical="center"/>
    </xf>
    <xf numFmtId="170" fontId="96" fillId="0" borderId="0" xfId="8" applyNumberFormat="1" applyFont="1" applyFill="1" applyAlignment="1">
      <alignment horizontal="center" vertical="center"/>
    </xf>
    <xf numFmtId="0" fontId="93" fillId="6" borderId="0" xfId="182" applyFont="1" applyFill="1" applyAlignment="1">
      <alignment horizontal="right"/>
    </xf>
    <xf numFmtId="43" fontId="94" fillId="6" borderId="0" xfId="183" applyFont="1" applyFill="1" applyBorder="1" applyAlignment="1"/>
    <xf numFmtId="0" fontId="93" fillId="7" borderId="0" xfId="182" applyFont="1" applyFill="1" applyAlignment="1">
      <alignment horizontal="right" vertical="center"/>
    </xf>
    <xf numFmtId="43" fontId="95" fillId="7" borderId="0" xfId="183" applyFont="1" applyFill="1" applyBorder="1" applyAlignment="1"/>
    <xf numFmtId="0" fontId="97" fillId="0" borderId="0" xfId="182" applyFont="1" applyAlignment="1">
      <alignment horizontal="left"/>
    </xf>
    <xf numFmtId="0" fontId="98" fillId="0" borderId="0" xfId="182" applyFont="1" applyAlignment="1">
      <alignment horizontal="center"/>
    </xf>
    <xf numFmtId="0" fontId="99" fillId="0" borderId="0" xfId="182" applyFont="1" applyAlignment="1">
      <alignment horizontal="center" vertical="center"/>
    </xf>
    <xf numFmtId="0" fontId="100" fillId="0" borderId="0" xfId="182" applyFont="1" applyAlignment="1">
      <alignment horizontal="center" vertical="center"/>
    </xf>
    <xf numFmtId="0" fontId="99" fillId="0" borderId="0" xfId="182" applyFont="1" applyAlignment="1">
      <alignment vertical="center"/>
    </xf>
    <xf numFmtId="0" fontId="99" fillId="0" borderId="0" xfId="182" applyFont="1"/>
    <xf numFmtId="0" fontId="97" fillId="8" borderId="34" xfId="182" applyFont="1" applyFill="1" applyBorder="1" applyAlignment="1">
      <alignment horizontal="center" vertical="center"/>
    </xf>
    <xf numFmtId="0" fontId="97" fillId="8" borderId="34" xfId="182" applyFont="1" applyFill="1" applyBorder="1" applyAlignment="1">
      <alignment horizontal="center" vertical="center" wrapText="1"/>
    </xf>
    <xf numFmtId="0" fontId="97" fillId="8" borderId="35" xfId="182" applyFont="1" applyFill="1" applyBorder="1" applyAlignment="1">
      <alignment horizontal="center" vertical="center" wrapText="1"/>
    </xf>
    <xf numFmtId="0" fontId="102" fillId="8" borderId="34" xfId="182" applyFont="1" applyFill="1" applyBorder="1" applyAlignment="1">
      <alignment horizontal="center" vertical="center" wrapText="1"/>
    </xf>
    <xf numFmtId="0" fontId="102" fillId="8" borderId="34" xfId="182" applyFont="1" applyFill="1" applyBorder="1" applyAlignment="1">
      <alignment horizontal="center" vertical="center"/>
    </xf>
    <xf numFmtId="0" fontId="97" fillId="8" borderId="35" xfId="182" applyFont="1" applyFill="1" applyBorder="1" applyAlignment="1">
      <alignment horizontal="center" vertical="center"/>
    </xf>
    <xf numFmtId="0" fontId="99" fillId="0" borderId="36" xfId="182" applyFont="1" applyBorder="1" applyAlignment="1">
      <alignment horizontal="center"/>
    </xf>
    <xf numFmtId="0" fontId="103" fillId="0" borderId="36" xfId="182" applyFont="1" applyBorder="1" applyAlignment="1">
      <alignment horizontal="left"/>
    </xf>
    <xf numFmtId="10" fontId="100" fillId="0" borderId="36" xfId="184" applyNumberFormat="1" applyFont="1" applyFill="1" applyBorder="1" applyAlignment="1">
      <alignment horizontal="center"/>
    </xf>
    <xf numFmtId="0" fontId="99" fillId="0" borderId="36" xfId="182" applyFont="1" applyBorder="1"/>
    <xf numFmtId="2" fontId="99" fillId="0" borderId="36" xfId="182" applyNumberFormat="1" applyFont="1" applyBorder="1"/>
    <xf numFmtId="0" fontId="99" fillId="8" borderId="37" xfId="182" applyFont="1" applyFill="1" applyBorder="1" applyAlignment="1">
      <alignment horizontal="center"/>
    </xf>
    <xf numFmtId="10" fontId="102" fillId="8" borderId="37" xfId="184" applyNumberFormat="1" applyFont="1" applyFill="1" applyBorder="1" applyAlignment="1">
      <alignment horizontal="center"/>
    </xf>
    <xf numFmtId="0" fontId="97" fillId="8" borderId="38" xfId="182" applyFont="1" applyFill="1" applyBorder="1"/>
    <xf numFmtId="0" fontId="97" fillId="0" borderId="0" xfId="182" applyFont="1"/>
    <xf numFmtId="0" fontId="99" fillId="0" borderId="0" xfId="182" applyFont="1" applyAlignment="1">
      <alignment horizontal="center"/>
    </xf>
    <xf numFmtId="0" fontId="100" fillId="0" borderId="0" xfId="182" applyFont="1" applyAlignment="1">
      <alignment horizontal="center"/>
    </xf>
    <xf numFmtId="2" fontId="100" fillId="0" borderId="0" xfId="182" applyNumberFormat="1" applyFont="1" applyAlignment="1">
      <alignment horizontal="center"/>
    </xf>
    <xf numFmtId="43" fontId="71" fillId="2" borderId="0" xfId="177" applyFont="1" applyFill="1" applyAlignment="1">
      <alignment vertical="center"/>
    </xf>
    <xf numFmtId="0" fontId="71" fillId="0" borderId="12" xfId="0" applyFont="1" applyBorder="1" applyAlignment="1">
      <alignment horizontal="left" vertical="center"/>
    </xf>
    <xf numFmtId="0" fontId="71" fillId="0" borderId="12" xfId="0" applyFont="1" applyBorder="1" applyAlignment="1">
      <alignment horizontal="center" vertical="center"/>
    </xf>
    <xf numFmtId="3" fontId="71" fillId="0" borderId="12" xfId="0" applyNumberFormat="1" applyFont="1" applyBorder="1" applyAlignment="1">
      <alignment horizontal="left" vertical="center"/>
    </xf>
    <xf numFmtId="43" fontId="71" fillId="0" borderId="12" xfId="29" applyFont="1" applyFill="1" applyBorder="1" applyAlignment="1">
      <alignment vertical="center"/>
    </xf>
    <xf numFmtId="0" fontId="71" fillId="0" borderId="12" xfId="0" applyFont="1" applyBorder="1" applyAlignment="1">
      <alignment horizontal="right" vertical="center"/>
    </xf>
    <xf numFmtId="0" fontId="69" fillId="0" borderId="12" xfId="0" applyFont="1" applyBorder="1" applyAlignment="1">
      <alignment horizontal="center" vertical="center"/>
    </xf>
    <xf numFmtId="170" fontId="71" fillId="0" borderId="12" xfId="0" applyNumberFormat="1" applyFont="1" applyBorder="1" applyAlignment="1">
      <alignment horizontal="center" vertical="center"/>
    </xf>
    <xf numFmtId="170" fontId="91" fillId="0" borderId="12" xfId="0" applyNumberFormat="1" applyFont="1" applyBorder="1" applyAlignment="1">
      <alignment horizontal="center" vertical="center"/>
    </xf>
    <xf numFmtId="170" fontId="96" fillId="0" borderId="12" xfId="0" applyNumberFormat="1" applyFont="1" applyBorder="1" applyAlignment="1">
      <alignment horizontal="center" vertical="center"/>
    </xf>
    <xf numFmtId="165" fontId="81" fillId="2" borderId="31" xfId="12" applyFont="1" applyFill="1" applyBorder="1" applyAlignment="1">
      <alignment horizontal="center" vertical="top"/>
    </xf>
    <xf numFmtId="165" fontId="81" fillId="2" borderId="32" xfId="12" applyFont="1" applyFill="1" applyBorder="1" applyAlignment="1">
      <alignment horizontal="center" vertical="top"/>
    </xf>
    <xf numFmtId="0" fontId="69" fillId="4" borderId="11" xfId="12" applyNumberFormat="1" applyFont="1" applyFill="1" applyBorder="1" applyAlignment="1">
      <alignment horizontal="center"/>
    </xf>
    <xf numFmtId="0" fontId="69" fillId="4" borderId="15" xfId="12" applyNumberFormat="1" applyFont="1" applyFill="1" applyBorder="1" applyAlignment="1">
      <alignment horizontal="center"/>
    </xf>
    <xf numFmtId="0" fontId="69" fillId="4" borderId="10" xfId="12" applyNumberFormat="1" applyFont="1" applyFill="1" applyBorder="1" applyAlignment="1">
      <alignment horizontal="center"/>
    </xf>
    <xf numFmtId="0" fontId="69" fillId="4" borderId="11" xfId="12" applyNumberFormat="1" applyFont="1" applyFill="1" applyBorder="1" applyAlignment="1">
      <alignment horizontal="center" wrapText="1"/>
    </xf>
    <xf numFmtId="0" fontId="69" fillId="4" borderId="15" xfId="12" applyNumberFormat="1" applyFont="1" applyFill="1" applyBorder="1" applyAlignment="1">
      <alignment horizontal="center" wrapText="1"/>
    </xf>
    <xf numFmtId="0" fontId="69" fillId="4" borderId="10" xfId="12" applyNumberFormat="1" applyFont="1" applyFill="1" applyBorder="1" applyAlignment="1">
      <alignment horizontal="center" wrapText="1"/>
    </xf>
    <xf numFmtId="0" fontId="69" fillId="4" borderId="4" xfId="12" applyNumberFormat="1" applyFont="1" applyFill="1" applyBorder="1" applyAlignment="1">
      <alignment horizontal="center"/>
    </xf>
    <xf numFmtId="0" fontId="81" fillId="0" borderId="13" xfId="12" applyNumberFormat="1" applyFont="1" applyBorder="1" applyAlignment="1">
      <alignment horizontal="left" vertical="top" wrapText="1"/>
    </xf>
    <xf numFmtId="0" fontId="81" fillId="0" borderId="22" xfId="12" applyNumberFormat="1" applyFont="1" applyBorder="1" applyAlignment="1">
      <alignment horizontal="left" vertical="top" wrapText="1"/>
    </xf>
    <xf numFmtId="0" fontId="81" fillId="0" borderId="20" xfId="12" applyNumberFormat="1" applyFont="1" applyBorder="1" applyAlignment="1">
      <alignment horizontal="left" vertical="top" wrapText="1"/>
    </xf>
    <xf numFmtId="0" fontId="81" fillId="0" borderId="12" xfId="12" applyNumberFormat="1" applyFont="1" applyBorder="1" applyAlignment="1">
      <alignment horizontal="left" vertical="top" wrapText="1"/>
    </xf>
    <xf numFmtId="0" fontId="81" fillId="0" borderId="22" xfId="12" applyNumberFormat="1" applyFont="1" applyBorder="1" applyAlignment="1">
      <alignment horizontal="left" vertical="top"/>
    </xf>
    <xf numFmtId="0" fontId="81" fillId="0" borderId="20" xfId="12" applyNumberFormat="1" applyFont="1" applyBorder="1" applyAlignment="1">
      <alignment horizontal="left" vertical="top"/>
    </xf>
    <xf numFmtId="166" fontId="81" fillId="0" borderId="29" xfId="12" applyNumberFormat="1" applyFont="1" applyBorder="1" applyAlignment="1">
      <alignment horizontal="center" vertical="top"/>
    </xf>
    <xf numFmtId="166" fontId="81" fillId="0" borderId="30" xfId="12" applyNumberFormat="1" applyFont="1" applyBorder="1" applyAlignment="1">
      <alignment horizontal="center" vertical="top"/>
    </xf>
    <xf numFmtId="166" fontId="81" fillId="0" borderId="12" xfId="12" applyNumberFormat="1" applyFont="1" applyBorder="1" applyAlignment="1">
      <alignment horizontal="center" vertical="top"/>
    </xf>
    <xf numFmtId="3" fontId="71" fillId="2" borderId="21" xfId="12" applyNumberFormat="1" applyFont="1" applyFill="1" applyBorder="1" applyAlignment="1">
      <alignment horizontal="left" vertical="center"/>
    </xf>
    <xf numFmtId="3" fontId="71" fillId="2" borderId="22" xfId="12" applyNumberFormat="1" applyFont="1" applyFill="1" applyBorder="1" applyAlignment="1">
      <alignment horizontal="left" vertical="center"/>
    </xf>
    <xf numFmtId="3" fontId="71" fillId="2" borderId="23" xfId="12" applyNumberFormat="1" applyFont="1" applyFill="1" applyBorder="1" applyAlignment="1">
      <alignment horizontal="left" vertical="center"/>
    </xf>
    <xf numFmtId="165" fontId="70" fillId="2" borderId="15" xfId="12" applyFont="1" applyFill="1" applyBorder="1" applyAlignment="1">
      <alignment horizontal="center" vertical="center"/>
    </xf>
    <xf numFmtId="165" fontId="70" fillId="2" borderId="0" xfId="12" applyFont="1" applyFill="1" applyAlignment="1">
      <alignment horizontal="center" vertical="center"/>
    </xf>
    <xf numFmtId="165" fontId="70" fillId="2" borderId="18" xfId="12" applyFont="1" applyFill="1" applyBorder="1" applyAlignment="1">
      <alignment horizontal="center" vertical="center"/>
    </xf>
    <xf numFmtId="165" fontId="71" fillId="2" borderId="0" xfId="12" applyFont="1" applyFill="1" applyAlignment="1">
      <alignment horizontal="center" vertical="center"/>
    </xf>
    <xf numFmtId="165" fontId="70" fillId="3" borderId="19" xfId="12" applyFont="1" applyFill="1" applyBorder="1" applyAlignment="1">
      <alignment horizontal="center" vertical="center"/>
    </xf>
    <xf numFmtId="165" fontId="70" fillId="3" borderId="20" xfId="12" applyFont="1" applyFill="1" applyBorder="1" applyAlignment="1">
      <alignment horizontal="center" vertical="center"/>
    </xf>
    <xf numFmtId="165" fontId="69" fillId="3" borderId="21" xfId="12" applyFont="1" applyFill="1" applyBorder="1" applyAlignment="1">
      <alignment horizontal="center" vertical="center"/>
    </xf>
    <xf numFmtId="165" fontId="69" fillId="3" borderId="22" xfId="12" applyFont="1" applyFill="1" applyBorder="1" applyAlignment="1">
      <alignment horizontal="center" vertical="center"/>
    </xf>
    <xf numFmtId="165" fontId="69" fillId="3" borderId="23" xfId="12" applyFont="1" applyFill="1" applyBorder="1" applyAlignment="1">
      <alignment horizontal="center" vertical="center"/>
    </xf>
    <xf numFmtId="165" fontId="70" fillId="2" borderId="19" xfId="13" applyFont="1" applyFill="1" applyBorder="1" applyAlignment="1">
      <alignment horizontal="left" vertical="center" wrapText="1"/>
    </xf>
    <xf numFmtId="165" fontId="70" fillId="2" borderId="20" xfId="13" applyFont="1" applyFill="1" applyBorder="1" applyAlignment="1">
      <alignment horizontal="left" vertical="center" wrapText="1"/>
    </xf>
    <xf numFmtId="3" fontId="71" fillId="2" borderId="24" xfId="12" applyNumberFormat="1" applyFont="1" applyFill="1" applyBorder="1" applyAlignment="1">
      <alignment horizontal="left" vertical="center"/>
    </xf>
    <xf numFmtId="3" fontId="71" fillId="2" borderId="25" xfId="12" applyNumberFormat="1" applyFont="1" applyFill="1" applyBorder="1" applyAlignment="1">
      <alignment horizontal="left" vertical="center"/>
    </xf>
    <xf numFmtId="3" fontId="71" fillId="2" borderId="26" xfId="12" applyNumberFormat="1" applyFont="1" applyFill="1" applyBorder="1" applyAlignment="1">
      <alignment horizontal="left" vertical="center"/>
    </xf>
    <xf numFmtId="165" fontId="70" fillId="2" borderId="19" xfId="13" applyFont="1" applyFill="1" applyBorder="1" applyAlignment="1">
      <alignment horizontal="left" vertical="center"/>
    </xf>
    <xf numFmtId="165" fontId="70" fillId="2" borderId="20" xfId="13" applyFont="1" applyFill="1" applyBorder="1" applyAlignment="1">
      <alignment horizontal="left" vertical="center"/>
    </xf>
    <xf numFmtId="165" fontId="68" fillId="2" borderId="14" xfId="12" applyFont="1" applyFill="1" applyBorder="1" applyAlignment="1">
      <alignment horizontal="center" vertical="center"/>
    </xf>
    <xf numFmtId="165" fontId="68" fillId="2" borderId="15" xfId="12" applyFont="1" applyFill="1" applyBorder="1" applyAlignment="1">
      <alignment horizontal="center" vertical="center"/>
    </xf>
    <xf numFmtId="165" fontId="68" fillId="2" borderId="4" xfId="12" applyFont="1" applyFill="1" applyBorder="1" applyAlignment="1">
      <alignment horizontal="center" vertical="center"/>
    </xf>
    <xf numFmtId="165" fontId="68" fillId="2" borderId="16" xfId="12" applyFont="1" applyFill="1" applyBorder="1" applyAlignment="1">
      <alignment horizontal="center" vertical="center"/>
    </xf>
    <xf numFmtId="165" fontId="68" fillId="2" borderId="0" xfId="12" applyFont="1" applyFill="1" applyAlignment="1">
      <alignment horizontal="center" vertical="center"/>
    </xf>
    <xf numFmtId="165" fontId="68" fillId="2" borderId="9" xfId="12" applyFont="1" applyFill="1" applyBorder="1" applyAlignment="1">
      <alignment horizontal="center" vertical="center"/>
    </xf>
    <xf numFmtId="165" fontId="68" fillId="2" borderId="17" xfId="12" applyFont="1" applyFill="1" applyBorder="1" applyAlignment="1">
      <alignment horizontal="center" vertical="center"/>
    </xf>
    <xf numFmtId="165" fontId="68" fillId="2" borderId="18" xfId="12" applyFont="1" applyFill="1" applyBorder="1" applyAlignment="1">
      <alignment horizontal="center" vertical="center"/>
    </xf>
    <xf numFmtId="165" fontId="68" fillId="2" borderId="6" xfId="12" applyFont="1" applyFill="1" applyBorder="1" applyAlignment="1">
      <alignment horizontal="center" vertical="center"/>
    </xf>
    <xf numFmtId="165" fontId="69" fillId="2" borderId="1" xfId="12" applyFont="1" applyFill="1" applyBorder="1" applyAlignment="1">
      <alignment horizontal="center" vertical="center"/>
    </xf>
    <xf numFmtId="165" fontId="69" fillId="2" borderId="3" xfId="12" applyFont="1" applyFill="1" applyBorder="1" applyAlignment="1">
      <alignment horizontal="center" vertical="center"/>
    </xf>
    <xf numFmtId="165" fontId="69" fillId="2" borderId="2" xfId="12" applyFont="1" applyFill="1" applyBorder="1" applyAlignment="1">
      <alignment horizontal="center" vertical="center"/>
    </xf>
    <xf numFmtId="165" fontId="67" fillId="2" borderId="14" xfId="12" applyFont="1" applyFill="1" applyBorder="1" applyAlignment="1">
      <alignment horizontal="center" vertical="center"/>
    </xf>
    <xf numFmtId="165" fontId="67" fillId="2" borderId="4" xfId="12" applyFont="1" applyFill="1" applyBorder="1" applyAlignment="1">
      <alignment horizontal="center" vertical="center"/>
    </xf>
    <xf numFmtId="165" fontId="67" fillId="2" borderId="17" xfId="12" applyFont="1" applyFill="1" applyBorder="1" applyAlignment="1">
      <alignment horizontal="center" vertical="center"/>
    </xf>
    <xf numFmtId="165" fontId="67" fillId="2" borderId="6" xfId="12" applyFont="1" applyFill="1" applyBorder="1" applyAlignment="1">
      <alignment horizontal="center" vertical="center"/>
    </xf>
    <xf numFmtId="165" fontId="67" fillId="2" borderId="15" xfId="12" applyFont="1" applyFill="1" applyBorder="1" applyAlignment="1">
      <alignment horizontal="center" vertical="center"/>
    </xf>
    <xf numFmtId="165" fontId="67" fillId="2" borderId="18" xfId="12" applyFont="1" applyFill="1" applyBorder="1" applyAlignment="1">
      <alignment horizontal="center" vertical="center"/>
    </xf>
    <xf numFmtId="0" fontId="66" fillId="0" borderId="13" xfId="12" applyNumberFormat="1" applyFont="1" applyBorder="1" applyAlignment="1">
      <alignment horizontal="left" vertical="top" wrapText="1"/>
    </xf>
    <xf numFmtId="0" fontId="87" fillId="0" borderId="12" xfId="12" applyNumberFormat="1" applyFont="1" applyBorder="1" applyAlignment="1">
      <alignment horizontal="left" vertical="top" wrapText="1"/>
    </xf>
    <xf numFmtId="165" fontId="83" fillId="2" borderId="19" xfId="13" applyFont="1" applyFill="1" applyBorder="1" applyAlignment="1">
      <alignment horizontal="left" vertical="center" wrapText="1"/>
    </xf>
    <xf numFmtId="165" fontId="83" fillId="2" borderId="20" xfId="13" applyFont="1" applyFill="1" applyBorder="1" applyAlignment="1">
      <alignment horizontal="left" vertical="center" wrapText="1"/>
    </xf>
    <xf numFmtId="0" fontId="97" fillId="8" borderId="12" xfId="182" applyFont="1" applyFill="1" applyBorder="1" applyAlignment="1">
      <alignment horizontal="center" vertical="center"/>
    </xf>
    <xf numFmtId="0" fontId="97" fillId="8" borderId="34" xfId="182" applyFont="1" applyFill="1" applyBorder="1" applyAlignment="1">
      <alignment horizontal="center" vertical="center"/>
    </xf>
    <xf numFmtId="0" fontId="101" fillId="8" borderId="12" xfId="182" applyFont="1" applyFill="1" applyBorder="1" applyAlignment="1">
      <alignment horizontal="center" vertical="center"/>
    </xf>
    <xf numFmtId="0" fontId="101" fillId="8" borderId="34" xfId="182" applyFont="1" applyFill="1" applyBorder="1" applyAlignment="1">
      <alignment horizontal="center" vertical="center"/>
    </xf>
    <xf numFmtId="0" fontId="97" fillId="8" borderId="12" xfId="182" applyFont="1" applyFill="1" applyBorder="1" applyAlignment="1">
      <alignment horizontal="center" vertical="center" wrapText="1"/>
    </xf>
    <xf numFmtId="0" fontId="97" fillId="8" borderId="34" xfId="182" applyFont="1" applyFill="1" applyBorder="1" applyAlignment="1">
      <alignment horizontal="center" vertical="center" wrapText="1"/>
    </xf>
    <xf numFmtId="169" fontId="101" fillId="8" borderId="12" xfId="182" quotePrefix="1" applyNumberFormat="1" applyFont="1" applyFill="1" applyBorder="1" applyAlignment="1">
      <alignment horizontal="center" vertical="center"/>
    </xf>
    <xf numFmtId="0" fontId="101" fillId="8" borderId="37" xfId="182" applyFont="1" applyFill="1" applyBorder="1" applyAlignment="1">
      <alignment horizontal="center"/>
    </xf>
  </cellXfs>
  <cellStyles count="185">
    <cellStyle name="Comma" xfId="177" builtinId="3"/>
    <cellStyle name="Comma 2" xfId="5" xr:uid="{5B136DC6-8BED-4314-BCDB-E4E4CB17AC02}"/>
    <cellStyle name="Comma 2 2" xfId="7" xr:uid="{09592BDC-DE14-4107-A437-A6D89F25D149}"/>
    <cellStyle name="Comma 2 2 2" xfId="11" xr:uid="{ED44BB16-6A2C-480C-9F89-71802B34B7E8}"/>
    <cellStyle name="Comma 2 2 2 2" xfId="18" xr:uid="{8197A013-F95A-406C-91BF-3B93E5F21A01}"/>
    <cellStyle name="Comma 2 2 2 2 2" xfId="21" xr:uid="{5A73D591-9C34-4935-A9D8-1D72F7FE7A8B}"/>
    <cellStyle name="Comma 2 3" xfId="31" xr:uid="{FEAD5FEE-CEB9-454A-86D1-509044B4532A}"/>
    <cellStyle name="Comma 2 4" xfId="36" xr:uid="{5A25E1C9-ED6A-471F-892D-A6E9A4C448F3}"/>
    <cellStyle name="Comma 2 5" xfId="96" xr:uid="{3E2E5F9C-D7ED-448D-906F-87C62A84AAB5}"/>
    <cellStyle name="Comma 3" xfId="26" xr:uid="{FAB3CB03-5F50-4270-A01D-45ECEDDF9C17}"/>
    <cellStyle name="Comma 3 2 2" xfId="19" xr:uid="{DFF22315-EBCA-4FC1-AC18-424D4A47E6BD}"/>
    <cellStyle name="Comma 3 2 2 2" xfId="22" xr:uid="{54FBBDEB-A9EE-4007-B6DC-11ECBCB4D156}"/>
    <cellStyle name="Comma 4" xfId="17" xr:uid="{B22F4C4B-D367-4999-9837-42C824E166B2}"/>
    <cellStyle name="Comma 4 10" xfId="59" xr:uid="{F49291ED-4E59-4914-9CBF-746B0310DA7F}"/>
    <cellStyle name="Comma 4 11" xfId="63" xr:uid="{94086DC5-69FB-4334-972D-B7D3D3DB6326}"/>
    <cellStyle name="Comma 4 12" xfId="65" xr:uid="{B32F1321-D651-4B32-8655-5F95BA0EC7DB}"/>
    <cellStyle name="Comma 4 13" xfId="69" xr:uid="{F4F61E0A-09E2-43A0-9F83-5EE0BD13248A}"/>
    <cellStyle name="Comma 4 14" xfId="71" xr:uid="{07EC39E6-D2F1-4555-8500-9685B15EACC1}"/>
    <cellStyle name="Comma 4 15" xfId="75" xr:uid="{8214A860-E5E3-4566-BF55-58FC1BEC397B}"/>
    <cellStyle name="Comma 4 16" xfId="79" xr:uid="{6102C911-6ACB-48D0-82CB-0694F4A7AEE7}"/>
    <cellStyle name="Comma 4 17" xfId="83" xr:uid="{137C6A3A-75DD-476A-84D4-BA920EDDB442}"/>
    <cellStyle name="Comma 4 18" xfId="87" xr:uid="{DE81AB08-5449-4287-86E1-13C089C747DA}"/>
    <cellStyle name="Comma 4 19" xfId="91" xr:uid="{D9F4F9B8-6152-44C0-A3A0-BA52BB0C9DCD}"/>
    <cellStyle name="Comma 4 2" xfId="27" xr:uid="{FCC0AC82-62D1-416E-B84E-F02AB51226D7}"/>
    <cellStyle name="Comma 4 20" xfId="97" xr:uid="{5D05AF1F-B5EF-4829-B687-4034B62A8887}"/>
    <cellStyle name="Comma 4 20 2" xfId="99" xr:uid="{46CCB59A-1EE0-4268-A536-9FAF854CD7A0}"/>
    <cellStyle name="Comma 4 20 2 10" xfId="172" xr:uid="{FB106D98-EA71-48EA-B884-A9A85845B8C5}"/>
    <cellStyle name="Comma 4 20 2 11" xfId="174" xr:uid="{A1FC6235-406F-4FE3-815A-A80A3F36FB54}"/>
    <cellStyle name="Comma 4 20 2 12" xfId="175" xr:uid="{370769F2-F320-4FBC-A3D6-67F863BDC8D3}"/>
    <cellStyle name="Comma 4 20 2 13" xfId="183" xr:uid="{C77AB0DA-1393-4ECE-8F2F-08C8DF7559BA}"/>
    <cellStyle name="Comma 4 20 2 2" xfId="104" xr:uid="{C205F0CF-D7F7-4C8A-9A5A-16F976404797}"/>
    <cellStyle name="Comma 4 20 2 3" xfId="108" xr:uid="{309825F8-78C4-4925-8308-305A88850159}"/>
    <cellStyle name="Comma 4 20 2 4" xfId="153" xr:uid="{ED153BAE-5868-44C7-A02F-4BA4533963A0}"/>
    <cellStyle name="Comma 4 20 2 5" xfId="156" xr:uid="{F690A2DF-340B-448A-A1F3-68CCB1B21947}"/>
    <cellStyle name="Comma 4 20 2 6" xfId="158" xr:uid="{98C994F7-E16C-4A02-BAA7-48FC2840A848}"/>
    <cellStyle name="Comma 4 20 2 7" xfId="160" xr:uid="{567510C5-C63C-4224-9A16-9349383792CB}"/>
    <cellStyle name="Comma 4 20 2 8" xfId="164" xr:uid="{57EF7F85-6976-4727-9F12-A8CA86304A5D}"/>
    <cellStyle name="Comma 4 20 2 9" xfId="168" xr:uid="{5741E4CD-B716-4684-A00E-0968BD6106D4}"/>
    <cellStyle name="Comma 4 20 3" xfId="102" xr:uid="{A45A602F-A682-41AE-B7AE-235A3C2AE47A}"/>
    <cellStyle name="Comma 4 20 3 2" xfId="114" xr:uid="{9ACF0E79-8DD7-4CC4-BD84-B15E8F242DDE}"/>
    <cellStyle name="Comma 4 20 3 3" xfId="117" xr:uid="{006D71CB-1B6F-4C08-B471-B194FF650BF0}"/>
    <cellStyle name="Comma 4 20 3 3 2" xfId="120" xr:uid="{D07E5F5E-3F51-4909-8396-2B60491F9588}"/>
    <cellStyle name="Comma 4 20 3 3 2 2" xfId="122" xr:uid="{27369232-E753-413B-AD39-CBE1662C85D7}"/>
    <cellStyle name="Comma 4 20 3 3 2 2 2" xfId="140" xr:uid="{40234755-72EA-43F7-812D-964AF795E536}"/>
    <cellStyle name="Comma 4 20 3 3 2 2 3" xfId="144" xr:uid="{CEC12829-36F4-4F71-A022-8D31A278DFAB}"/>
    <cellStyle name="Comma 4 20 3 3 2 2 4" xfId="146" xr:uid="{C0D6BD3F-FA71-485A-A592-1BF6A87ED30A}"/>
    <cellStyle name="Comma 4 20 3 3 2 2 5" xfId="149" xr:uid="{064BE6D6-FF5C-4668-9D2B-7F6B3A014F4C}"/>
    <cellStyle name="Comma 4 20 3 3 2 3" xfId="125" xr:uid="{90C0C639-5595-4F47-BDFF-91E5CE8BF906}"/>
    <cellStyle name="Comma 4 20 3 3 2 4" xfId="128" xr:uid="{4E6CBFB6-C315-4F82-9687-E1111203A9E4}"/>
    <cellStyle name="Comma 4 20 3 3 2 5" xfId="131" xr:uid="{828E4207-2660-4D2D-94B0-E8EC296677CF}"/>
    <cellStyle name="Comma 4 20 3 3 2 6" xfId="136" xr:uid="{C335D9C8-BD00-44D1-8DF9-9EC478525970}"/>
    <cellStyle name="Comma 4 20 4" xfId="107" xr:uid="{65B4EF12-9349-4FF0-89E9-1BFDD1082499}"/>
    <cellStyle name="Comma 4 20 5" xfId="112" xr:uid="{C67B1AC8-F5B4-40DC-96E9-0B4A916192F3}"/>
    <cellStyle name="Comma 4 3" xfId="41" xr:uid="{76842133-BE8A-44CD-B2C1-67608D53630E}"/>
    <cellStyle name="Comma 4 4" xfId="43" xr:uid="{D50C814B-773D-49F3-8E69-A55466B8EFF8}"/>
    <cellStyle name="Comma 4 5" xfId="47" xr:uid="{6CCF1736-274D-45E3-ACA9-7D5A5902FB0B}"/>
    <cellStyle name="Comma 4 6" xfId="49" xr:uid="{2DEFFA4B-CD1A-4A23-A59B-DE871F14BE74}"/>
    <cellStyle name="Comma 4 7" xfId="51" xr:uid="{D3C7AEC8-6B64-4A82-B148-B74AC9A4E8A7}"/>
    <cellStyle name="Comma 4 8" xfId="53" xr:uid="{527E721C-76ED-4BBC-AA1B-56F87AADC1A1}"/>
    <cellStyle name="Comma 4 9" xfId="55" xr:uid="{EDECA1BC-0017-42F3-B8C8-248F9A7AB0B3}"/>
    <cellStyle name="Comma 5" xfId="29" xr:uid="{6EBF988B-FBC3-4102-9987-33D2A688FD27}"/>
    <cellStyle name="Comma 6" xfId="33" xr:uid="{012DE349-84E1-43EA-B0AB-E4EB61EEA771}"/>
    <cellStyle name="Hyperlink" xfId="180" builtinId="8"/>
    <cellStyle name="Normal" xfId="0" builtinId="0"/>
    <cellStyle name="Normal 148" xfId="4" xr:uid="{59EF4C59-55BC-428B-A9C7-725A9D8B46FF}"/>
    <cellStyle name="Normal 153" xfId="1" xr:uid="{2D94CA1F-8479-44A1-8DAE-DF973EB1B23D}"/>
    <cellStyle name="Normal 153 2" xfId="2" xr:uid="{77FDE893-DBDC-4882-A275-D8C1DEF94EE5}"/>
    <cellStyle name="Normal 2" xfId="3" xr:uid="{1BB99BC3-4F93-42F6-9257-EFAFE4CB2F1F}"/>
    <cellStyle name="Normal 2 2" xfId="6" xr:uid="{90C68F75-FE57-46B7-AFEC-F1E18098939D}"/>
    <cellStyle name="Normal 2 2 2" xfId="10" xr:uid="{A281E28A-BF46-4B3D-BD6A-D43AB604694E}"/>
    <cellStyle name="Normal 2 2 2 2" xfId="16" xr:uid="{7DB22AC1-5003-4360-AEC6-FC9D81AA20C0}"/>
    <cellStyle name="Normal 2 2 2 2 10" xfId="58" xr:uid="{2F0D40B3-1B56-4F20-A3AA-EB06AA7E3586}"/>
    <cellStyle name="Normal 2 2 2 2 11" xfId="62" xr:uid="{9731CE88-FB17-488B-9BA0-E60A6760E44E}"/>
    <cellStyle name="Normal 2 2 2 2 12" xfId="64" xr:uid="{3B92D980-EAA7-46C3-99EB-E06D265D2FD5}"/>
    <cellStyle name="Normal 2 2 2 2 13" xfId="68" xr:uid="{470D4B56-17D8-42FB-ABF7-1349589B3DC2}"/>
    <cellStyle name="Normal 2 2 2 2 14" xfId="70" xr:uid="{D2D3B398-5FEE-4578-A2F3-CBEDDC4A7F25}"/>
    <cellStyle name="Normal 2 2 2 2 15" xfId="74" xr:uid="{847368CC-68AA-41C0-9603-362D09AFAF68}"/>
    <cellStyle name="Normal 2 2 2 2 16" xfId="78" xr:uid="{9E74F87A-5B0C-48F2-BE53-E96C1334B220}"/>
    <cellStyle name="Normal 2 2 2 2 17" xfId="82" xr:uid="{13FFF053-3193-471C-8265-978772571F1D}"/>
    <cellStyle name="Normal 2 2 2 2 18" xfId="86" xr:uid="{55C8E7B8-604A-4DFE-ADBD-8A81EF465143}"/>
    <cellStyle name="Normal 2 2 2 2 19" xfId="90" xr:uid="{457BFE7B-6AF7-49F0-B97B-650154E907B6}"/>
    <cellStyle name="Normal 2 2 2 2 2" xfId="20" xr:uid="{E6CB7C40-6974-456A-8416-F881E40EFC78}"/>
    <cellStyle name="Normal 2 2 2 2 2 10" xfId="80" xr:uid="{F66FFE96-3C5D-4EB7-A070-237A0B949270}"/>
    <cellStyle name="Normal 2 2 2 2 2 11" xfId="84" xr:uid="{B5B55DCA-BE8D-44DA-8C03-60D2A503D772}"/>
    <cellStyle name="Normal 2 2 2 2 2 12" xfId="88" xr:uid="{BF8E4196-309C-4DF6-9CE4-FAEB79CF7FD1}"/>
    <cellStyle name="Normal 2 2 2 2 2 13" xfId="92" xr:uid="{1F297B33-F431-41EE-8B83-C54302E8436F}"/>
    <cellStyle name="Normal 2 2 2 2 2 14" xfId="94" xr:uid="{DBC1F065-A642-4917-A170-BD670BF5D594}"/>
    <cellStyle name="Normal 2 2 2 2 2 14 2" xfId="98" xr:uid="{87C85A84-76C8-4A97-B35B-FEC427CD6112}"/>
    <cellStyle name="Normal 2 2 2 2 2 14 2 10" xfId="173" xr:uid="{C34884E1-5B9D-4F04-BA85-DAE058DDC9E3}"/>
    <cellStyle name="Normal 2 2 2 2 2 14 2 11" xfId="176" xr:uid="{DCF4A055-3B35-44A8-BC0B-9B60FED82E5B}"/>
    <cellStyle name="Normal 2 2 2 2 2 14 2 12" xfId="182" xr:uid="{428D70A6-AD94-4267-A161-7B029201EE61}"/>
    <cellStyle name="Normal 2 2 2 2 2 14 2 2" xfId="103" xr:uid="{9DF71C3B-A9D7-407E-9774-05F7BF4A5C3C}"/>
    <cellStyle name="Normal 2 2 2 2 2 14 2 3" xfId="152" xr:uid="{A19199FB-45B4-49F0-B3CA-F69A5C4D9242}"/>
    <cellStyle name="Normal 2 2 2 2 2 14 2 4" xfId="155" xr:uid="{6398A452-B2E3-4774-B7F2-FED15C484E79}"/>
    <cellStyle name="Normal 2 2 2 2 2 14 2 5" xfId="157" xr:uid="{2C1E0D6E-1AC4-4D86-9D7E-40D561BE7EEA}"/>
    <cellStyle name="Normal 2 2 2 2 2 14 2 6" xfId="159" xr:uid="{EB7CD2FF-9133-49F9-9AE1-579EFCCE67AE}"/>
    <cellStyle name="Normal 2 2 2 2 2 14 2 7" xfId="163" xr:uid="{B40D8CCB-8385-4E0E-BD24-0EBCE112E09D}"/>
    <cellStyle name="Normal 2 2 2 2 2 14 2 8" xfId="167" xr:uid="{8C78F649-B4CC-4417-817D-52FAF767E218}"/>
    <cellStyle name="Normal 2 2 2 2 2 14 2 9" xfId="171" xr:uid="{4CD389DA-ABAC-4225-AA1F-D17A97824052}"/>
    <cellStyle name="Normal 2 2 2 2 2 15" xfId="100" xr:uid="{0A63F6C8-5BF2-4390-AFD0-135CAC20CBF1}"/>
    <cellStyle name="Normal 2 2 2 2 2 16" xfId="105" xr:uid="{E09F41EE-5A04-4CE5-8C79-36BE6022B50B}"/>
    <cellStyle name="Normal 2 2 2 2 2 17" xfId="110" xr:uid="{77EE3D80-FC81-4071-972B-DD0007EE9120}"/>
    <cellStyle name="Normal 2 2 2 2 2 18" xfId="113" xr:uid="{12D8EDD1-D231-4B5C-9EC0-D9A99AFCEBE3}"/>
    <cellStyle name="Normal 2 2 2 2 2 19" xfId="116" xr:uid="{2EACF717-645C-4DF4-B0D6-756CB6F9EF85}"/>
    <cellStyle name="Normal 2 2 2 2 2 19 2" xfId="119" xr:uid="{DCA46D92-A67B-4460-82DD-B932E738692D}"/>
    <cellStyle name="Normal 2 2 2 2 2 19 2 2" xfId="123" xr:uid="{DE135E61-3777-4002-BBDD-3F0AC99D2592}"/>
    <cellStyle name="Normal 2 2 2 2 2 19 2 2 2" xfId="139" xr:uid="{53556E85-4497-4E04-85E4-246A92181DF1}"/>
    <cellStyle name="Normal 2 2 2 2 2 19 2 2 3" xfId="143" xr:uid="{3B77D7E3-A306-4B4B-B4E3-FD58F807B7A5}"/>
    <cellStyle name="Normal 2 2 2 2 2 19 2 2 4" xfId="145" xr:uid="{39F8AF28-2C6F-4D2F-A4EA-315A449AE2F5}"/>
    <cellStyle name="Normal 2 2 2 2 2 19 2 2 5" xfId="148" xr:uid="{2DB445CC-C1AB-4FFD-8DE9-D76CB9D3CAE4}"/>
    <cellStyle name="Normal 2 2 2 2 2 19 2 3" xfId="126" xr:uid="{EC124601-B006-421C-86E4-DB49540F0D93}"/>
    <cellStyle name="Normal 2 2 2 2 2 19 2 4" xfId="127" xr:uid="{9EAE339A-A213-46C7-9236-7B790883C557}"/>
    <cellStyle name="Normal 2 2 2 2 2 19 2 5" xfId="130" xr:uid="{59688349-258A-47A3-89C6-D1439E2066C0}"/>
    <cellStyle name="Normal 2 2 2 2 2 19 2 6" xfId="135" xr:uid="{48A0AB64-44EA-47F1-AAEA-EB4014F3E37A}"/>
    <cellStyle name="Normal 2 2 2 2 2 2" xfId="32" xr:uid="{1197FA3F-BF4F-4700-B010-C379941CCDAF}"/>
    <cellStyle name="Normal 2 2 2 2 2 20" xfId="133" xr:uid="{80052288-1E82-4E7B-9574-79C32C4900A9}"/>
    <cellStyle name="Normal 2 2 2 2 2 21" xfId="137" xr:uid="{69C5F400-3E41-4A3D-829E-08ADD70BE143}"/>
    <cellStyle name="Normal 2 2 2 2 2 22" xfId="141" xr:uid="{4B259686-8F74-4E30-8605-1043B5881232}"/>
    <cellStyle name="Normal 2 2 2 2 2 23" xfId="150" xr:uid="{57E9C4BE-78BD-410F-A260-2763A3EAA72F}"/>
    <cellStyle name="Normal 2 2 2 2 2 24" xfId="161" xr:uid="{B87C3B6C-29B8-4672-AFAF-50D19E6DA66A}"/>
    <cellStyle name="Normal 2 2 2 2 2 25" xfId="165" xr:uid="{EA2E5100-32AB-4CDE-96D0-83A321BDBCB7}"/>
    <cellStyle name="Normal 2 2 2 2 2 26" xfId="169" xr:uid="{3A95B1F1-2820-4D8C-AC4F-67219B29AB9B}"/>
    <cellStyle name="Normal 2 2 2 2 2 27" xfId="178" xr:uid="{3EFD0440-26EF-4D39-AC7E-5055AAF689BB}"/>
    <cellStyle name="Normal 2 2 2 2 2 3" xfId="37" xr:uid="{23086BF0-9E15-4AFD-8298-5C0445D9106D}"/>
    <cellStyle name="Normal 2 2 2 2 2 4" xfId="44" xr:uid="{A3148C77-FA4C-428C-8107-8F1F51956465}"/>
    <cellStyle name="Normal 2 2 2 2 2 5" xfId="56" xr:uid="{A56627D3-F7DA-4241-8447-5AC0B55D52E3}"/>
    <cellStyle name="Normal 2 2 2 2 2 6" xfId="60" xr:uid="{0BB0D8D1-A510-4AB4-916C-8C7EED0E21B2}"/>
    <cellStyle name="Normal 2 2 2 2 2 7" xfId="66" xr:uid="{D52154A4-1A74-4CA8-A0A0-5C192398D4BF}"/>
    <cellStyle name="Normal 2 2 2 2 2 8" xfId="72" xr:uid="{21305329-5ADD-467F-B494-8CD5AE13B17A}"/>
    <cellStyle name="Normal 2 2 2 2 2 9" xfId="76" xr:uid="{5B562FA0-C0D5-49D8-B482-DC178A8FE703}"/>
    <cellStyle name="Normal 2 2 2 2 20" xfId="109" xr:uid="{7127331A-80A1-4BF9-A4E0-EC0523B2B670}"/>
    <cellStyle name="Normal 2 2 2 2 3" xfId="40" xr:uid="{80B7D699-E614-4E68-9511-DE0123419B3A}"/>
    <cellStyle name="Normal 2 2 2 2 4" xfId="42" xr:uid="{BC565435-48F3-4A3E-9C93-893B89B905F3}"/>
    <cellStyle name="Normal 2 2 2 2 5" xfId="46" xr:uid="{249ECC14-35D7-42D4-A8BD-9D57B4B0C22B}"/>
    <cellStyle name="Normal 2 2 2 2 6" xfId="48" xr:uid="{061436BD-E7EE-4D01-8321-CD062A194D24}"/>
    <cellStyle name="Normal 2 2 2 2 7" xfId="50" xr:uid="{7E66AB1A-4EC0-4038-8DE3-3C8D52B23DEA}"/>
    <cellStyle name="Normal 2 2 2 2 8" xfId="52" xr:uid="{5D03DA35-A948-48C7-964B-FA270259F1D0}"/>
    <cellStyle name="Normal 2 2 2 2 9" xfId="54" xr:uid="{B063A212-F519-4AB4-9211-4F84889ABE8E}"/>
    <cellStyle name="Normal 2 2 3" xfId="13" xr:uid="{0F31CA93-51D6-4E2A-A150-8D7A4575501C}"/>
    <cellStyle name="Normal 2 3" xfId="30" xr:uid="{95E4E46D-11E5-4342-9402-26EBCCAD7CFE}"/>
    <cellStyle name="Normal 2 4" xfId="35" xr:uid="{1300D7B1-1A4A-4AB2-9C60-3061A0AE6447}"/>
    <cellStyle name="Normal 2 5" xfId="39" xr:uid="{E99824E4-3B91-4BEA-8960-CD675DC6BF30}"/>
    <cellStyle name="Normal 3" xfId="8" xr:uid="{BF0954ED-9618-4939-802F-4313CEFF363A}"/>
    <cellStyle name="Normal 3 2" xfId="12" xr:uid="{024F0E83-14B8-40A1-82F4-E6A61141AFFD}"/>
    <cellStyle name="Normal 4" xfId="9" xr:uid="{2B8C8CD6-CE95-4F2E-8435-0EA14EC2F6BF}"/>
    <cellStyle name="Normal 4 2" xfId="15" xr:uid="{70F5E821-71B0-4021-88C9-DAC616960B0F}"/>
    <cellStyle name="Normal 5" xfId="14" xr:uid="{3CCFA678-76F5-498F-8E06-BD21A725C7CB}"/>
    <cellStyle name="Normal 5 2" xfId="181" xr:uid="{3BC96DDA-61C5-45ED-80DE-81993B721539}"/>
    <cellStyle name="Normal 6" xfId="24" xr:uid="{79664945-E53A-4B30-9386-ECF9E1BCEF63}"/>
    <cellStyle name="Normal 7" xfId="25" xr:uid="{C4D44B74-917C-421C-B916-D7D5F3941CC0}"/>
    <cellStyle name="Normal 8" xfId="28" xr:uid="{DF56A550-372E-4B48-8286-9DC780FC6520}"/>
    <cellStyle name="Percent 2" xfId="23" xr:uid="{A8D49C7C-72EB-405C-AF6F-48C8FB6B52FD}"/>
    <cellStyle name="Percent 2 10" xfId="81" xr:uid="{CCE4E0E0-4EA9-49F0-85B0-3A02FE18776A}"/>
    <cellStyle name="Percent 2 11" xfId="85" xr:uid="{831AD568-B905-4FC2-A5CA-1D94DC6418ED}"/>
    <cellStyle name="Percent 2 12" xfId="89" xr:uid="{38C6AF97-C465-40C4-98C1-9CEE829AB947}"/>
    <cellStyle name="Percent 2 13" xfId="93" xr:uid="{E8B853AA-BC4B-42C3-9B56-EBF7646C56F6}"/>
    <cellStyle name="Percent 2 14" xfId="95" xr:uid="{B866174B-7EC4-4C3E-87E0-B82596DA12F5}"/>
    <cellStyle name="Percent 2 15" xfId="101" xr:uid="{BFFC86A4-E687-4948-AB28-62E7722D020A}"/>
    <cellStyle name="Percent 2 16" xfId="106" xr:uid="{7DFCC93A-372A-450F-82C6-61B6B40EC16C}"/>
    <cellStyle name="Percent 2 17" xfId="111" xr:uid="{7F4422E1-1107-40DC-A1CD-E5314E543046}"/>
    <cellStyle name="Percent 2 18" xfId="115" xr:uid="{18D53AA4-F8B6-44B8-AAC3-D12E9E22CC20}"/>
    <cellStyle name="Percent 2 19" xfId="118" xr:uid="{6BEF71AC-89B1-46D5-8C5F-BCB71BB4314D}"/>
    <cellStyle name="Percent 2 2" xfId="34" xr:uid="{1D0C1C3D-2396-4061-8FE2-776E959ECA96}"/>
    <cellStyle name="Percent 2 20" xfId="121" xr:uid="{94D5F04F-D11C-4D4A-BE25-D0300AC1E117}"/>
    <cellStyle name="Percent 2 21" xfId="124" xr:uid="{3137EBEE-33FB-46D6-854B-6671F4FC3FEA}"/>
    <cellStyle name="Percent 2 22" xfId="129" xr:uid="{EDBDF2BF-FBB1-4FB7-A0F0-E87EE3669630}"/>
    <cellStyle name="Percent 2 23" xfId="132" xr:uid="{92231885-1B0E-49F8-89E0-76FD3BDF0619}"/>
    <cellStyle name="Percent 2 24" xfId="134" xr:uid="{A161A63C-6FCB-4DDA-94DE-11C87C4ABF76}"/>
    <cellStyle name="Percent 2 25" xfId="138" xr:uid="{CF324CC7-FBAD-49A1-B6FE-DC102116C56C}"/>
    <cellStyle name="Percent 2 26" xfId="142" xr:uid="{EA07C3A0-37CE-45C3-82B1-350B88984F7E}"/>
    <cellStyle name="Percent 2 27" xfId="147" xr:uid="{79026A05-B17F-466C-AE2F-847918C81104}"/>
    <cellStyle name="Percent 2 28" xfId="151" xr:uid="{ACC7A233-FECC-41F0-B135-8715C8A277C6}"/>
    <cellStyle name="Percent 2 29" xfId="154" xr:uid="{6BF91BBA-BFC5-4FA3-B296-4206F057E590}"/>
    <cellStyle name="Percent 2 3" xfId="38" xr:uid="{44EF7A40-5146-45F5-A86B-2F0C0D922183}"/>
    <cellStyle name="Percent 2 30" xfId="162" xr:uid="{5858031C-8494-44D8-B744-B23ADB22DAB9}"/>
    <cellStyle name="Percent 2 31" xfId="166" xr:uid="{E9200617-2B5A-4FC3-8FB3-5C7D9F1E11C1}"/>
    <cellStyle name="Percent 2 32" xfId="170" xr:uid="{3E325869-55A0-4E7B-A9EC-755E63CE37C7}"/>
    <cellStyle name="Percent 2 33" xfId="179" xr:uid="{19B9A5D4-FEE6-4FC5-A614-DFB64AB68CDF}"/>
    <cellStyle name="Percent 2 34" xfId="184" xr:uid="{C69A707A-15F2-4C81-9CDD-277892D46AC5}"/>
    <cellStyle name="Percent 2 4" xfId="45" xr:uid="{1D9472FC-F69E-45EB-84ED-2F2473727A96}"/>
    <cellStyle name="Percent 2 5" xfId="57" xr:uid="{9205B7B0-511A-4C89-A11E-5E59992683E9}"/>
    <cellStyle name="Percent 2 6" xfId="61" xr:uid="{C631D460-40C4-41CF-83A0-77F50F708767}"/>
    <cellStyle name="Percent 2 7" xfId="67" xr:uid="{F374BA96-A90E-4DDC-B13D-4EEC34C5A729}"/>
    <cellStyle name="Percent 2 8" xfId="73" xr:uid="{390D703F-ACB4-44E9-904E-6852ECE10C2D}"/>
    <cellStyle name="Percent 2 9" xfId="77" xr:uid="{F7F8CA10-EE08-4649-ADB1-E55B8098B9E9}"/>
  </cellStyles>
  <dxfs count="2">
    <dxf>
      <font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035657236101573E-2"/>
          <c:y val="6.0348656804560516E-2"/>
          <c:w val="0.93494242022185192"/>
          <c:h val="0.6927854869612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'KPI-(ข้อ1)'!$A$13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'KPI-(ข้อ1)'!$C$8:$N$8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'KPI-(ข้อ1)'!$C$13:$N$13</c:f>
              <c:numCache>
                <c:formatCode>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A1-4D02-9864-CCF992BC3315}"/>
            </c:ext>
          </c:extLst>
        </c:ser>
        <c:ser>
          <c:idx val="1"/>
          <c:order val="1"/>
          <c:tx>
            <c:strRef>
              <c:f>'KPI-(ข้อ1)'!$A$14</c:f>
              <c:strCache>
                <c:ptCount val="1"/>
                <c:pt idx="0">
                  <c:v>ผลการประเมิน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'KPI-(ข้อ1)'!$C$8:$N$8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'KPI-(ข้อ1)'!$C$14:$N$14</c:f>
              <c:numCache>
                <c:formatCode>0.00%</c:formatCode>
                <c:ptCount val="12"/>
                <c:pt idx="0">
                  <c:v>0.93220000000000003</c:v>
                </c:pt>
                <c:pt idx="1">
                  <c:v>0.90090000000000003</c:v>
                </c:pt>
                <c:pt idx="2">
                  <c:v>0.90310000000000001</c:v>
                </c:pt>
                <c:pt idx="3">
                  <c:v>0.92549999999999999</c:v>
                </c:pt>
                <c:pt idx="4">
                  <c:v>0.96919999999999995</c:v>
                </c:pt>
                <c:pt idx="5">
                  <c:v>0.96120000000000005</c:v>
                </c:pt>
                <c:pt idx="6">
                  <c:v>0.9385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1-4D02-9864-CCF992BC3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872240"/>
        <c:axId val="1861872800"/>
      </c:barChart>
      <c:catAx>
        <c:axId val="186187224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1872800"/>
        <c:crosses val="autoZero"/>
        <c:auto val="1"/>
        <c:lblAlgn val="ctr"/>
        <c:lblOffset val="100"/>
        <c:noMultiLvlLbl val="0"/>
      </c:catAx>
      <c:valAx>
        <c:axId val="1861872800"/>
        <c:scaling>
          <c:orientation val="minMax"/>
        </c:scaling>
        <c:delete val="0"/>
        <c:axPos val="l"/>
        <c:title>
          <c:overlay val="0"/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18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8790247589028E-2"/>
          <c:y val="0.11911337808184032"/>
          <c:w val="0.93494242022185192"/>
          <c:h val="0.6927854869612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'KPI-(ข้อ2)'!$A$13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'KPI-(ข้อ2)'!$C$8:$N$8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'KPI-(ข้อ2)'!$C$13:$N$13</c:f>
              <c:numCache>
                <c:formatCode>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E092-4597-ACE0-BD107A6DBAF2}"/>
            </c:ext>
          </c:extLst>
        </c:ser>
        <c:ser>
          <c:idx val="1"/>
          <c:order val="1"/>
          <c:tx>
            <c:strRef>
              <c:f>'KPI-(ข้อ2)'!$A$14</c:f>
              <c:strCache>
                <c:ptCount val="1"/>
                <c:pt idx="0">
                  <c:v>ผลการประเมิน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'KPI-(ข้อ2)'!$C$8:$N$8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'KPI-(ข้อ2)'!$C$14:$N$14</c:f>
              <c:numCache>
                <c:formatCode>0.00%</c:formatCode>
                <c:ptCount val="12"/>
                <c:pt idx="0">
                  <c:v>6.3299999999999995E-2</c:v>
                </c:pt>
                <c:pt idx="1">
                  <c:v>6.7400000000000002E-2</c:v>
                </c:pt>
                <c:pt idx="2">
                  <c:v>9.8599999999999993E-2</c:v>
                </c:pt>
                <c:pt idx="3">
                  <c:v>0.52100000000000002</c:v>
                </c:pt>
                <c:pt idx="4">
                  <c:v>0.1588</c:v>
                </c:pt>
                <c:pt idx="5">
                  <c:v>7.3599999999999999E-2</c:v>
                </c:pt>
                <c:pt idx="6">
                  <c:v>0.124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2-4597-ACE0-BD107A6DB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872240"/>
        <c:axId val="1861872800"/>
      </c:barChart>
      <c:catAx>
        <c:axId val="186187224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1872800"/>
        <c:crosses val="autoZero"/>
        <c:auto val="1"/>
        <c:lblAlgn val="ctr"/>
        <c:lblOffset val="100"/>
        <c:noMultiLvlLbl val="0"/>
      </c:catAx>
      <c:valAx>
        <c:axId val="1861872800"/>
        <c:scaling>
          <c:orientation val="minMax"/>
        </c:scaling>
        <c:delete val="0"/>
        <c:axPos val="l"/>
        <c:title>
          <c:overlay val="0"/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18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872598</xdr:colOff>
      <xdr:row>16</xdr:row>
      <xdr:rowOff>298604</xdr:rowOff>
    </xdr:from>
    <xdr:to>
      <xdr:col>15</xdr:col>
      <xdr:colOff>611100</xdr:colOff>
      <xdr:row>26</xdr:row>
      <xdr:rowOff>13653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2603EC5-C1FD-4951-80FD-33F165DDB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21226</xdr:rowOff>
    </xdr:from>
    <xdr:to>
      <xdr:col>1</xdr:col>
      <xdr:colOff>1312028</xdr:colOff>
      <xdr:row>2</xdr:row>
      <xdr:rowOff>548911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45BA86F-AF44-45F7-9DB5-8CBDCCC8B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26"/>
          <a:ext cx="2188963" cy="10605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902546</xdr:colOff>
      <xdr:row>17</xdr:row>
      <xdr:rowOff>45996</xdr:rowOff>
    </xdr:from>
    <xdr:to>
      <xdr:col>15</xdr:col>
      <xdr:colOff>641048</xdr:colOff>
      <xdr:row>26</xdr:row>
      <xdr:rowOff>60402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3E8FD36-C333-4352-A618-8A93DAEB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264795</xdr:colOff>
      <xdr:row>0</xdr:row>
      <xdr:rowOff>55244</xdr:rowOff>
    </xdr:from>
    <xdr:to>
      <xdr:col>1</xdr:col>
      <xdr:colOff>1584443</xdr:colOff>
      <xdr:row>2</xdr:row>
      <xdr:rowOff>571499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2AC9F96-3A42-4C72-9C3F-64DDA5A1D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" y="55244"/>
          <a:ext cx="2188328" cy="10687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11179\c\DATA\Mpsmrp(banpoo)\MRPCK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ing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M\Desktop\FORCAST%20&#3626;&#3636;&#3609;&#3588;&#3657;&#3634;&#3612;&#3621;&#3636;&#3605;&#3611;&#3637;%2056\&#3648;&#3611;&#3657;&#3634;&#3612;&#3621;&#3636;&#3605;VENZ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19;&#3634;&#3618;&#3591;&#3634;&#3609;&#3611;&#3637;%202559\&#3649;&#3612;&#3609;&#3612;&#3621;&#3636;&#3605;&#3626;&#3636;&#3609;&#3588;&#3657;&#3634;%202016\1.&#3649;&#3612;&#3609;&#3612;&#3621;&#3636;&#3605;&#3626;&#3636;&#3609;&#3588;&#3657;&#3634;%20Jan%20'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Wolter\BOM%20Wolt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venz\Routh%20Cut%20BOM-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N%20GROUP\Planing\Team%20Data%20Sharing\k.&#3648;&#3629;&#3655;&#3617;&#3629;&#3619;\&#3649;&#3612;&#3609;&#3585;&#3634;&#3619;&#3651;&#3594;&#3657;&#3621;&#3623;&#3604;&#3607;&#3629;&#3591;&#3649;&#3604;&#3591;\2015\11.&#3621;&#3623;&#3604;&#3607;&#3629;&#3591;&#3649;&#3604;&#3591;%20Nov''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MRETURN2"/>
      <sheetName val="PRATRU"/>
      <sheetName val="imp_fan"/>
      <sheetName val="fr_inj+fan"/>
      <sheetName val="imp_inj  "/>
      <sheetName val="john"/>
      <sheetName val="fr_nut"/>
      <sheetName val="imp_comp "/>
      <sheetName val="fr_pipe"/>
      <sheetName val="imp_pipe"/>
      <sheetName val="bom"/>
      <sheetName val="imp_FCMSC"/>
      <sheetName val="fr_fan"/>
      <sheetName val="fr_other"/>
      <sheetName val="imp_FCAAT"/>
      <sheetName val="imp_stkm "/>
      <sheetName val="imp_other "/>
      <sheetName val="imp_Kobelco"/>
      <sheetName val="OAK"/>
      <sheetName val="bom_komatsu "/>
      <sheetName val="sup_komatsu"/>
      <sheetName val="imp_volvo"/>
      <sheetName val="others"/>
      <sheetName val="mazda"/>
      <sheetName val="t-rung"/>
      <sheetName val="msc"/>
      <sheetName val="List"/>
      <sheetName val="Data List"/>
      <sheetName val="BU"/>
      <sheetName val="อ้างอิง"/>
      <sheetName val="เหตุผ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ing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JEC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motor"/>
      <sheetName val="pump"/>
      <sheetName val="blower"/>
      <sheetName val="ยอดการใช้ ปี 56 ท่าไม้"/>
      <sheetName val="Description"/>
      <sheetName val="Diff."/>
      <sheetName val="Data"/>
      <sheetName val="Sheet2"/>
      <sheetName val="ELEC45-01"/>
      <sheetName val="2558"/>
      <sheetName val="MOTO"/>
      <sheetName val="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AA1001-2</v>
          </cell>
        </row>
        <row r="4">
          <cell r="B4" t="str">
            <v>AA1002</v>
          </cell>
        </row>
        <row r="5">
          <cell r="B5" t="str">
            <v>AA1002-1</v>
          </cell>
        </row>
        <row r="6">
          <cell r="B6" t="str">
            <v>AA1003</v>
          </cell>
        </row>
        <row r="7">
          <cell r="B7" t="str">
            <v>AA1004</v>
          </cell>
        </row>
        <row r="8">
          <cell r="B8" t="str">
            <v>AA1009</v>
          </cell>
        </row>
        <row r="9">
          <cell r="B9" t="str">
            <v>AA2001</v>
          </cell>
        </row>
        <row r="10">
          <cell r="B10" t="str">
            <v>AA2002</v>
          </cell>
        </row>
        <row r="11">
          <cell r="B11" t="str">
            <v>AA2003</v>
          </cell>
        </row>
        <row r="12">
          <cell r="B12" t="str">
            <v>AA2004</v>
          </cell>
        </row>
        <row r="13">
          <cell r="B13" t="str">
            <v>AA2005</v>
          </cell>
        </row>
        <row r="14">
          <cell r="B14" t="str">
            <v>AA2005-1</v>
          </cell>
        </row>
        <row r="15">
          <cell r="B15" t="str">
            <v>AA2005-3</v>
          </cell>
        </row>
        <row r="16">
          <cell r="B16" t="str">
            <v>AA2006</v>
          </cell>
        </row>
        <row r="17">
          <cell r="B17" t="str">
            <v>AA2007</v>
          </cell>
        </row>
        <row r="18">
          <cell r="B18" t="str">
            <v>AA2008</v>
          </cell>
        </row>
        <row r="19">
          <cell r="B19" t="str">
            <v>AA2008-3</v>
          </cell>
        </row>
        <row r="20">
          <cell r="B20" t="str">
            <v>AA2009</v>
          </cell>
        </row>
        <row r="21">
          <cell r="B21" t="str">
            <v>AA2009-2</v>
          </cell>
        </row>
        <row r="22">
          <cell r="B22" t="str">
            <v>AA2010</v>
          </cell>
        </row>
        <row r="23">
          <cell r="B23" t="str">
            <v>AA2013</v>
          </cell>
        </row>
        <row r="24">
          <cell r="B24" t="str">
            <v>AA2014</v>
          </cell>
        </row>
        <row r="25">
          <cell r="B25" t="str">
            <v>AA2015</v>
          </cell>
        </row>
        <row r="26">
          <cell r="B26" t="str">
            <v>AA2016</v>
          </cell>
        </row>
        <row r="27">
          <cell r="B27" t="str">
            <v>AA2101</v>
          </cell>
        </row>
        <row r="28">
          <cell r="B28" t="str">
            <v>AA2105</v>
          </cell>
        </row>
        <row r="29">
          <cell r="B29" t="str">
            <v>AA2106</v>
          </cell>
        </row>
        <row r="30">
          <cell r="B30" t="str">
            <v>AA2108</v>
          </cell>
        </row>
        <row r="31">
          <cell r="B31" t="str">
            <v>AA2109</v>
          </cell>
        </row>
        <row r="32">
          <cell r="B32" t="str">
            <v>AA2110</v>
          </cell>
        </row>
        <row r="33">
          <cell r="B33" t="str">
            <v>AA2112</v>
          </cell>
        </row>
        <row r="34">
          <cell r="B34" t="str">
            <v>AA2113</v>
          </cell>
        </row>
        <row r="35">
          <cell r="B35" t="str">
            <v>AA2115</v>
          </cell>
        </row>
        <row r="36">
          <cell r="B36" t="str">
            <v>AA2116</v>
          </cell>
        </row>
        <row r="37">
          <cell r="B37" t="str">
            <v>AA2117</v>
          </cell>
        </row>
        <row r="38">
          <cell r="B38" t="str">
            <v>AA2122</v>
          </cell>
        </row>
        <row r="39">
          <cell r="B39" t="str">
            <v>AA2124</v>
          </cell>
        </row>
        <row r="40">
          <cell r="B40" t="str">
            <v>AA2125</v>
          </cell>
        </row>
        <row r="41">
          <cell r="B41" t="str">
            <v>AA2126</v>
          </cell>
        </row>
        <row r="42">
          <cell r="B42" t="str">
            <v>AA2128</v>
          </cell>
        </row>
        <row r="43">
          <cell r="B43" t="str">
            <v>AA2129</v>
          </cell>
        </row>
        <row r="44">
          <cell r="B44" t="str">
            <v>AA2134</v>
          </cell>
        </row>
        <row r="45">
          <cell r="B45" t="str">
            <v>AA2137</v>
          </cell>
        </row>
        <row r="46">
          <cell r="B46" t="str">
            <v>AA2144</v>
          </cell>
        </row>
        <row r="47">
          <cell r="B47" t="str">
            <v>AA2146</v>
          </cell>
        </row>
        <row r="48">
          <cell r="B48" t="str">
            <v>AA2148</v>
          </cell>
        </row>
        <row r="49">
          <cell r="B49" t="str">
            <v>AA2152</v>
          </cell>
        </row>
        <row r="50">
          <cell r="B50" t="str">
            <v>AA2153</v>
          </cell>
        </row>
        <row r="51">
          <cell r="B51" t="str">
            <v>AA2206</v>
          </cell>
        </row>
        <row r="52">
          <cell r="B52" t="str">
            <v>AA2209</v>
          </cell>
        </row>
        <row r="53">
          <cell r="B53" t="str">
            <v>AA2301</v>
          </cell>
        </row>
        <row r="54">
          <cell r="B54" t="str">
            <v>AA2302</v>
          </cell>
        </row>
        <row r="55">
          <cell r="B55" t="str">
            <v>AA2303</v>
          </cell>
        </row>
        <row r="56">
          <cell r="B56" t="str">
            <v>AA2304</v>
          </cell>
        </row>
        <row r="57">
          <cell r="B57" t="str">
            <v>AA2305</v>
          </cell>
        </row>
        <row r="58">
          <cell r="B58" t="str">
            <v>AA3001</v>
          </cell>
        </row>
        <row r="59">
          <cell r="B59" t="str">
            <v>AA3002</v>
          </cell>
        </row>
        <row r="60">
          <cell r="B60" t="str">
            <v>AA3003</v>
          </cell>
        </row>
        <row r="61">
          <cell r="B61" t="str">
            <v>AA3005</v>
          </cell>
        </row>
        <row r="62">
          <cell r="B62" t="str">
            <v>AA3006</v>
          </cell>
        </row>
        <row r="63">
          <cell r="B63" t="str">
            <v>AA3007</v>
          </cell>
        </row>
        <row r="64">
          <cell r="B64" t="str">
            <v>AA3008</v>
          </cell>
        </row>
        <row r="65">
          <cell r="B65" t="str">
            <v>AA3012</v>
          </cell>
        </row>
        <row r="66">
          <cell r="B66" t="str">
            <v>AA3013</v>
          </cell>
        </row>
        <row r="67">
          <cell r="B67" t="str">
            <v>AA3015</v>
          </cell>
        </row>
        <row r="68">
          <cell r="B68" t="str">
            <v>AA3016</v>
          </cell>
        </row>
        <row r="69">
          <cell r="B69" t="str">
            <v>AA3018</v>
          </cell>
        </row>
        <row r="70">
          <cell r="B70" t="str">
            <v>AA3019</v>
          </cell>
        </row>
        <row r="71">
          <cell r="B71" t="str">
            <v>AA3021</v>
          </cell>
        </row>
        <row r="72">
          <cell r="B72" t="str">
            <v>AA3022</v>
          </cell>
        </row>
        <row r="73">
          <cell r="B73" t="str">
            <v>AA3022-2</v>
          </cell>
        </row>
        <row r="74">
          <cell r="B74" t="str">
            <v>AA3023</v>
          </cell>
        </row>
        <row r="75">
          <cell r="B75" t="str">
            <v>AA3025</v>
          </cell>
        </row>
        <row r="76">
          <cell r="B76" t="str">
            <v>AA3026</v>
          </cell>
        </row>
        <row r="77">
          <cell r="B77" t="str">
            <v>AA3029</v>
          </cell>
        </row>
        <row r="78">
          <cell r="B78" t="str">
            <v>AA3030</v>
          </cell>
        </row>
        <row r="79">
          <cell r="B79" t="str">
            <v>AA3031</v>
          </cell>
        </row>
        <row r="80">
          <cell r="B80" t="str">
            <v>AA3032</v>
          </cell>
        </row>
        <row r="81">
          <cell r="B81" t="str">
            <v>AA3033</v>
          </cell>
        </row>
        <row r="82">
          <cell r="B82" t="str">
            <v>AA3034</v>
          </cell>
        </row>
        <row r="83">
          <cell r="B83" t="str">
            <v>AA3035</v>
          </cell>
        </row>
        <row r="84">
          <cell r="B84" t="str">
            <v>AA3036</v>
          </cell>
        </row>
        <row r="85">
          <cell r="B85" t="str">
            <v>AA3037</v>
          </cell>
        </row>
        <row r="86">
          <cell r="B86" t="str">
            <v>AA3038</v>
          </cell>
        </row>
        <row r="87">
          <cell r="B87" t="str">
            <v>AA3039</v>
          </cell>
        </row>
        <row r="88">
          <cell r="B88" t="str">
            <v>AA3040</v>
          </cell>
        </row>
        <row r="89">
          <cell r="B89" t="str">
            <v>AA3043</v>
          </cell>
        </row>
        <row r="90">
          <cell r="B90" t="str">
            <v>AA3045</v>
          </cell>
        </row>
        <row r="91">
          <cell r="B91" t="str">
            <v>AA3047</v>
          </cell>
        </row>
        <row r="92">
          <cell r="B92" t="str">
            <v>AA3047-B</v>
          </cell>
        </row>
        <row r="93">
          <cell r="B93" t="str">
            <v>AA3049</v>
          </cell>
        </row>
        <row r="94">
          <cell r="B94" t="str">
            <v>AA3050</v>
          </cell>
        </row>
        <row r="95">
          <cell r="B95" t="str">
            <v>AA3051</v>
          </cell>
        </row>
        <row r="96">
          <cell r="B96" t="str">
            <v>AA3058</v>
          </cell>
        </row>
        <row r="97">
          <cell r="B97" t="str">
            <v>AA3060</v>
          </cell>
        </row>
        <row r="98">
          <cell r="B98" t="str">
            <v>AA3061</v>
          </cell>
        </row>
        <row r="99">
          <cell r="B99" t="str">
            <v>AA3066</v>
          </cell>
        </row>
        <row r="100">
          <cell r="B100" t="str">
            <v>AA3071</v>
          </cell>
        </row>
        <row r="101">
          <cell r="B101" t="str">
            <v>AA3072</v>
          </cell>
        </row>
        <row r="102">
          <cell r="B102" t="str">
            <v>AA3073</v>
          </cell>
        </row>
        <row r="103">
          <cell r="B103" t="str">
            <v>AA3074</v>
          </cell>
        </row>
        <row r="104">
          <cell r="B104" t="str">
            <v>AA3079</v>
          </cell>
        </row>
        <row r="105">
          <cell r="B105" t="str">
            <v>AA3080</v>
          </cell>
        </row>
        <row r="106">
          <cell r="B106" t="str">
            <v>AA3081</v>
          </cell>
        </row>
        <row r="107">
          <cell r="B107" t="str">
            <v>AA3082</v>
          </cell>
        </row>
        <row r="108">
          <cell r="B108" t="str">
            <v>AA3083</v>
          </cell>
        </row>
        <row r="109">
          <cell r="B109" t="str">
            <v>AA3089</v>
          </cell>
        </row>
        <row r="110">
          <cell r="B110" t="str">
            <v>AA3090</v>
          </cell>
        </row>
        <row r="111">
          <cell r="B111" t="str">
            <v>AA3091</v>
          </cell>
        </row>
        <row r="112">
          <cell r="B112" t="str">
            <v>AA3092</v>
          </cell>
        </row>
        <row r="113">
          <cell r="B113" t="str">
            <v>AA3094</v>
          </cell>
        </row>
        <row r="114">
          <cell r="B114" t="str">
            <v>AA3097</v>
          </cell>
        </row>
        <row r="115">
          <cell r="B115" t="str">
            <v>AA3098</v>
          </cell>
        </row>
        <row r="116">
          <cell r="B116" t="str">
            <v>AA3099</v>
          </cell>
        </row>
        <row r="117">
          <cell r="B117" t="str">
            <v>AA4002</v>
          </cell>
        </row>
        <row r="118">
          <cell r="B118" t="str">
            <v>AA4004</v>
          </cell>
        </row>
        <row r="119">
          <cell r="B119" t="str">
            <v>AA4005</v>
          </cell>
        </row>
        <row r="120">
          <cell r="B120" t="str">
            <v>AA4006</v>
          </cell>
        </row>
        <row r="121">
          <cell r="B121" t="str">
            <v>AA4007</v>
          </cell>
        </row>
        <row r="122">
          <cell r="B122" t="str">
            <v>AA4010</v>
          </cell>
        </row>
        <row r="123">
          <cell r="B123" t="str">
            <v>AA4011</v>
          </cell>
        </row>
        <row r="124">
          <cell r="B124" t="str">
            <v>AA4012</v>
          </cell>
        </row>
        <row r="125">
          <cell r="B125" t="str">
            <v>AA4013</v>
          </cell>
        </row>
        <row r="126">
          <cell r="B126" t="str">
            <v>AA4015</v>
          </cell>
        </row>
        <row r="127">
          <cell r="B127" t="str">
            <v>AA4016</v>
          </cell>
        </row>
        <row r="128">
          <cell r="B128" t="str">
            <v>AA4020</v>
          </cell>
        </row>
        <row r="129">
          <cell r="B129" t="str">
            <v>AA4021</v>
          </cell>
        </row>
        <row r="130">
          <cell r="B130" t="str">
            <v>AA4022</v>
          </cell>
        </row>
        <row r="131">
          <cell r="B131" t="str">
            <v>AA4023</v>
          </cell>
        </row>
        <row r="132">
          <cell r="B132" t="str">
            <v>AA4025</v>
          </cell>
        </row>
        <row r="133">
          <cell r="B133" t="str">
            <v>AA4026</v>
          </cell>
        </row>
        <row r="134">
          <cell r="B134" t="str">
            <v>AA4027</v>
          </cell>
        </row>
        <row r="135">
          <cell r="B135" t="str">
            <v>AA4028</v>
          </cell>
        </row>
        <row r="136">
          <cell r="B136" t="str">
            <v>AA4029</v>
          </cell>
        </row>
        <row r="137">
          <cell r="B137" t="str">
            <v>AA4030</v>
          </cell>
        </row>
        <row r="138">
          <cell r="B138" t="str">
            <v>AA4031</v>
          </cell>
        </row>
        <row r="139">
          <cell r="B139" t="str">
            <v>AA4032</v>
          </cell>
        </row>
        <row r="140">
          <cell r="B140" t="str">
            <v>AA4033</v>
          </cell>
        </row>
        <row r="141">
          <cell r="B141" t="str">
            <v>AA4034</v>
          </cell>
        </row>
        <row r="142">
          <cell r="B142" t="str">
            <v>AA4039</v>
          </cell>
        </row>
        <row r="143">
          <cell r="B143" t="str">
            <v>AA4042</v>
          </cell>
        </row>
        <row r="144">
          <cell r="B144" t="str">
            <v>AA4043</v>
          </cell>
        </row>
        <row r="145">
          <cell r="B145" t="str">
            <v>AA4101</v>
          </cell>
        </row>
        <row r="146">
          <cell r="B146" t="str">
            <v>AA5004</v>
          </cell>
        </row>
        <row r="147">
          <cell r="B147" t="str">
            <v>AA5008</v>
          </cell>
        </row>
        <row r="148">
          <cell r="B148" t="str">
            <v>AA5012</v>
          </cell>
        </row>
        <row r="149">
          <cell r="B149" t="str">
            <v>AA5023</v>
          </cell>
        </row>
        <row r="150">
          <cell r="B150" t="str">
            <v>AA6002</v>
          </cell>
        </row>
        <row r="151">
          <cell r="B151" t="str">
            <v>AA6014</v>
          </cell>
        </row>
        <row r="152">
          <cell r="B152" t="str">
            <v>AA6020</v>
          </cell>
        </row>
        <row r="153">
          <cell r="B153" t="str">
            <v>AA6022</v>
          </cell>
        </row>
        <row r="154">
          <cell r="B154" t="str">
            <v>AA7001</v>
          </cell>
        </row>
        <row r="155">
          <cell r="B155" t="str">
            <v>AA7002</v>
          </cell>
        </row>
        <row r="156">
          <cell r="B156" t="str">
            <v>AA7003</v>
          </cell>
        </row>
        <row r="157">
          <cell r="B157" t="str">
            <v>AA7005</v>
          </cell>
        </row>
        <row r="158">
          <cell r="B158" t="str">
            <v>AA7006</v>
          </cell>
        </row>
        <row r="159">
          <cell r="B159" t="str">
            <v>AA7007</v>
          </cell>
        </row>
        <row r="160">
          <cell r="B160" t="str">
            <v>AA7008</v>
          </cell>
        </row>
        <row r="161">
          <cell r="B161" t="str">
            <v>AA7011</v>
          </cell>
        </row>
        <row r="162">
          <cell r="B162" t="str">
            <v>AA7012</v>
          </cell>
        </row>
        <row r="163">
          <cell r="B163" t="str">
            <v>AA7013</v>
          </cell>
        </row>
        <row r="164">
          <cell r="B164" t="str">
            <v>AA7014</v>
          </cell>
        </row>
        <row r="165">
          <cell r="B165" t="str">
            <v>AA7015</v>
          </cell>
        </row>
        <row r="166">
          <cell r="B166" t="str">
            <v>AA7016</v>
          </cell>
        </row>
        <row r="167">
          <cell r="B167" t="str">
            <v>AA80003</v>
          </cell>
        </row>
        <row r="168">
          <cell r="B168" t="str">
            <v>AA80004</v>
          </cell>
        </row>
        <row r="169">
          <cell r="B169" t="str">
            <v>AA80005</v>
          </cell>
        </row>
        <row r="170">
          <cell r="B170" t="str">
            <v>AA80006</v>
          </cell>
        </row>
        <row r="171">
          <cell r="B171" t="str">
            <v>AA80007</v>
          </cell>
        </row>
        <row r="172">
          <cell r="B172" t="str">
            <v>AA80008</v>
          </cell>
        </row>
        <row r="173">
          <cell r="B173" t="str">
            <v>AA80009</v>
          </cell>
        </row>
        <row r="174">
          <cell r="B174" t="str">
            <v>AA80010</v>
          </cell>
        </row>
        <row r="175">
          <cell r="B175" t="str">
            <v>AA80011</v>
          </cell>
        </row>
        <row r="176">
          <cell r="B176" t="str">
            <v>AA80012</v>
          </cell>
        </row>
        <row r="177">
          <cell r="B177" t="str">
            <v>AA80013</v>
          </cell>
        </row>
        <row r="178">
          <cell r="B178" t="str">
            <v>AA80014</v>
          </cell>
        </row>
        <row r="179">
          <cell r="B179" t="str">
            <v>AA80015</v>
          </cell>
        </row>
        <row r="180">
          <cell r="B180" t="str">
            <v>AA80016</v>
          </cell>
        </row>
        <row r="181">
          <cell r="B181" t="str">
            <v>AA80017</v>
          </cell>
        </row>
        <row r="182">
          <cell r="B182" t="str">
            <v>AA80018</v>
          </cell>
        </row>
        <row r="183">
          <cell r="B183" t="str">
            <v>AA80019</v>
          </cell>
        </row>
        <row r="184">
          <cell r="B184" t="str">
            <v>AA80020</v>
          </cell>
        </row>
        <row r="185">
          <cell r="B185" t="str">
            <v>AA80021</v>
          </cell>
        </row>
        <row r="186">
          <cell r="B186" t="str">
            <v>AA80022</v>
          </cell>
        </row>
        <row r="187">
          <cell r="B187" t="str">
            <v>AA80023</v>
          </cell>
        </row>
        <row r="188">
          <cell r="B188" t="str">
            <v>AA80024</v>
          </cell>
        </row>
        <row r="189">
          <cell r="B189" t="str">
            <v>AA80025</v>
          </cell>
        </row>
        <row r="190">
          <cell r="B190" t="str">
            <v>AA80026</v>
          </cell>
        </row>
        <row r="191">
          <cell r="B191" t="str">
            <v>AA80027</v>
          </cell>
        </row>
        <row r="192">
          <cell r="B192" t="str">
            <v>AA80028</v>
          </cell>
        </row>
        <row r="193">
          <cell r="B193" t="str">
            <v>AA80029</v>
          </cell>
        </row>
        <row r="194">
          <cell r="B194" t="str">
            <v>AA80030</v>
          </cell>
        </row>
        <row r="195">
          <cell r="B195" t="str">
            <v>AA80031</v>
          </cell>
        </row>
        <row r="196">
          <cell r="B196" t="str">
            <v>AA80032</v>
          </cell>
        </row>
        <row r="197">
          <cell r="B197" t="str">
            <v>AA80033</v>
          </cell>
        </row>
        <row r="198">
          <cell r="B198" t="str">
            <v>AA80034</v>
          </cell>
        </row>
        <row r="199">
          <cell r="B199" t="str">
            <v>AA80035</v>
          </cell>
        </row>
        <row r="200">
          <cell r="B200" t="str">
            <v>AA80036</v>
          </cell>
        </row>
        <row r="201">
          <cell r="B201" t="str">
            <v>AA80037</v>
          </cell>
        </row>
        <row r="202">
          <cell r="B202" t="str">
            <v>AA80038</v>
          </cell>
        </row>
        <row r="203">
          <cell r="B203" t="str">
            <v>AA80039</v>
          </cell>
        </row>
        <row r="204">
          <cell r="B204" t="str">
            <v>AA80040</v>
          </cell>
        </row>
        <row r="205">
          <cell r="B205" t="str">
            <v>AA80041</v>
          </cell>
        </row>
        <row r="206">
          <cell r="B206" t="str">
            <v>AA80042</v>
          </cell>
        </row>
        <row r="207">
          <cell r="B207" t="str">
            <v>AA80043</v>
          </cell>
        </row>
        <row r="208">
          <cell r="B208" t="str">
            <v>AA80044</v>
          </cell>
        </row>
        <row r="209">
          <cell r="B209" t="str">
            <v>AA80045</v>
          </cell>
        </row>
        <row r="210">
          <cell r="B210" t="str">
            <v>AA80046</v>
          </cell>
        </row>
        <row r="211">
          <cell r="B211" t="str">
            <v>AA80047</v>
          </cell>
        </row>
        <row r="212">
          <cell r="B212" t="str">
            <v>AA80048</v>
          </cell>
        </row>
        <row r="213">
          <cell r="B213" t="str">
            <v>AA80049</v>
          </cell>
        </row>
        <row r="214">
          <cell r="B214" t="str">
            <v>AA80050</v>
          </cell>
        </row>
        <row r="215">
          <cell r="B215" t="str">
            <v>AA80051</v>
          </cell>
        </row>
        <row r="216">
          <cell r="B216" t="str">
            <v>AA80052</v>
          </cell>
        </row>
        <row r="217">
          <cell r="B217" t="str">
            <v>AA80053</v>
          </cell>
        </row>
        <row r="218">
          <cell r="B218" t="str">
            <v>AA80054</v>
          </cell>
        </row>
        <row r="219">
          <cell r="B219" t="str">
            <v>AA80055</v>
          </cell>
        </row>
        <row r="220">
          <cell r="B220" t="str">
            <v>AA80056</v>
          </cell>
        </row>
        <row r="221">
          <cell r="B221" t="str">
            <v>AA80057</v>
          </cell>
        </row>
        <row r="222">
          <cell r="B222" t="str">
            <v>AA80059</v>
          </cell>
        </row>
        <row r="223">
          <cell r="B223" t="str">
            <v>AA80060</v>
          </cell>
        </row>
        <row r="224">
          <cell r="B224" t="str">
            <v>AA80061</v>
          </cell>
        </row>
        <row r="225">
          <cell r="B225" t="str">
            <v>AA80062</v>
          </cell>
        </row>
        <row r="226">
          <cell r="B226" t="str">
            <v>AA80063</v>
          </cell>
        </row>
        <row r="227">
          <cell r="B227" t="str">
            <v>AA80064</v>
          </cell>
        </row>
        <row r="228">
          <cell r="B228" t="str">
            <v>AA80065</v>
          </cell>
        </row>
        <row r="229">
          <cell r="B229" t="str">
            <v>AA80066</v>
          </cell>
        </row>
        <row r="230">
          <cell r="B230" t="str">
            <v>AA80067</v>
          </cell>
        </row>
        <row r="231">
          <cell r="B231" t="str">
            <v>AA80068</v>
          </cell>
        </row>
        <row r="232">
          <cell r="B232" t="str">
            <v>AA80069</v>
          </cell>
        </row>
        <row r="233">
          <cell r="B233" t="str">
            <v>AA80070</v>
          </cell>
        </row>
        <row r="234">
          <cell r="B234" t="str">
            <v>AA80071</v>
          </cell>
        </row>
        <row r="235">
          <cell r="B235" t="str">
            <v>AA80074</v>
          </cell>
        </row>
        <row r="236">
          <cell r="B236" t="str">
            <v>AA80075</v>
          </cell>
        </row>
        <row r="237">
          <cell r="B237" t="str">
            <v>AA80076</v>
          </cell>
        </row>
        <row r="238">
          <cell r="B238" t="str">
            <v>AA80077</v>
          </cell>
        </row>
        <row r="239">
          <cell r="B239" t="str">
            <v>AA80078</v>
          </cell>
        </row>
        <row r="240">
          <cell r="B240" t="str">
            <v>AA80079</v>
          </cell>
        </row>
        <row r="241">
          <cell r="B241" t="str">
            <v>AA80080</v>
          </cell>
        </row>
        <row r="242">
          <cell r="B242" t="str">
            <v>AA80081</v>
          </cell>
        </row>
        <row r="243">
          <cell r="B243" t="str">
            <v>AA80082</v>
          </cell>
        </row>
        <row r="244">
          <cell r="B244" t="str">
            <v>AA80083</v>
          </cell>
        </row>
        <row r="245">
          <cell r="B245" t="str">
            <v>AA80084</v>
          </cell>
        </row>
        <row r="246">
          <cell r="B246" t="str">
            <v>AA80085</v>
          </cell>
        </row>
        <row r="247">
          <cell r="B247" t="str">
            <v>AA80086</v>
          </cell>
        </row>
        <row r="248">
          <cell r="B248" t="str">
            <v>AA9201</v>
          </cell>
        </row>
        <row r="249">
          <cell r="B249" t="str">
            <v>AA9202</v>
          </cell>
        </row>
        <row r="250">
          <cell r="B250" t="str">
            <v>AA9203</v>
          </cell>
        </row>
        <row r="251">
          <cell r="B251" t="str">
            <v>AA9204</v>
          </cell>
        </row>
        <row r="252">
          <cell r="B252" t="str">
            <v>AA9205</v>
          </cell>
        </row>
        <row r="253">
          <cell r="B253" t="str">
            <v>AA9206</v>
          </cell>
        </row>
        <row r="254">
          <cell r="B254" t="str">
            <v>AA9206-1</v>
          </cell>
        </row>
        <row r="255">
          <cell r="B255" t="str">
            <v>AA9207</v>
          </cell>
        </row>
        <row r="256">
          <cell r="B256" t="str">
            <v>AA9208</v>
          </cell>
        </row>
        <row r="257">
          <cell r="B257" t="str">
            <v>AA9209</v>
          </cell>
        </row>
        <row r="258">
          <cell r="B258" t="str">
            <v>AA9210</v>
          </cell>
        </row>
        <row r="259">
          <cell r="B259" t="str">
            <v>AA9211</v>
          </cell>
        </row>
        <row r="260">
          <cell r="B260" t="str">
            <v>AA9212</v>
          </cell>
        </row>
        <row r="261">
          <cell r="B261" t="str">
            <v>AA9213</v>
          </cell>
        </row>
        <row r="262">
          <cell r="B262" t="str">
            <v>AA9214</v>
          </cell>
        </row>
        <row r="263">
          <cell r="B263" t="str">
            <v>AA9215</v>
          </cell>
        </row>
        <row r="264">
          <cell r="B264" t="str">
            <v>AA9216</v>
          </cell>
        </row>
        <row r="265">
          <cell r="B265" t="str">
            <v>AA9217</v>
          </cell>
        </row>
        <row r="266">
          <cell r="B266" t="str">
            <v>AA9218</v>
          </cell>
        </row>
        <row r="267">
          <cell r="B267" t="str">
            <v>AA9219</v>
          </cell>
        </row>
        <row r="268">
          <cell r="B268" t="str">
            <v>AA9220</v>
          </cell>
        </row>
        <row r="269">
          <cell r="B269" t="str">
            <v>AA9221</v>
          </cell>
        </row>
        <row r="270">
          <cell r="B270" t="str">
            <v>AA9222</v>
          </cell>
        </row>
        <row r="271">
          <cell r="B271" t="str">
            <v>AA9223</v>
          </cell>
        </row>
        <row r="272">
          <cell r="B272" t="str">
            <v>AA9224</v>
          </cell>
        </row>
        <row r="273">
          <cell r="B273" t="str">
            <v>AA9225</v>
          </cell>
        </row>
        <row r="274">
          <cell r="B274" t="str">
            <v>AA9226</v>
          </cell>
        </row>
        <row r="275">
          <cell r="B275" t="str">
            <v>AA9301</v>
          </cell>
        </row>
        <row r="276">
          <cell r="B276" t="str">
            <v>AA9302</v>
          </cell>
        </row>
        <row r="277">
          <cell r="B277" t="str">
            <v>AA9303</v>
          </cell>
        </row>
        <row r="278">
          <cell r="B278" t="str">
            <v>AA9304</v>
          </cell>
        </row>
        <row r="279">
          <cell r="B279" t="str">
            <v>AA9304-1</v>
          </cell>
        </row>
        <row r="280">
          <cell r="B280" t="str">
            <v>AA9305</v>
          </cell>
        </row>
        <row r="281">
          <cell r="B281" t="str">
            <v>AA9306</v>
          </cell>
        </row>
        <row r="282">
          <cell r="B282" t="str">
            <v>AA9307</v>
          </cell>
        </row>
        <row r="283">
          <cell r="B283" t="str">
            <v>AA9311</v>
          </cell>
        </row>
        <row r="284">
          <cell r="B284" t="str">
            <v>AA9312</v>
          </cell>
        </row>
        <row r="285">
          <cell r="B285" t="str">
            <v>AA9313</v>
          </cell>
        </row>
        <row r="286">
          <cell r="B286" t="str">
            <v>AA9314</v>
          </cell>
        </row>
        <row r="287">
          <cell r="B287" t="str">
            <v>AA9314-1</v>
          </cell>
        </row>
        <row r="288">
          <cell r="B288" t="str">
            <v>AA9315</v>
          </cell>
        </row>
        <row r="289">
          <cell r="B289" t="str">
            <v>AA9316</v>
          </cell>
        </row>
        <row r="290">
          <cell r="B290" t="str">
            <v>AA9317</v>
          </cell>
        </row>
        <row r="291">
          <cell r="B291" t="str">
            <v>AA9318</v>
          </cell>
        </row>
        <row r="292">
          <cell r="B292" t="str">
            <v>AA9320</v>
          </cell>
        </row>
        <row r="293">
          <cell r="B293" t="str">
            <v>AA9321</v>
          </cell>
        </row>
        <row r="294">
          <cell r="B294" t="str">
            <v>AA9322</v>
          </cell>
        </row>
        <row r="295">
          <cell r="B295" t="str">
            <v>AA9323</v>
          </cell>
        </row>
        <row r="296">
          <cell r="B296" t="str">
            <v>AA9324</v>
          </cell>
        </row>
        <row r="297">
          <cell r="B297" t="str">
            <v>AA9325</v>
          </cell>
        </row>
        <row r="298">
          <cell r="B298" t="str">
            <v>AA9326</v>
          </cell>
        </row>
        <row r="299">
          <cell r="B299" t="str">
            <v>AA9327</v>
          </cell>
        </row>
        <row r="300">
          <cell r="B300" t="str">
            <v>AA9328</v>
          </cell>
        </row>
        <row r="301">
          <cell r="B301" t="str">
            <v>AA9329</v>
          </cell>
        </row>
        <row r="302">
          <cell r="B302" t="str">
            <v>AA9330</v>
          </cell>
        </row>
        <row r="303">
          <cell r="B303" t="str">
            <v>AA9331</v>
          </cell>
        </row>
        <row r="304">
          <cell r="B304" t="str">
            <v>AA9332</v>
          </cell>
        </row>
        <row r="305">
          <cell r="B305" t="str">
            <v>AA9333</v>
          </cell>
        </row>
        <row r="306">
          <cell r="B306" t="str">
            <v>AA9334</v>
          </cell>
        </row>
        <row r="307">
          <cell r="B307" t="str">
            <v>AA9335</v>
          </cell>
        </row>
        <row r="308">
          <cell r="B308" t="str">
            <v>AA9336</v>
          </cell>
        </row>
        <row r="309">
          <cell r="B309" t="str">
            <v>AA9401</v>
          </cell>
        </row>
        <row r="310">
          <cell r="B310" t="str">
            <v>AA9402</v>
          </cell>
        </row>
        <row r="311">
          <cell r="B311" t="str">
            <v>AA9403</v>
          </cell>
        </row>
        <row r="312">
          <cell r="B312" t="str">
            <v>AA9404</v>
          </cell>
        </row>
        <row r="313">
          <cell r="B313" t="str">
            <v>AA9412</v>
          </cell>
        </row>
        <row r="314">
          <cell r="B314" t="str">
            <v>AA9603</v>
          </cell>
        </row>
        <row r="315">
          <cell r="B315" t="str">
            <v>AJ0001</v>
          </cell>
        </row>
        <row r="316">
          <cell r="B316" t="str">
            <v>AJ0001-1</v>
          </cell>
        </row>
        <row r="317">
          <cell r="B317" t="str">
            <v>AJ0001-2</v>
          </cell>
        </row>
        <row r="318">
          <cell r="B318" t="str">
            <v>AJ0001-3</v>
          </cell>
        </row>
        <row r="319">
          <cell r="B319" t="str">
            <v>AJ0002</v>
          </cell>
        </row>
        <row r="320">
          <cell r="B320" t="str">
            <v>AJ0002-1</v>
          </cell>
        </row>
        <row r="321">
          <cell r="B321" t="str">
            <v>AJ0003</v>
          </cell>
        </row>
        <row r="322">
          <cell r="B322" t="str">
            <v>AJ0003-1</v>
          </cell>
        </row>
        <row r="323">
          <cell r="B323" t="str">
            <v>AJ0004</v>
          </cell>
        </row>
        <row r="324">
          <cell r="B324" t="str">
            <v>AJ0005</v>
          </cell>
        </row>
        <row r="325">
          <cell r="B325" t="str">
            <v>AJ0005-1</v>
          </cell>
        </row>
        <row r="326">
          <cell r="B326" t="str">
            <v>AJ0005-2</v>
          </cell>
        </row>
        <row r="327">
          <cell r="B327" t="str">
            <v>AJ0005-3</v>
          </cell>
        </row>
        <row r="328">
          <cell r="B328" t="str">
            <v>AJ0005-4</v>
          </cell>
        </row>
        <row r="329">
          <cell r="B329" t="str">
            <v>AJ0006</v>
          </cell>
        </row>
        <row r="330">
          <cell r="B330" t="str">
            <v>AJ0006-1</v>
          </cell>
        </row>
        <row r="331">
          <cell r="B331" t="str">
            <v>AJ0006-3</v>
          </cell>
        </row>
        <row r="332">
          <cell r="B332" t="str">
            <v>AJ0007</v>
          </cell>
        </row>
        <row r="333">
          <cell r="B333" t="str">
            <v>AJ0007-1</v>
          </cell>
        </row>
        <row r="334">
          <cell r="B334" t="str">
            <v>AJ0007-2</v>
          </cell>
        </row>
        <row r="335">
          <cell r="B335" t="str">
            <v>AJ0007-3</v>
          </cell>
        </row>
        <row r="336">
          <cell r="B336" t="str">
            <v>AJ0007-4</v>
          </cell>
        </row>
        <row r="337">
          <cell r="B337" t="str">
            <v>AJ0008</v>
          </cell>
        </row>
        <row r="338">
          <cell r="B338" t="str">
            <v>AJ0008-1</v>
          </cell>
        </row>
        <row r="339">
          <cell r="B339" t="str">
            <v>AJ0008-3</v>
          </cell>
        </row>
        <row r="340">
          <cell r="B340" t="str">
            <v>AJ0009</v>
          </cell>
        </row>
        <row r="341">
          <cell r="B341" t="str">
            <v>AJ0009-1</v>
          </cell>
        </row>
        <row r="342">
          <cell r="B342" t="str">
            <v>AJ0009-2</v>
          </cell>
        </row>
        <row r="343">
          <cell r="B343" t="str">
            <v>AJ0009-3</v>
          </cell>
        </row>
        <row r="344">
          <cell r="B344" t="str">
            <v>AJ0010</v>
          </cell>
        </row>
        <row r="345">
          <cell r="B345" t="str">
            <v>AJ0010-1</v>
          </cell>
        </row>
        <row r="346">
          <cell r="B346" t="str">
            <v>AJ0010-2</v>
          </cell>
        </row>
        <row r="347">
          <cell r="B347" t="str">
            <v>AJ0011</v>
          </cell>
        </row>
        <row r="348">
          <cell r="B348" t="str">
            <v>AJ0011-1</v>
          </cell>
        </row>
        <row r="349">
          <cell r="B349" t="str">
            <v>AJ0012</v>
          </cell>
        </row>
        <row r="350">
          <cell r="B350" t="str">
            <v>AJ0012-1</v>
          </cell>
        </row>
        <row r="351">
          <cell r="B351" t="str">
            <v>AJ0013</v>
          </cell>
        </row>
        <row r="352">
          <cell r="B352" t="str">
            <v>AJ0013-2</v>
          </cell>
        </row>
        <row r="353">
          <cell r="B353" t="str">
            <v>AJ0014</v>
          </cell>
        </row>
        <row r="354">
          <cell r="B354" t="str">
            <v>AJ0014-2</v>
          </cell>
        </row>
        <row r="355">
          <cell r="B355" t="str">
            <v>AJ0015</v>
          </cell>
        </row>
        <row r="356">
          <cell r="B356" t="str">
            <v>AJ0015-1</v>
          </cell>
        </row>
        <row r="357">
          <cell r="B357" t="str">
            <v>AJ0016</v>
          </cell>
        </row>
        <row r="358">
          <cell r="B358" t="str">
            <v>AJ0016-1</v>
          </cell>
        </row>
        <row r="359">
          <cell r="B359" t="str">
            <v>AJ0017</v>
          </cell>
        </row>
        <row r="360">
          <cell r="B360" t="str">
            <v>AJ0017-1</v>
          </cell>
        </row>
        <row r="361">
          <cell r="B361" t="str">
            <v>AJ0018</v>
          </cell>
        </row>
        <row r="362">
          <cell r="B362" t="str">
            <v>AJ0018-1</v>
          </cell>
        </row>
        <row r="363">
          <cell r="B363" t="str">
            <v>AJ0019</v>
          </cell>
        </row>
        <row r="364">
          <cell r="B364" t="str">
            <v>AJ0020</v>
          </cell>
        </row>
        <row r="365">
          <cell r="B365" t="str">
            <v>AJ0021</v>
          </cell>
        </row>
        <row r="366">
          <cell r="B366" t="str">
            <v>AJ0022</v>
          </cell>
        </row>
        <row r="367">
          <cell r="B367" t="str">
            <v>AJ0023</v>
          </cell>
        </row>
        <row r="368">
          <cell r="B368" t="str">
            <v>AJ0023-1</v>
          </cell>
        </row>
        <row r="369">
          <cell r="B369" t="str">
            <v>AJ0024</v>
          </cell>
        </row>
        <row r="370">
          <cell r="B370" t="str">
            <v>AJ0024-1</v>
          </cell>
        </row>
        <row r="371">
          <cell r="B371" t="str">
            <v>AJ0025</v>
          </cell>
        </row>
        <row r="372">
          <cell r="B372" t="str">
            <v>AJ0025-1</v>
          </cell>
        </row>
        <row r="373">
          <cell r="B373" t="str">
            <v>AJ0025-2</v>
          </cell>
        </row>
        <row r="374">
          <cell r="B374" t="str">
            <v>AJ0026</v>
          </cell>
        </row>
        <row r="375">
          <cell r="B375" t="str">
            <v>AJ0027</v>
          </cell>
        </row>
        <row r="376">
          <cell r="B376" t="str">
            <v>AJ0028</v>
          </cell>
        </row>
        <row r="377">
          <cell r="B377" t="str">
            <v>AJ0028-1</v>
          </cell>
        </row>
        <row r="378">
          <cell r="B378" t="str">
            <v>AJ0028-2</v>
          </cell>
        </row>
        <row r="379">
          <cell r="B379" t="str">
            <v>AJ0029</v>
          </cell>
        </row>
        <row r="380">
          <cell r="B380" t="str">
            <v>AJ0029-1</v>
          </cell>
        </row>
        <row r="381">
          <cell r="B381" t="str">
            <v>AJ0029-2</v>
          </cell>
        </row>
        <row r="382">
          <cell r="B382" t="str">
            <v>AJ0033</v>
          </cell>
        </row>
        <row r="383">
          <cell r="B383" t="str">
            <v>AJ0033-1</v>
          </cell>
        </row>
        <row r="384">
          <cell r="B384" t="str">
            <v>AJ0033-2</v>
          </cell>
        </row>
        <row r="385">
          <cell r="B385" t="str">
            <v>AJ0033-3</v>
          </cell>
        </row>
        <row r="386">
          <cell r="B386" t="str">
            <v>AJ0034</v>
          </cell>
        </row>
        <row r="387">
          <cell r="B387" t="str">
            <v>AJ0034-1</v>
          </cell>
        </row>
        <row r="388">
          <cell r="B388" t="str">
            <v>AJ0035</v>
          </cell>
        </row>
        <row r="389">
          <cell r="B389" t="str">
            <v>AJ0035-1</v>
          </cell>
        </row>
        <row r="390">
          <cell r="B390" t="str">
            <v>AJ0036</v>
          </cell>
        </row>
        <row r="391">
          <cell r="B391" t="str">
            <v>AJ0036-1</v>
          </cell>
        </row>
        <row r="392">
          <cell r="B392" t="str">
            <v>AJ0036-2</v>
          </cell>
        </row>
        <row r="393">
          <cell r="B393" t="str">
            <v>AJ0036-3</v>
          </cell>
        </row>
        <row r="394">
          <cell r="B394" t="str">
            <v>AJ0037</v>
          </cell>
        </row>
        <row r="395">
          <cell r="B395" t="str">
            <v>AJ0037-1</v>
          </cell>
        </row>
        <row r="396">
          <cell r="B396" t="str">
            <v>AJ0038</v>
          </cell>
        </row>
        <row r="397">
          <cell r="B397" t="str">
            <v>AJ0038-1</v>
          </cell>
        </row>
        <row r="398">
          <cell r="B398" t="str">
            <v>AJ0039</v>
          </cell>
        </row>
        <row r="399">
          <cell r="B399" t="str">
            <v>AJ0040</v>
          </cell>
        </row>
        <row r="400">
          <cell r="B400" t="str">
            <v>AJ0041</v>
          </cell>
        </row>
        <row r="401">
          <cell r="B401" t="str">
            <v>AJ0041-2</v>
          </cell>
        </row>
        <row r="402">
          <cell r="B402" t="str">
            <v>AJ0042</v>
          </cell>
        </row>
        <row r="403">
          <cell r="B403" t="str">
            <v>AJ0042-1</v>
          </cell>
        </row>
        <row r="404">
          <cell r="B404" t="str">
            <v>AJ0043</v>
          </cell>
        </row>
        <row r="405">
          <cell r="B405" t="str">
            <v>AJ0043-1</v>
          </cell>
        </row>
        <row r="406">
          <cell r="B406" t="str">
            <v>AJ0044</v>
          </cell>
        </row>
        <row r="407">
          <cell r="B407" t="str">
            <v>AJ0044-1</v>
          </cell>
        </row>
        <row r="408">
          <cell r="B408" t="str">
            <v>AJ0045</v>
          </cell>
        </row>
        <row r="409">
          <cell r="B409" t="str">
            <v>AJ0045-1</v>
          </cell>
        </row>
        <row r="410">
          <cell r="B410" t="str">
            <v>AJ0046</v>
          </cell>
        </row>
        <row r="411">
          <cell r="B411" t="str">
            <v>AJ0046-1</v>
          </cell>
        </row>
        <row r="412">
          <cell r="B412" t="str">
            <v>AJ0047</v>
          </cell>
        </row>
        <row r="413">
          <cell r="B413" t="str">
            <v>AJ0047-1</v>
          </cell>
        </row>
        <row r="414">
          <cell r="B414" t="str">
            <v>AJ0048</v>
          </cell>
        </row>
        <row r="415">
          <cell r="B415" t="str">
            <v>AJ0048-1</v>
          </cell>
        </row>
        <row r="416">
          <cell r="B416" t="str">
            <v>AJ0048-2</v>
          </cell>
        </row>
        <row r="417">
          <cell r="B417" t="str">
            <v>AJ0049</v>
          </cell>
        </row>
        <row r="418">
          <cell r="B418" t="str">
            <v>AJ0050</v>
          </cell>
        </row>
        <row r="419">
          <cell r="B419" t="str">
            <v>AJ0050-1</v>
          </cell>
        </row>
        <row r="420">
          <cell r="B420" t="str">
            <v>AJ0050-2</v>
          </cell>
        </row>
        <row r="421">
          <cell r="B421" t="str">
            <v>AJ0052</v>
          </cell>
        </row>
        <row r="422">
          <cell r="B422" t="str">
            <v>AJ0052-1</v>
          </cell>
        </row>
        <row r="423">
          <cell r="B423" t="str">
            <v>AJ0052-2</v>
          </cell>
        </row>
        <row r="424">
          <cell r="B424" t="str">
            <v>AJ0053</v>
          </cell>
        </row>
        <row r="425">
          <cell r="B425" t="str">
            <v>AJ0054</v>
          </cell>
        </row>
        <row r="426">
          <cell r="B426" t="str">
            <v>AJ0054-2</v>
          </cell>
        </row>
        <row r="427">
          <cell r="B427" t="str">
            <v>AJ0055</v>
          </cell>
        </row>
        <row r="428">
          <cell r="B428" t="str">
            <v>AJ0055-1</v>
          </cell>
        </row>
        <row r="429">
          <cell r="B429" t="str">
            <v>AJ0056</v>
          </cell>
        </row>
        <row r="430">
          <cell r="B430" t="str">
            <v>AJ0056-1</v>
          </cell>
        </row>
        <row r="431">
          <cell r="B431" t="str">
            <v>AJ0057</v>
          </cell>
        </row>
        <row r="432">
          <cell r="B432" t="str">
            <v>AJ0057-1</v>
          </cell>
        </row>
        <row r="433">
          <cell r="B433" t="str">
            <v>AJ0058</v>
          </cell>
        </row>
        <row r="434">
          <cell r="B434" t="str">
            <v>AJ0058-1</v>
          </cell>
        </row>
        <row r="435">
          <cell r="B435" t="str">
            <v>AJ0059</v>
          </cell>
        </row>
        <row r="436">
          <cell r="B436" t="str">
            <v>AJ0059-1</v>
          </cell>
        </row>
        <row r="437">
          <cell r="B437" t="str">
            <v>AJ0061</v>
          </cell>
        </row>
        <row r="438">
          <cell r="B438" t="str">
            <v>AJ0061-1</v>
          </cell>
        </row>
        <row r="439">
          <cell r="B439" t="str">
            <v>AJ0063</v>
          </cell>
        </row>
        <row r="440">
          <cell r="B440" t="str">
            <v>AJ0063-1</v>
          </cell>
        </row>
        <row r="441">
          <cell r="B441" t="str">
            <v>AJ0066</v>
          </cell>
        </row>
        <row r="442">
          <cell r="B442" t="str">
            <v>AJ0066-1</v>
          </cell>
        </row>
        <row r="443">
          <cell r="B443" t="str">
            <v>AJ0069</v>
          </cell>
        </row>
        <row r="444">
          <cell r="B444" t="str">
            <v>AJ0069-1</v>
          </cell>
        </row>
        <row r="445">
          <cell r="B445" t="str">
            <v>AJ0076</v>
          </cell>
        </row>
        <row r="446">
          <cell r="B446" t="str">
            <v>AJ0076-1</v>
          </cell>
        </row>
        <row r="447">
          <cell r="B447" t="str">
            <v>AJ0077</v>
          </cell>
        </row>
        <row r="448">
          <cell r="B448" t="str">
            <v>AJ0078</v>
          </cell>
        </row>
        <row r="449">
          <cell r="B449" t="str">
            <v>AJ0078-1</v>
          </cell>
        </row>
        <row r="450">
          <cell r="B450" t="str">
            <v>AJ0079</v>
          </cell>
        </row>
        <row r="451">
          <cell r="B451" t="str">
            <v>AJ0079-1</v>
          </cell>
        </row>
        <row r="452">
          <cell r="B452" t="str">
            <v>AJ0080</v>
          </cell>
        </row>
        <row r="453">
          <cell r="B453" t="str">
            <v>AJ0081</v>
          </cell>
        </row>
        <row r="454">
          <cell r="B454" t="str">
            <v>AJ0081-1</v>
          </cell>
        </row>
        <row r="455">
          <cell r="B455" t="str">
            <v>AJ0082</v>
          </cell>
        </row>
        <row r="456">
          <cell r="B456" t="str">
            <v>AJ0083</v>
          </cell>
        </row>
        <row r="457">
          <cell r="B457" t="str">
            <v>AJ0084</v>
          </cell>
        </row>
        <row r="458">
          <cell r="B458" t="str">
            <v>AJ0085</v>
          </cell>
        </row>
        <row r="459">
          <cell r="B459" t="str">
            <v>AJ0086</v>
          </cell>
        </row>
        <row r="460">
          <cell r="B460" t="str">
            <v>AJ0086-1</v>
          </cell>
        </row>
        <row r="461">
          <cell r="B461" t="str">
            <v>AJ0087</v>
          </cell>
        </row>
        <row r="462">
          <cell r="B462" t="str">
            <v>AJ0089</v>
          </cell>
        </row>
        <row r="463">
          <cell r="B463" t="str">
            <v>AJ0090</v>
          </cell>
        </row>
        <row r="464">
          <cell r="B464" t="str">
            <v>AJ0091</v>
          </cell>
        </row>
        <row r="465">
          <cell r="B465" t="str">
            <v>AJ0091-1</v>
          </cell>
        </row>
        <row r="466">
          <cell r="B466" t="str">
            <v>AJ0092</v>
          </cell>
        </row>
        <row r="467">
          <cell r="B467" t="str">
            <v>AJ0092-2</v>
          </cell>
        </row>
        <row r="468">
          <cell r="B468" t="str">
            <v>AJ0093</v>
          </cell>
        </row>
        <row r="469">
          <cell r="B469" t="str">
            <v>AJ0093-1</v>
          </cell>
        </row>
        <row r="470">
          <cell r="B470" t="str">
            <v>AJ0095</v>
          </cell>
        </row>
        <row r="471">
          <cell r="B471" t="str">
            <v>AJ0096</v>
          </cell>
        </row>
        <row r="472">
          <cell r="B472" t="str">
            <v>AJ0096-1</v>
          </cell>
        </row>
        <row r="473">
          <cell r="B473" t="str">
            <v>AJ0097</v>
          </cell>
        </row>
        <row r="474">
          <cell r="B474" t="str">
            <v>AJ0098</v>
          </cell>
        </row>
        <row r="475">
          <cell r="B475" t="str">
            <v>AJ0099</v>
          </cell>
        </row>
        <row r="476">
          <cell r="B476" t="str">
            <v>AJ0100</v>
          </cell>
        </row>
        <row r="477">
          <cell r="B477" t="str">
            <v>AJ0101</v>
          </cell>
        </row>
        <row r="478">
          <cell r="B478" t="str">
            <v>AJ0102</v>
          </cell>
        </row>
        <row r="479">
          <cell r="B479" t="str">
            <v>AJ0103</v>
          </cell>
        </row>
        <row r="480">
          <cell r="B480" t="str">
            <v>AJ0107</v>
          </cell>
        </row>
        <row r="481">
          <cell r="B481" t="str">
            <v>AJ0108</v>
          </cell>
        </row>
        <row r="482">
          <cell r="B482" t="str">
            <v>AJ0109</v>
          </cell>
        </row>
        <row r="483">
          <cell r="B483" t="str">
            <v>AJ0112</v>
          </cell>
        </row>
        <row r="484">
          <cell r="B484" t="str">
            <v>AJ0113</v>
          </cell>
        </row>
        <row r="485">
          <cell r="B485" t="str">
            <v>AJ0114</v>
          </cell>
        </row>
        <row r="486">
          <cell r="B486" t="str">
            <v>AJ0115</v>
          </cell>
        </row>
        <row r="487">
          <cell r="B487" t="str">
            <v>AJ0116</v>
          </cell>
        </row>
        <row r="488">
          <cell r="B488" t="str">
            <v>AJ0117</v>
          </cell>
        </row>
        <row r="489">
          <cell r="B489" t="str">
            <v>AJ0118</v>
          </cell>
        </row>
        <row r="490">
          <cell r="B490" t="str">
            <v>AJ0119</v>
          </cell>
        </row>
        <row r="491">
          <cell r="B491" t="str">
            <v>AJ1001</v>
          </cell>
        </row>
        <row r="492">
          <cell r="B492" t="str">
            <v>AJ1002</v>
          </cell>
        </row>
        <row r="493">
          <cell r="B493" t="str">
            <v>AJ1003</v>
          </cell>
        </row>
        <row r="494">
          <cell r="B494" t="str">
            <v>AJ1004</v>
          </cell>
        </row>
        <row r="495">
          <cell r="B495" t="str">
            <v>AJ1005</v>
          </cell>
        </row>
        <row r="496">
          <cell r="B496" t="str">
            <v>AJ1006</v>
          </cell>
        </row>
        <row r="497">
          <cell r="B497" t="str">
            <v>AJ1007</v>
          </cell>
        </row>
        <row r="498">
          <cell r="B498" t="str">
            <v>AJ1008</v>
          </cell>
        </row>
        <row r="499">
          <cell r="B499" t="str">
            <v>AJ1009</v>
          </cell>
        </row>
        <row r="500">
          <cell r="B500" t="str">
            <v>AJ1009-1</v>
          </cell>
        </row>
        <row r="501">
          <cell r="B501" t="str">
            <v>AJ1010</v>
          </cell>
        </row>
        <row r="502">
          <cell r="B502" t="str">
            <v>AJ1011</v>
          </cell>
        </row>
        <row r="503">
          <cell r="B503" t="str">
            <v>AJ1012</v>
          </cell>
        </row>
        <row r="504">
          <cell r="B504" t="str">
            <v>AJ1013</v>
          </cell>
        </row>
        <row r="505">
          <cell r="B505" t="str">
            <v>AJ1014</v>
          </cell>
        </row>
        <row r="506">
          <cell r="B506" t="str">
            <v>AJ1018</v>
          </cell>
        </row>
        <row r="507">
          <cell r="B507" t="str">
            <v>AJ1019</v>
          </cell>
        </row>
        <row r="508">
          <cell r="B508" t="str">
            <v>AJ1020</v>
          </cell>
        </row>
        <row r="509">
          <cell r="B509" t="str">
            <v>AJ1022</v>
          </cell>
        </row>
        <row r="510">
          <cell r="B510" t="str">
            <v>AJ1023</v>
          </cell>
        </row>
        <row r="511">
          <cell r="B511" t="str">
            <v>AJ1024</v>
          </cell>
        </row>
        <row r="512">
          <cell r="B512" t="str">
            <v>AJ1025</v>
          </cell>
        </row>
        <row r="513">
          <cell r="B513" t="str">
            <v>AJ1026</v>
          </cell>
        </row>
        <row r="514">
          <cell r="B514" t="str">
            <v>AJ1027</v>
          </cell>
        </row>
        <row r="515">
          <cell r="B515" t="str">
            <v>AJ1028</v>
          </cell>
        </row>
        <row r="516">
          <cell r="B516" t="str">
            <v>AJ1029</v>
          </cell>
        </row>
        <row r="517">
          <cell r="B517" t="str">
            <v>AJ1030</v>
          </cell>
        </row>
        <row r="518">
          <cell r="B518" t="str">
            <v>AJ1031</v>
          </cell>
        </row>
        <row r="519">
          <cell r="B519" t="str">
            <v>AJ1032</v>
          </cell>
        </row>
        <row r="520">
          <cell r="B520" t="str">
            <v>AJ1033</v>
          </cell>
        </row>
        <row r="521">
          <cell r="B521" t="str">
            <v>AJ1034</v>
          </cell>
        </row>
        <row r="522">
          <cell r="B522" t="str">
            <v>AJ1035</v>
          </cell>
        </row>
        <row r="523">
          <cell r="B523" t="str">
            <v>AJ1036</v>
          </cell>
        </row>
        <row r="524">
          <cell r="B524" t="str">
            <v>AJ1037</v>
          </cell>
        </row>
        <row r="525">
          <cell r="B525" t="str">
            <v>AJ1038</v>
          </cell>
        </row>
        <row r="526">
          <cell r="B526" t="str">
            <v>AJ1039</v>
          </cell>
        </row>
        <row r="527">
          <cell r="B527" t="str">
            <v>AJ1040</v>
          </cell>
        </row>
        <row r="528">
          <cell r="B528" t="str">
            <v>AJ1041</v>
          </cell>
        </row>
        <row r="529">
          <cell r="B529" t="str">
            <v>AJ1042</v>
          </cell>
        </row>
        <row r="530">
          <cell r="B530" t="str">
            <v>AJ1043</v>
          </cell>
        </row>
        <row r="531">
          <cell r="B531" t="str">
            <v>AJ2001</v>
          </cell>
        </row>
        <row r="532">
          <cell r="B532" t="str">
            <v>AJ2002</v>
          </cell>
        </row>
        <row r="533">
          <cell r="B533" t="str">
            <v>AJ2003</v>
          </cell>
        </row>
        <row r="534">
          <cell r="B534" t="str">
            <v>AJ2004</v>
          </cell>
        </row>
        <row r="535">
          <cell r="B535" t="str">
            <v>AJ2005</v>
          </cell>
        </row>
        <row r="536">
          <cell r="B536" t="str">
            <v>AJ2006</v>
          </cell>
        </row>
        <row r="537">
          <cell r="B537" t="str">
            <v>AJ2007</v>
          </cell>
        </row>
        <row r="538">
          <cell r="B538" t="str">
            <v>AJ2007-1</v>
          </cell>
        </row>
        <row r="539">
          <cell r="B539" t="str">
            <v>AJ2008</v>
          </cell>
        </row>
        <row r="540">
          <cell r="B540" t="str">
            <v>AJ2010</v>
          </cell>
        </row>
        <row r="541">
          <cell r="B541" t="str">
            <v>AJ2011</v>
          </cell>
        </row>
        <row r="542">
          <cell r="B542" t="str">
            <v>AJ2012</v>
          </cell>
        </row>
        <row r="543">
          <cell r="B543" t="str">
            <v>AJ2013</v>
          </cell>
        </row>
        <row r="544">
          <cell r="B544" t="str">
            <v>AJ2015</v>
          </cell>
        </row>
        <row r="545">
          <cell r="B545" t="str">
            <v>AJ2016</v>
          </cell>
        </row>
        <row r="546">
          <cell r="B546" t="str">
            <v>AJ2017</v>
          </cell>
        </row>
        <row r="547">
          <cell r="B547" t="str">
            <v>AJ2018</v>
          </cell>
        </row>
        <row r="548">
          <cell r="B548" t="str">
            <v>AJ2019</v>
          </cell>
        </row>
        <row r="549">
          <cell r="B549" t="str">
            <v>AJ2021</v>
          </cell>
        </row>
        <row r="550">
          <cell r="B550" t="str">
            <v>AJ2023</v>
          </cell>
        </row>
        <row r="551">
          <cell r="B551" t="str">
            <v>AJ2024</v>
          </cell>
        </row>
        <row r="552">
          <cell r="B552" t="str">
            <v>AJ2025</v>
          </cell>
        </row>
        <row r="553">
          <cell r="B553" t="str">
            <v>AJ2026</v>
          </cell>
        </row>
        <row r="554">
          <cell r="B554" t="str">
            <v>AJ2027</v>
          </cell>
        </row>
        <row r="555">
          <cell r="B555" t="str">
            <v>AJ2028</v>
          </cell>
        </row>
        <row r="556">
          <cell r="B556" t="str">
            <v>AJ2029</v>
          </cell>
        </row>
        <row r="557">
          <cell r="B557" t="str">
            <v>AJ2030</v>
          </cell>
        </row>
        <row r="558">
          <cell r="B558" t="str">
            <v>AJ2031</v>
          </cell>
        </row>
        <row r="559">
          <cell r="B559" t="str">
            <v>AJ2032</v>
          </cell>
        </row>
        <row r="560">
          <cell r="B560" t="str">
            <v>AJ2033</v>
          </cell>
        </row>
        <row r="561">
          <cell r="B561" t="str">
            <v>AJ2034</v>
          </cell>
        </row>
        <row r="562">
          <cell r="B562" t="str">
            <v>AJ2035</v>
          </cell>
        </row>
        <row r="563">
          <cell r="B563" t="str">
            <v>AJ2036</v>
          </cell>
        </row>
        <row r="564">
          <cell r="B564" t="str">
            <v>AJ2037</v>
          </cell>
        </row>
        <row r="565">
          <cell r="B565" t="str">
            <v>AJ2038</v>
          </cell>
        </row>
        <row r="566">
          <cell r="B566" t="str">
            <v>AJ2039</v>
          </cell>
        </row>
        <row r="567">
          <cell r="B567" t="str">
            <v>AJ2042</v>
          </cell>
        </row>
        <row r="568">
          <cell r="B568" t="str">
            <v>AJ2043</v>
          </cell>
        </row>
        <row r="569">
          <cell r="B569" t="str">
            <v>AJ2044</v>
          </cell>
        </row>
        <row r="570">
          <cell r="B570" t="str">
            <v>AJ2045</v>
          </cell>
        </row>
        <row r="571">
          <cell r="B571" t="str">
            <v>AJ2046</v>
          </cell>
        </row>
        <row r="572">
          <cell r="B572" t="str">
            <v>AJ2047</v>
          </cell>
        </row>
        <row r="573">
          <cell r="B573" t="str">
            <v>AJ2048</v>
          </cell>
        </row>
        <row r="574">
          <cell r="B574" t="str">
            <v>AJ2049</v>
          </cell>
        </row>
        <row r="575">
          <cell r="B575" t="str">
            <v>AJ2050</v>
          </cell>
        </row>
        <row r="576">
          <cell r="B576" t="str">
            <v>AJ2051</v>
          </cell>
        </row>
        <row r="577">
          <cell r="B577" t="str">
            <v>AJ2052</v>
          </cell>
        </row>
        <row r="578">
          <cell r="B578" t="str">
            <v>AJ2053</v>
          </cell>
        </row>
        <row r="579">
          <cell r="B579" t="str">
            <v>AJ2054</v>
          </cell>
        </row>
        <row r="580">
          <cell r="B580" t="str">
            <v>AJ2055</v>
          </cell>
        </row>
        <row r="581">
          <cell r="B581" t="str">
            <v>AJ9001</v>
          </cell>
        </row>
        <row r="582">
          <cell r="B582" t="str">
            <v>AJ9002</v>
          </cell>
        </row>
        <row r="583">
          <cell r="B583" t="str">
            <v>AJ9003</v>
          </cell>
        </row>
        <row r="584">
          <cell r="B584" t="str">
            <v>AJ9004</v>
          </cell>
        </row>
        <row r="585">
          <cell r="B585" t="str">
            <v>AJ9005</v>
          </cell>
        </row>
        <row r="586">
          <cell r="B586" t="str">
            <v>AJ9006</v>
          </cell>
        </row>
        <row r="587">
          <cell r="B587" t="str">
            <v>AJ9007</v>
          </cell>
        </row>
        <row r="588">
          <cell r="B588" t="str">
            <v>AJ9008</v>
          </cell>
        </row>
        <row r="589">
          <cell r="B589" t="str">
            <v>AJ9009</v>
          </cell>
        </row>
        <row r="590">
          <cell r="B590" t="str">
            <v>AJ9010</v>
          </cell>
        </row>
        <row r="591">
          <cell r="B591" t="str">
            <v>AJ9011</v>
          </cell>
        </row>
        <row r="592">
          <cell r="B592" t="str">
            <v>AJI0005</v>
          </cell>
        </row>
        <row r="593">
          <cell r="B593" t="str">
            <v>AJI0006</v>
          </cell>
        </row>
        <row r="594">
          <cell r="B594" t="str">
            <v>AJI0007</v>
          </cell>
        </row>
        <row r="595">
          <cell r="B595" t="str">
            <v>BA0002</v>
          </cell>
        </row>
        <row r="596">
          <cell r="B596" t="str">
            <v>BA0007</v>
          </cell>
        </row>
        <row r="597">
          <cell r="B597" t="str">
            <v>BA0008</v>
          </cell>
        </row>
        <row r="598">
          <cell r="B598" t="str">
            <v>BA0008-1</v>
          </cell>
        </row>
        <row r="599">
          <cell r="B599" t="str">
            <v>BA0009</v>
          </cell>
        </row>
        <row r="600">
          <cell r="B600" t="str">
            <v>BA0011</v>
          </cell>
        </row>
        <row r="601">
          <cell r="B601" t="str">
            <v>BA0011-1</v>
          </cell>
        </row>
        <row r="602">
          <cell r="B602" t="str">
            <v>BA0013</v>
          </cell>
        </row>
        <row r="603">
          <cell r="B603" t="str">
            <v>BA0015</v>
          </cell>
        </row>
        <row r="604">
          <cell r="B604" t="str">
            <v>BA0016</v>
          </cell>
        </row>
        <row r="605">
          <cell r="B605" t="str">
            <v>BA0017</v>
          </cell>
        </row>
        <row r="606">
          <cell r="B606" t="str">
            <v>BA0018</v>
          </cell>
        </row>
        <row r="607">
          <cell r="B607" t="str">
            <v>BA0019</v>
          </cell>
        </row>
        <row r="608">
          <cell r="B608" t="str">
            <v>BA0180</v>
          </cell>
        </row>
        <row r="609">
          <cell r="B609" t="str">
            <v>BA0181</v>
          </cell>
        </row>
        <row r="610">
          <cell r="B610" t="str">
            <v>BA0182</v>
          </cell>
        </row>
        <row r="611">
          <cell r="B611" t="str">
            <v>BA0183</v>
          </cell>
        </row>
        <row r="612">
          <cell r="B612" t="str">
            <v>BA0184</v>
          </cell>
        </row>
        <row r="613">
          <cell r="B613" t="str">
            <v>BA0185</v>
          </cell>
        </row>
        <row r="614">
          <cell r="B614" t="str">
            <v>BA0186</v>
          </cell>
        </row>
        <row r="615">
          <cell r="B615" t="str">
            <v>BA0187</v>
          </cell>
        </row>
        <row r="616">
          <cell r="B616" t="str">
            <v>BA0340</v>
          </cell>
        </row>
        <row r="617">
          <cell r="B617" t="str">
            <v>BA0342</v>
          </cell>
        </row>
        <row r="618">
          <cell r="B618" t="str">
            <v>BA0347</v>
          </cell>
        </row>
        <row r="619">
          <cell r="B619" t="str">
            <v>BA0361</v>
          </cell>
        </row>
        <row r="620">
          <cell r="B620" t="str">
            <v>AA9331-1</v>
          </cell>
        </row>
        <row r="621">
          <cell r="B621" t="str">
            <v>AJ0089-1</v>
          </cell>
        </row>
        <row r="622">
          <cell r="B622" t="str">
            <v>AJ0080-1</v>
          </cell>
        </row>
        <row r="623">
          <cell r="B623" t="str">
            <v>AA80087</v>
          </cell>
        </row>
        <row r="624">
          <cell r="B624" t="str">
            <v>AA80089</v>
          </cell>
        </row>
        <row r="625">
          <cell r="B625" t="str">
            <v>AJ0058-2</v>
          </cell>
        </row>
        <row r="626">
          <cell r="B626" t="str">
            <v>AJ0006-2</v>
          </cell>
        </row>
        <row r="627">
          <cell r="B627" t="str">
            <v>AJ0080-3</v>
          </cell>
        </row>
        <row r="628">
          <cell r="B628" t="str">
            <v>AJ0081-3</v>
          </cell>
        </row>
        <row r="629">
          <cell r="B629" t="str">
            <v>AJ0049-1</v>
          </cell>
        </row>
        <row r="630">
          <cell r="B630" t="str">
            <v>AJ1044</v>
          </cell>
        </row>
        <row r="631">
          <cell r="B631" t="str">
            <v>AA80088</v>
          </cell>
        </row>
        <row r="632">
          <cell r="B632" t="str">
            <v>AJ0030</v>
          </cell>
        </row>
        <row r="633">
          <cell r="B633" t="str">
            <v>AJ0116-1</v>
          </cell>
        </row>
        <row r="634">
          <cell r="B634" t="str">
            <v>AJ0100-1</v>
          </cell>
        </row>
        <row r="635">
          <cell r="B635" t="str">
            <v>AJ0102-1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lan"/>
      <sheetName val="Forecast 2016"/>
      <sheetName val="Description"/>
      <sheetName val="TS"/>
      <sheetName val="คำนวณLoad"/>
      <sheetName val="บันทึกการเปลี่ยนแปลง"/>
      <sheetName val="Sheet1"/>
      <sheetName val="Sheet2"/>
      <sheetName val="Sheet3"/>
      <sheetName val="BMCT2003"/>
      <sheetName val="Accrue"/>
    </sheetNames>
    <sheetDataSet>
      <sheetData sheetId="0"/>
      <sheetData sheetId="1"/>
      <sheetData sheetId="2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AA1001-1</v>
          </cell>
        </row>
        <row r="4">
          <cell r="B4" t="str">
            <v>AA1001-2</v>
          </cell>
        </row>
        <row r="5">
          <cell r="B5" t="str">
            <v>AA1001-3</v>
          </cell>
        </row>
        <row r="6">
          <cell r="B6" t="str">
            <v>AA1002</v>
          </cell>
        </row>
        <row r="7">
          <cell r="B7" t="str">
            <v>AA1002-1</v>
          </cell>
        </row>
        <row r="8">
          <cell r="B8" t="str">
            <v>AA1002-2</v>
          </cell>
        </row>
        <row r="9">
          <cell r="B9" t="str">
            <v>AA1002-3</v>
          </cell>
        </row>
        <row r="10">
          <cell r="B10" t="str">
            <v>AA1002-4</v>
          </cell>
        </row>
        <row r="11">
          <cell r="B11" t="str">
            <v>AA1003</v>
          </cell>
        </row>
        <row r="12">
          <cell r="B12" t="str">
            <v>AA1003-1</v>
          </cell>
        </row>
        <row r="13">
          <cell r="B13" t="str">
            <v>AA1003-2</v>
          </cell>
        </row>
        <row r="14">
          <cell r="B14" t="str">
            <v>AA1003-3</v>
          </cell>
        </row>
        <row r="15">
          <cell r="B15" t="str">
            <v>AA1003-4</v>
          </cell>
        </row>
        <row r="16">
          <cell r="B16" t="str">
            <v>AA1004</v>
          </cell>
        </row>
        <row r="17">
          <cell r="B17" t="str">
            <v>AA1004-1</v>
          </cell>
        </row>
        <row r="18">
          <cell r="B18" t="str">
            <v>AA1004-2</v>
          </cell>
        </row>
        <row r="19">
          <cell r="B19" t="str">
            <v>AA1005</v>
          </cell>
        </row>
        <row r="20">
          <cell r="B20" t="str">
            <v>AA1006</v>
          </cell>
        </row>
        <row r="21">
          <cell r="B21" t="str">
            <v>AA1007</v>
          </cell>
        </row>
        <row r="22">
          <cell r="B22" t="str">
            <v>AA1008</v>
          </cell>
        </row>
        <row r="23">
          <cell r="B23" t="str">
            <v>AA1009</v>
          </cell>
        </row>
        <row r="24">
          <cell r="B24" t="str">
            <v>AA1010</v>
          </cell>
        </row>
        <row r="25">
          <cell r="B25" t="str">
            <v>AA1011</v>
          </cell>
        </row>
        <row r="26">
          <cell r="B26" t="str">
            <v>AA1012</v>
          </cell>
        </row>
        <row r="27">
          <cell r="B27" t="str">
            <v>AA1013</v>
          </cell>
        </row>
        <row r="28">
          <cell r="B28" t="str">
            <v>AA1014</v>
          </cell>
        </row>
        <row r="29">
          <cell r="B29" t="str">
            <v>AA1015</v>
          </cell>
        </row>
        <row r="30">
          <cell r="B30" t="str">
            <v>AA1017</v>
          </cell>
        </row>
        <row r="31">
          <cell r="B31" t="str">
            <v>AA1018</v>
          </cell>
        </row>
        <row r="32">
          <cell r="B32" t="str">
            <v>AA1019</v>
          </cell>
        </row>
        <row r="33">
          <cell r="B33" t="str">
            <v>AA1020</v>
          </cell>
        </row>
        <row r="34">
          <cell r="B34" t="str">
            <v>AA1021</v>
          </cell>
        </row>
        <row r="35">
          <cell r="B35" t="str">
            <v>AA2001</v>
          </cell>
        </row>
        <row r="36">
          <cell r="B36" t="str">
            <v>AA2001-1</v>
          </cell>
        </row>
        <row r="37">
          <cell r="B37" t="str">
            <v>AA2001-2</v>
          </cell>
        </row>
        <row r="38">
          <cell r="B38" t="str">
            <v>AA2002</v>
          </cell>
        </row>
        <row r="39">
          <cell r="B39" t="str">
            <v>AA2002-1</v>
          </cell>
        </row>
        <row r="40">
          <cell r="B40" t="str">
            <v>AA2002-2</v>
          </cell>
        </row>
        <row r="41">
          <cell r="B41" t="str">
            <v>AA2002-3</v>
          </cell>
        </row>
        <row r="42">
          <cell r="B42" t="str">
            <v>AA2002-4</v>
          </cell>
        </row>
        <row r="43">
          <cell r="B43" t="str">
            <v>AA2003</v>
          </cell>
        </row>
        <row r="44">
          <cell r="B44" t="str">
            <v>AA2003-1</v>
          </cell>
        </row>
        <row r="45">
          <cell r="B45" t="str">
            <v>AA2003-2</v>
          </cell>
        </row>
        <row r="46">
          <cell r="B46" t="str">
            <v>AA2004</v>
          </cell>
        </row>
        <row r="47">
          <cell r="B47" t="str">
            <v>AA2004-1</v>
          </cell>
        </row>
        <row r="48">
          <cell r="B48" t="str">
            <v>AA2004-2</v>
          </cell>
        </row>
        <row r="49">
          <cell r="B49" t="str">
            <v>AA2005</v>
          </cell>
        </row>
        <row r="50">
          <cell r="B50" t="str">
            <v>AA2005-1</v>
          </cell>
        </row>
        <row r="51">
          <cell r="B51" t="str">
            <v>AA2005-2</v>
          </cell>
        </row>
        <row r="52">
          <cell r="B52" t="str">
            <v>AA2005-3</v>
          </cell>
        </row>
        <row r="53">
          <cell r="B53" t="str">
            <v>AA2006</v>
          </cell>
        </row>
        <row r="54">
          <cell r="B54" t="str">
            <v>AA2006-1</v>
          </cell>
        </row>
        <row r="55">
          <cell r="B55" t="str">
            <v>AA2006-2</v>
          </cell>
        </row>
        <row r="56">
          <cell r="B56" t="str">
            <v>AA2007</v>
          </cell>
        </row>
        <row r="57">
          <cell r="B57" t="str">
            <v>AA2007-1</v>
          </cell>
        </row>
        <row r="58">
          <cell r="B58" t="str">
            <v>AA2008</v>
          </cell>
        </row>
        <row r="59">
          <cell r="B59" t="str">
            <v>AA2008-1</v>
          </cell>
        </row>
        <row r="60">
          <cell r="B60" t="str">
            <v>AA2008-2</v>
          </cell>
        </row>
        <row r="61">
          <cell r="B61" t="str">
            <v>AA2008-3</v>
          </cell>
        </row>
        <row r="62">
          <cell r="B62" t="str">
            <v>AA2009</v>
          </cell>
        </row>
        <row r="63">
          <cell r="B63" t="str">
            <v>AA2009-1</v>
          </cell>
        </row>
        <row r="64">
          <cell r="B64" t="str">
            <v>AA2009-2</v>
          </cell>
        </row>
        <row r="65">
          <cell r="B65" t="str">
            <v>AA2009-3</v>
          </cell>
        </row>
        <row r="66">
          <cell r="B66" t="str">
            <v>AA2010</v>
          </cell>
        </row>
        <row r="67">
          <cell r="B67" t="str">
            <v>AA2010-1</v>
          </cell>
        </row>
        <row r="68">
          <cell r="B68" t="str">
            <v>AA2011</v>
          </cell>
        </row>
        <row r="69">
          <cell r="B69" t="str">
            <v>AA2012</v>
          </cell>
        </row>
        <row r="70">
          <cell r="B70" t="str">
            <v>AA2013</v>
          </cell>
        </row>
        <row r="71">
          <cell r="B71" t="str">
            <v>AA2014</v>
          </cell>
        </row>
        <row r="72">
          <cell r="B72" t="str">
            <v>AA2014-1</v>
          </cell>
        </row>
        <row r="73">
          <cell r="B73" t="str">
            <v>AA2015</v>
          </cell>
        </row>
        <row r="74">
          <cell r="B74" t="str">
            <v>AA2016</v>
          </cell>
        </row>
        <row r="75">
          <cell r="B75" t="str">
            <v>AA2017</v>
          </cell>
        </row>
        <row r="76">
          <cell r="B76" t="str">
            <v>AA2018</v>
          </cell>
        </row>
        <row r="77">
          <cell r="B77" t="str">
            <v>AA2019</v>
          </cell>
        </row>
        <row r="78">
          <cell r="B78" t="str">
            <v>AA2019-1</v>
          </cell>
        </row>
        <row r="79">
          <cell r="B79" t="str">
            <v>AA2020</v>
          </cell>
        </row>
        <row r="80">
          <cell r="B80" t="str">
            <v>AA2021</v>
          </cell>
        </row>
        <row r="81">
          <cell r="B81" t="str">
            <v>AA2022</v>
          </cell>
        </row>
        <row r="82">
          <cell r="B82" t="str">
            <v>AA2023</v>
          </cell>
        </row>
        <row r="83">
          <cell r="B83" t="str">
            <v>AA2024</v>
          </cell>
        </row>
        <row r="84">
          <cell r="B84" t="str">
            <v>AA2025</v>
          </cell>
        </row>
        <row r="85">
          <cell r="B85" t="str">
            <v>AA2026</v>
          </cell>
        </row>
        <row r="86">
          <cell r="B86" t="str">
            <v>AA2027</v>
          </cell>
        </row>
        <row r="87">
          <cell r="B87" t="str">
            <v>AA2028</v>
          </cell>
        </row>
        <row r="88">
          <cell r="B88" t="str">
            <v>AA2029</v>
          </cell>
        </row>
        <row r="89">
          <cell r="B89" t="str">
            <v>AA2030</v>
          </cell>
        </row>
        <row r="90">
          <cell r="B90" t="str">
            <v>AA2031</v>
          </cell>
        </row>
        <row r="91">
          <cell r="B91" t="str">
            <v>AA2032</v>
          </cell>
        </row>
        <row r="92">
          <cell r="B92" t="str">
            <v>AA2033</v>
          </cell>
        </row>
        <row r="93">
          <cell r="B93" t="str">
            <v>AA2034</v>
          </cell>
        </row>
        <row r="94">
          <cell r="B94" t="str">
            <v>AA2035</v>
          </cell>
        </row>
        <row r="95">
          <cell r="B95" t="str">
            <v>AA2036</v>
          </cell>
        </row>
        <row r="96">
          <cell r="B96" t="str">
            <v>AA2037</v>
          </cell>
        </row>
        <row r="97">
          <cell r="B97" t="str">
            <v>AA2101</v>
          </cell>
        </row>
        <row r="98">
          <cell r="B98" t="str">
            <v>AA2102</v>
          </cell>
        </row>
        <row r="99">
          <cell r="B99" t="str">
            <v>AA2103</v>
          </cell>
        </row>
        <row r="100">
          <cell r="B100" t="str">
            <v>AA2104</v>
          </cell>
        </row>
        <row r="101">
          <cell r="B101" t="str">
            <v>AA2105</v>
          </cell>
        </row>
        <row r="102">
          <cell r="B102" t="str">
            <v>AA2106</v>
          </cell>
        </row>
        <row r="103">
          <cell r="B103" t="str">
            <v>AA2107</v>
          </cell>
        </row>
        <row r="104">
          <cell r="B104" t="str">
            <v>AA2108</v>
          </cell>
        </row>
        <row r="105">
          <cell r="B105" t="str">
            <v>AA2109</v>
          </cell>
        </row>
        <row r="106">
          <cell r="B106" t="str">
            <v>AA2110</v>
          </cell>
        </row>
        <row r="107">
          <cell r="B107" t="str">
            <v>AA2111</v>
          </cell>
        </row>
        <row r="108">
          <cell r="B108" t="str">
            <v>AA2112</v>
          </cell>
        </row>
        <row r="109">
          <cell r="B109" t="str">
            <v>AA2113</v>
          </cell>
        </row>
        <row r="110">
          <cell r="B110" t="str">
            <v>AA2114</v>
          </cell>
        </row>
        <row r="111">
          <cell r="B111" t="str">
            <v>AA2115</v>
          </cell>
        </row>
        <row r="112">
          <cell r="B112" t="str">
            <v>AA2116</v>
          </cell>
        </row>
        <row r="113">
          <cell r="B113" t="str">
            <v>AA2117</v>
          </cell>
        </row>
        <row r="114">
          <cell r="B114" t="str">
            <v>AA2118</v>
          </cell>
        </row>
        <row r="115">
          <cell r="B115" t="str">
            <v>AA2119</v>
          </cell>
        </row>
        <row r="116">
          <cell r="B116" t="str">
            <v>AA2120</v>
          </cell>
        </row>
        <row r="117">
          <cell r="B117" t="str">
            <v>AA2121</v>
          </cell>
        </row>
        <row r="118">
          <cell r="B118" t="str">
            <v>AA2122</v>
          </cell>
        </row>
        <row r="119">
          <cell r="B119" t="str">
            <v>AA2123</v>
          </cell>
        </row>
        <row r="120">
          <cell r="B120" t="str">
            <v>AA2124</v>
          </cell>
        </row>
        <row r="121">
          <cell r="B121" t="str">
            <v>AA2125</v>
          </cell>
        </row>
        <row r="122">
          <cell r="B122" t="str">
            <v>AA2126</v>
          </cell>
        </row>
        <row r="123">
          <cell r="B123" t="str">
            <v>AA2127</v>
          </cell>
        </row>
        <row r="124">
          <cell r="B124" t="str">
            <v>AA2128</v>
          </cell>
        </row>
        <row r="125">
          <cell r="B125" t="str">
            <v>AA2129</v>
          </cell>
        </row>
        <row r="126">
          <cell r="B126" t="str">
            <v>AA2130</v>
          </cell>
        </row>
        <row r="127">
          <cell r="B127" t="str">
            <v>AA2131</v>
          </cell>
        </row>
        <row r="128">
          <cell r="B128" t="str">
            <v>AA2133</v>
          </cell>
        </row>
        <row r="129">
          <cell r="B129" t="str">
            <v>AA2134</v>
          </cell>
        </row>
        <row r="130">
          <cell r="B130" t="str">
            <v>AA2135</v>
          </cell>
        </row>
        <row r="131">
          <cell r="B131" t="str">
            <v>AA2136</v>
          </cell>
        </row>
        <row r="132">
          <cell r="B132" t="str">
            <v>AA2137</v>
          </cell>
        </row>
        <row r="133">
          <cell r="B133" t="str">
            <v>AA2138</v>
          </cell>
        </row>
        <row r="134">
          <cell r="B134" t="str">
            <v>AA2139</v>
          </cell>
        </row>
        <row r="135">
          <cell r="B135" t="str">
            <v>AA2140</v>
          </cell>
        </row>
        <row r="136">
          <cell r="B136" t="str">
            <v>AA2141</v>
          </cell>
        </row>
        <row r="137">
          <cell r="B137" t="str">
            <v>AA2142</v>
          </cell>
        </row>
        <row r="138">
          <cell r="B138" t="str">
            <v>AA2143</v>
          </cell>
        </row>
        <row r="139">
          <cell r="B139" t="str">
            <v>AA2144</v>
          </cell>
        </row>
        <row r="140">
          <cell r="B140" t="str">
            <v>AA2145</v>
          </cell>
        </row>
        <row r="141">
          <cell r="B141" t="str">
            <v>AA2146</v>
          </cell>
        </row>
        <row r="142">
          <cell r="B142" t="str">
            <v>AA2147</v>
          </cell>
        </row>
        <row r="143">
          <cell r="B143" t="str">
            <v>AA2148</v>
          </cell>
        </row>
        <row r="144">
          <cell r="B144" t="str">
            <v>AA2149</v>
          </cell>
        </row>
        <row r="145">
          <cell r="B145" t="str">
            <v>AA2150</v>
          </cell>
        </row>
        <row r="146">
          <cell r="B146" t="str">
            <v>AA2151</v>
          </cell>
        </row>
        <row r="147">
          <cell r="B147" t="str">
            <v>AA2152</v>
          </cell>
        </row>
        <row r="148">
          <cell r="B148" t="str">
            <v>AA2153</v>
          </cell>
        </row>
        <row r="149">
          <cell r="B149" t="str">
            <v>AA2154</v>
          </cell>
        </row>
        <row r="150">
          <cell r="B150" t="str">
            <v>AA2155</v>
          </cell>
        </row>
        <row r="151">
          <cell r="B151" t="str">
            <v>AA2156</v>
          </cell>
        </row>
        <row r="152">
          <cell r="B152" t="str">
            <v>AA2157</v>
          </cell>
        </row>
        <row r="153">
          <cell r="B153" t="str">
            <v>AA2158</v>
          </cell>
        </row>
        <row r="154">
          <cell r="B154" t="str">
            <v>AA2201</v>
          </cell>
        </row>
        <row r="155">
          <cell r="B155" t="str">
            <v>AA2202</v>
          </cell>
        </row>
        <row r="156">
          <cell r="B156" t="str">
            <v>AA2203</v>
          </cell>
        </row>
        <row r="157">
          <cell r="B157" t="str">
            <v>AA2204</v>
          </cell>
        </row>
        <row r="158">
          <cell r="B158" t="str">
            <v>AA2205</v>
          </cell>
        </row>
        <row r="159">
          <cell r="B159" t="str">
            <v>AA2206</v>
          </cell>
        </row>
        <row r="160">
          <cell r="B160" t="str">
            <v>AA2207</v>
          </cell>
        </row>
        <row r="161">
          <cell r="B161" t="str">
            <v>AA2208</v>
          </cell>
        </row>
        <row r="162">
          <cell r="B162" t="str">
            <v>AA2209</v>
          </cell>
        </row>
        <row r="163">
          <cell r="B163" t="str">
            <v>AA2210</v>
          </cell>
        </row>
        <row r="164">
          <cell r="B164" t="str">
            <v>AA2211</v>
          </cell>
        </row>
        <row r="165">
          <cell r="B165" t="str">
            <v>AA2212</v>
          </cell>
        </row>
        <row r="166">
          <cell r="B166" t="str">
            <v>AA2301</v>
          </cell>
        </row>
        <row r="167">
          <cell r="B167" t="str">
            <v>AA2302</v>
          </cell>
        </row>
        <row r="168">
          <cell r="B168" t="str">
            <v>AA2303</v>
          </cell>
        </row>
        <row r="169">
          <cell r="B169" t="str">
            <v>AA2305</v>
          </cell>
        </row>
        <row r="170">
          <cell r="B170" t="str">
            <v>AA2306</v>
          </cell>
        </row>
        <row r="171">
          <cell r="B171" t="str">
            <v>AA2307</v>
          </cell>
        </row>
        <row r="172">
          <cell r="B172" t="str">
            <v>AA3001</v>
          </cell>
        </row>
        <row r="173">
          <cell r="B173" t="str">
            <v>AA3002</v>
          </cell>
        </row>
        <row r="174">
          <cell r="B174" t="str">
            <v>AA3003</v>
          </cell>
        </row>
        <row r="175">
          <cell r="B175" t="str">
            <v>AA3004</v>
          </cell>
        </row>
        <row r="176">
          <cell r="B176" t="str">
            <v>AA3005</v>
          </cell>
        </row>
        <row r="177">
          <cell r="B177" t="str">
            <v>AA3006</v>
          </cell>
        </row>
        <row r="178">
          <cell r="B178" t="str">
            <v>AA3007</v>
          </cell>
        </row>
        <row r="179">
          <cell r="B179" t="str">
            <v>AA3008</v>
          </cell>
        </row>
        <row r="180">
          <cell r="B180" t="str">
            <v>AA3009</v>
          </cell>
        </row>
        <row r="181">
          <cell r="B181" t="str">
            <v>AA3010</v>
          </cell>
        </row>
        <row r="182">
          <cell r="B182" t="str">
            <v>AA3011</v>
          </cell>
        </row>
        <row r="183">
          <cell r="B183" t="str">
            <v>AA3012</v>
          </cell>
        </row>
        <row r="184">
          <cell r="B184" t="str">
            <v>AA3013</v>
          </cell>
        </row>
        <row r="185">
          <cell r="B185" t="str">
            <v>AA3014</v>
          </cell>
        </row>
        <row r="186">
          <cell r="B186" t="str">
            <v>AA3015</v>
          </cell>
        </row>
        <row r="187">
          <cell r="B187" t="str">
            <v>AA3016</v>
          </cell>
        </row>
        <row r="188">
          <cell r="B188" t="str">
            <v>AA3016-1</v>
          </cell>
        </row>
        <row r="189">
          <cell r="B189" t="str">
            <v>AA3017</v>
          </cell>
        </row>
        <row r="190">
          <cell r="B190" t="str">
            <v>AA3018</v>
          </cell>
        </row>
        <row r="191">
          <cell r="B191" t="str">
            <v>AA3019</v>
          </cell>
        </row>
        <row r="192">
          <cell r="B192" t="str">
            <v>AA3020</v>
          </cell>
        </row>
        <row r="193">
          <cell r="B193" t="str">
            <v>AA3021</v>
          </cell>
        </row>
        <row r="194">
          <cell r="B194" t="str">
            <v>AA3022</v>
          </cell>
        </row>
        <row r="195">
          <cell r="B195" t="str">
            <v>AA3022-1</v>
          </cell>
        </row>
        <row r="196">
          <cell r="B196" t="str">
            <v>AA3022-2</v>
          </cell>
        </row>
        <row r="197">
          <cell r="B197" t="str">
            <v>AA3023</v>
          </cell>
        </row>
        <row r="198">
          <cell r="B198" t="str">
            <v>AA3024</v>
          </cell>
        </row>
        <row r="199">
          <cell r="B199" t="str">
            <v>AA3025</v>
          </cell>
        </row>
        <row r="200">
          <cell r="B200" t="str">
            <v>AA3026</v>
          </cell>
        </row>
        <row r="201">
          <cell r="B201" t="str">
            <v>AA3027</v>
          </cell>
        </row>
        <row r="202">
          <cell r="B202" t="str">
            <v>AA3028</v>
          </cell>
        </row>
        <row r="203">
          <cell r="B203" t="str">
            <v>AA3029</v>
          </cell>
        </row>
        <row r="204">
          <cell r="B204" t="str">
            <v>AA3030</v>
          </cell>
        </row>
        <row r="205">
          <cell r="B205" t="str">
            <v>AA3031</v>
          </cell>
        </row>
        <row r="206">
          <cell r="B206" t="str">
            <v>AA3032</v>
          </cell>
        </row>
        <row r="207">
          <cell r="B207" t="str">
            <v>AA3033</v>
          </cell>
        </row>
        <row r="208">
          <cell r="B208" t="str">
            <v>AA3034</v>
          </cell>
        </row>
        <row r="209">
          <cell r="B209" t="str">
            <v>AA3034-1</v>
          </cell>
        </row>
        <row r="210">
          <cell r="B210" t="str">
            <v>AA3035</v>
          </cell>
        </row>
        <row r="211">
          <cell r="B211" t="str">
            <v>AA3036</v>
          </cell>
        </row>
        <row r="212">
          <cell r="B212" t="str">
            <v>AA3037</v>
          </cell>
        </row>
        <row r="213">
          <cell r="B213" t="str">
            <v>AA3038</v>
          </cell>
        </row>
        <row r="214">
          <cell r="B214" t="str">
            <v>AA3039</v>
          </cell>
        </row>
        <row r="215">
          <cell r="B215" t="str">
            <v>AA3040</v>
          </cell>
        </row>
        <row r="216">
          <cell r="B216" t="str">
            <v>AA3041</v>
          </cell>
        </row>
        <row r="217">
          <cell r="B217" t="str">
            <v>AA3042</v>
          </cell>
        </row>
        <row r="218">
          <cell r="B218" t="str">
            <v>AA3043</v>
          </cell>
        </row>
        <row r="219">
          <cell r="B219" t="str">
            <v>AA3043.1</v>
          </cell>
        </row>
        <row r="220">
          <cell r="B220" t="str">
            <v>AA3044</v>
          </cell>
        </row>
        <row r="221">
          <cell r="B221" t="str">
            <v>AA3045</v>
          </cell>
        </row>
        <row r="222">
          <cell r="B222" t="str">
            <v>AA3046</v>
          </cell>
        </row>
        <row r="223">
          <cell r="B223" t="str">
            <v>AA3047</v>
          </cell>
        </row>
        <row r="224">
          <cell r="B224" t="str">
            <v>AA3047-B</v>
          </cell>
        </row>
        <row r="225">
          <cell r="B225" t="str">
            <v>AA3048</v>
          </cell>
        </row>
        <row r="226">
          <cell r="B226" t="str">
            <v>AA3049</v>
          </cell>
        </row>
        <row r="227">
          <cell r="B227" t="str">
            <v>AA3050</v>
          </cell>
        </row>
        <row r="228">
          <cell r="B228" t="str">
            <v>AA3051</v>
          </cell>
        </row>
        <row r="229">
          <cell r="B229" t="str">
            <v>AA3051-B</v>
          </cell>
        </row>
        <row r="230">
          <cell r="B230" t="str">
            <v>AA3052</v>
          </cell>
        </row>
        <row r="231">
          <cell r="B231" t="str">
            <v>AA3053</v>
          </cell>
        </row>
        <row r="232">
          <cell r="B232" t="str">
            <v>AA3054</v>
          </cell>
        </row>
        <row r="233">
          <cell r="B233" t="str">
            <v>AA3055</v>
          </cell>
        </row>
        <row r="234">
          <cell r="B234" t="str">
            <v>AA3057</v>
          </cell>
        </row>
        <row r="235">
          <cell r="B235" t="str">
            <v>AA3058</v>
          </cell>
        </row>
        <row r="236">
          <cell r="B236" t="str">
            <v>AA3059</v>
          </cell>
        </row>
        <row r="237">
          <cell r="B237" t="str">
            <v>AA3060</v>
          </cell>
        </row>
        <row r="238">
          <cell r="B238" t="str">
            <v>AA3061</v>
          </cell>
        </row>
        <row r="239">
          <cell r="B239" t="str">
            <v>AA3062</v>
          </cell>
        </row>
        <row r="240">
          <cell r="B240" t="str">
            <v>AA3063</v>
          </cell>
        </row>
        <row r="241">
          <cell r="B241" t="str">
            <v>AA3064</v>
          </cell>
        </row>
        <row r="242">
          <cell r="B242" t="str">
            <v>AA3065</v>
          </cell>
        </row>
        <row r="243">
          <cell r="B243" t="str">
            <v>AA3066</v>
          </cell>
        </row>
        <row r="244">
          <cell r="B244" t="str">
            <v>AA3067</v>
          </cell>
        </row>
        <row r="245">
          <cell r="B245" t="str">
            <v>AA3068</v>
          </cell>
        </row>
        <row r="246">
          <cell r="B246" t="str">
            <v>AA3069</v>
          </cell>
        </row>
        <row r="247">
          <cell r="B247" t="str">
            <v>AA3070</v>
          </cell>
        </row>
        <row r="248">
          <cell r="B248" t="str">
            <v>AA3071</v>
          </cell>
        </row>
        <row r="249">
          <cell r="B249" t="str">
            <v>AA3072</v>
          </cell>
        </row>
        <row r="250">
          <cell r="B250" t="str">
            <v>AA3073</v>
          </cell>
        </row>
        <row r="251">
          <cell r="B251" t="str">
            <v>AA3074</v>
          </cell>
        </row>
        <row r="252">
          <cell r="B252" t="str">
            <v>AA3075</v>
          </cell>
        </row>
        <row r="253">
          <cell r="B253" t="str">
            <v>AA3076</v>
          </cell>
        </row>
        <row r="254">
          <cell r="B254" t="str">
            <v>AA3077</v>
          </cell>
        </row>
        <row r="255">
          <cell r="B255" t="str">
            <v>AA3078</v>
          </cell>
        </row>
        <row r="256">
          <cell r="B256" t="str">
            <v>AA3079</v>
          </cell>
        </row>
        <row r="257">
          <cell r="B257" t="str">
            <v>AA3080</v>
          </cell>
        </row>
        <row r="258">
          <cell r="B258" t="str">
            <v>AA3081</v>
          </cell>
        </row>
        <row r="259">
          <cell r="B259" t="str">
            <v>AA3082</v>
          </cell>
        </row>
        <row r="260">
          <cell r="B260" t="str">
            <v>AA3083</v>
          </cell>
        </row>
        <row r="261">
          <cell r="B261" t="str">
            <v>AA3084</v>
          </cell>
        </row>
        <row r="262">
          <cell r="B262" t="str">
            <v>AA3085</v>
          </cell>
        </row>
        <row r="263">
          <cell r="B263" t="str">
            <v>AA3086</v>
          </cell>
        </row>
        <row r="264">
          <cell r="B264" t="str">
            <v>AA3087</v>
          </cell>
        </row>
        <row r="265">
          <cell r="B265" t="str">
            <v>AA3088</v>
          </cell>
        </row>
        <row r="266">
          <cell r="B266" t="str">
            <v>AA3089</v>
          </cell>
        </row>
        <row r="267">
          <cell r="B267" t="str">
            <v>AA3090</v>
          </cell>
        </row>
        <row r="268">
          <cell r="B268" t="str">
            <v>AA3091</v>
          </cell>
        </row>
        <row r="269">
          <cell r="B269" t="str">
            <v>AA3092</v>
          </cell>
        </row>
        <row r="270">
          <cell r="B270" t="str">
            <v>AA3093</v>
          </cell>
        </row>
        <row r="271">
          <cell r="B271" t="str">
            <v>AA3094</v>
          </cell>
        </row>
        <row r="272">
          <cell r="B272" t="str">
            <v>AA3095</v>
          </cell>
        </row>
        <row r="273">
          <cell r="B273" t="str">
            <v>AA3096</v>
          </cell>
        </row>
        <row r="274">
          <cell r="B274" t="str">
            <v>AA3097</v>
          </cell>
        </row>
        <row r="275">
          <cell r="B275" t="str">
            <v>AA3098</v>
          </cell>
        </row>
        <row r="276">
          <cell r="B276" t="str">
            <v>AA3099</v>
          </cell>
        </row>
        <row r="277">
          <cell r="B277" t="str">
            <v>AA3100</v>
          </cell>
        </row>
        <row r="278">
          <cell r="B278" t="str">
            <v>AA3101</v>
          </cell>
        </row>
        <row r="279">
          <cell r="B279" t="str">
            <v>AA3102</v>
          </cell>
        </row>
        <row r="280">
          <cell r="B280" t="str">
            <v>AA3103</v>
          </cell>
        </row>
        <row r="281">
          <cell r="B281" t="str">
            <v>AA3104</v>
          </cell>
        </row>
        <row r="282">
          <cell r="B282" t="str">
            <v>AA3105</v>
          </cell>
        </row>
        <row r="283">
          <cell r="B283" t="str">
            <v>AA3106</v>
          </cell>
        </row>
        <row r="284">
          <cell r="B284" t="str">
            <v>AA3107</v>
          </cell>
        </row>
        <row r="285">
          <cell r="B285" t="str">
            <v>AA3108</v>
          </cell>
        </row>
        <row r="286">
          <cell r="B286" t="str">
            <v>AA3109</v>
          </cell>
        </row>
        <row r="287">
          <cell r="B287" t="str">
            <v>AA3110</v>
          </cell>
        </row>
        <row r="288">
          <cell r="B288" t="str">
            <v>AA3111</v>
          </cell>
        </row>
        <row r="289">
          <cell r="B289" t="str">
            <v>AA4001</v>
          </cell>
        </row>
        <row r="290">
          <cell r="B290" t="str">
            <v>AA4002</v>
          </cell>
        </row>
        <row r="291">
          <cell r="B291" t="str">
            <v>AA4003</v>
          </cell>
        </row>
        <row r="292">
          <cell r="B292" t="str">
            <v>AA4004</v>
          </cell>
        </row>
        <row r="293">
          <cell r="B293" t="str">
            <v>AA4005</v>
          </cell>
        </row>
        <row r="294">
          <cell r="B294" t="str">
            <v>AA4006</v>
          </cell>
        </row>
        <row r="295">
          <cell r="B295" t="str">
            <v>AA4007</v>
          </cell>
        </row>
        <row r="296">
          <cell r="B296" t="str">
            <v>AA4008</v>
          </cell>
        </row>
        <row r="297">
          <cell r="B297" t="str">
            <v>AA4009</v>
          </cell>
        </row>
        <row r="298">
          <cell r="B298" t="str">
            <v>AA4010</v>
          </cell>
        </row>
        <row r="299">
          <cell r="B299" t="str">
            <v>AA4011</v>
          </cell>
        </row>
        <row r="300">
          <cell r="B300" t="str">
            <v>AA4012</v>
          </cell>
        </row>
        <row r="301">
          <cell r="B301" t="str">
            <v>AA4013</v>
          </cell>
        </row>
        <row r="302">
          <cell r="B302" t="str">
            <v>AA4014</v>
          </cell>
        </row>
        <row r="303">
          <cell r="B303" t="str">
            <v>AA4015</v>
          </cell>
        </row>
        <row r="304">
          <cell r="B304" t="str">
            <v>AA4016</v>
          </cell>
        </row>
        <row r="305">
          <cell r="B305" t="str">
            <v>AA4017</v>
          </cell>
        </row>
        <row r="306">
          <cell r="B306" t="str">
            <v>AA4020</v>
          </cell>
        </row>
        <row r="307">
          <cell r="B307" t="str">
            <v>AA4021</v>
          </cell>
        </row>
        <row r="308">
          <cell r="B308" t="str">
            <v>AA4022</v>
          </cell>
        </row>
        <row r="309">
          <cell r="B309" t="str">
            <v>AA4023</v>
          </cell>
        </row>
        <row r="310">
          <cell r="B310" t="str">
            <v>AA4024</v>
          </cell>
        </row>
        <row r="311">
          <cell r="B311" t="str">
            <v>AA4025</v>
          </cell>
        </row>
        <row r="312">
          <cell r="B312" t="str">
            <v>AA4026</v>
          </cell>
        </row>
        <row r="313">
          <cell r="B313" t="str">
            <v>AA4027</v>
          </cell>
        </row>
        <row r="314">
          <cell r="B314" t="str">
            <v>AA4028</v>
          </cell>
        </row>
        <row r="315">
          <cell r="B315" t="str">
            <v>AA4029</v>
          </cell>
        </row>
        <row r="316">
          <cell r="B316" t="str">
            <v>AA4030</v>
          </cell>
        </row>
        <row r="317">
          <cell r="B317" t="str">
            <v>AA4031</v>
          </cell>
        </row>
        <row r="318">
          <cell r="B318" t="str">
            <v>AA4032</v>
          </cell>
        </row>
        <row r="319">
          <cell r="B319" t="str">
            <v>AA4033</v>
          </cell>
        </row>
        <row r="320">
          <cell r="B320" t="str">
            <v>AA4034</v>
          </cell>
        </row>
        <row r="321">
          <cell r="B321" t="str">
            <v>AA4035</v>
          </cell>
        </row>
        <row r="322">
          <cell r="B322" t="str">
            <v>AA4036</v>
          </cell>
        </row>
        <row r="323">
          <cell r="B323" t="str">
            <v>AA4038</v>
          </cell>
        </row>
        <row r="324">
          <cell r="B324" t="str">
            <v>AA4039</v>
          </cell>
        </row>
        <row r="325">
          <cell r="B325" t="str">
            <v>AA4040</v>
          </cell>
        </row>
        <row r="326">
          <cell r="B326" t="str">
            <v>AA4041</v>
          </cell>
        </row>
        <row r="327">
          <cell r="B327" t="str">
            <v>AA4042</v>
          </cell>
        </row>
        <row r="328">
          <cell r="B328" t="str">
            <v>AA4042-1</v>
          </cell>
        </row>
        <row r="329">
          <cell r="B329" t="str">
            <v>AA4043</v>
          </cell>
        </row>
        <row r="330">
          <cell r="B330" t="str">
            <v>AA4043-1</v>
          </cell>
        </row>
        <row r="331">
          <cell r="B331" t="str">
            <v>AA4044</v>
          </cell>
        </row>
        <row r="332">
          <cell r="B332" t="str">
            <v>AA4045</v>
          </cell>
        </row>
        <row r="333">
          <cell r="B333" t="str">
            <v>AA4046</v>
          </cell>
        </row>
        <row r="334">
          <cell r="B334" t="str">
            <v>AA4047</v>
          </cell>
        </row>
        <row r="335">
          <cell r="B335" t="str">
            <v>AA4051</v>
          </cell>
        </row>
        <row r="336">
          <cell r="B336" t="str">
            <v>AA4052</v>
          </cell>
        </row>
        <row r="337">
          <cell r="B337" t="str">
            <v>AA4053</v>
          </cell>
        </row>
        <row r="338">
          <cell r="B338" t="str">
            <v>AA4054</v>
          </cell>
        </row>
        <row r="339">
          <cell r="B339" t="str">
            <v>AA4056</v>
          </cell>
        </row>
        <row r="340">
          <cell r="B340" t="str">
            <v>AA4058</v>
          </cell>
        </row>
        <row r="341">
          <cell r="B341" t="str">
            <v>AA4059</v>
          </cell>
        </row>
        <row r="342">
          <cell r="B342" t="str">
            <v>AA4101</v>
          </cell>
        </row>
        <row r="343">
          <cell r="B343" t="str">
            <v>AA5001</v>
          </cell>
        </row>
        <row r="344">
          <cell r="B344" t="str">
            <v>AA5002</v>
          </cell>
        </row>
        <row r="345">
          <cell r="B345" t="str">
            <v>AA5003</v>
          </cell>
        </row>
        <row r="346">
          <cell r="B346" t="str">
            <v>AA5004</v>
          </cell>
        </row>
        <row r="347">
          <cell r="B347" t="str">
            <v>AA5005</v>
          </cell>
        </row>
        <row r="348">
          <cell r="B348" t="str">
            <v>AA5006</v>
          </cell>
        </row>
        <row r="349">
          <cell r="B349" t="str">
            <v>AA5007</v>
          </cell>
        </row>
        <row r="350">
          <cell r="B350" t="str">
            <v>AA5008</v>
          </cell>
        </row>
        <row r="351">
          <cell r="B351" t="str">
            <v>AA5009</v>
          </cell>
        </row>
        <row r="352">
          <cell r="B352" t="str">
            <v>AA5010</v>
          </cell>
        </row>
        <row r="353">
          <cell r="B353" t="str">
            <v>AA5011</v>
          </cell>
        </row>
        <row r="354">
          <cell r="B354" t="str">
            <v>AA5012</v>
          </cell>
        </row>
        <row r="355">
          <cell r="B355" t="str">
            <v>AA5013</v>
          </cell>
        </row>
        <row r="356">
          <cell r="B356" t="str">
            <v>AA5014</v>
          </cell>
        </row>
        <row r="357">
          <cell r="B357" t="str">
            <v>AA5015</v>
          </cell>
        </row>
        <row r="358">
          <cell r="B358" t="str">
            <v>AA5016</v>
          </cell>
        </row>
        <row r="359">
          <cell r="B359" t="str">
            <v>AA5017</v>
          </cell>
        </row>
        <row r="360">
          <cell r="B360" t="str">
            <v>AA5018</v>
          </cell>
        </row>
        <row r="361">
          <cell r="B361" t="str">
            <v>AA5019</v>
          </cell>
        </row>
        <row r="362">
          <cell r="B362" t="str">
            <v>AA5020</v>
          </cell>
        </row>
        <row r="363">
          <cell r="B363" t="str">
            <v>AA5021</v>
          </cell>
        </row>
        <row r="364">
          <cell r="B364" t="str">
            <v>AA5022</v>
          </cell>
        </row>
        <row r="365">
          <cell r="B365" t="str">
            <v>AA5023</v>
          </cell>
        </row>
        <row r="366">
          <cell r="B366" t="str">
            <v>AA6001</v>
          </cell>
        </row>
        <row r="367">
          <cell r="B367" t="str">
            <v>AA6002</v>
          </cell>
        </row>
        <row r="368">
          <cell r="B368" t="str">
            <v>AA6003</v>
          </cell>
        </row>
        <row r="369">
          <cell r="B369" t="str">
            <v>AA6004</v>
          </cell>
        </row>
        <row r="370">
          <cell r="B370" t="str">
            <v>AA6005</v>
          </cell>
        </row>
        <row r="371">
          <cell r="B371" t="str">
            <v>AA6006</v>
          </cell>
        </row>
        <row r="372">
          <cell r="B372" t="str">
            <v>AA6007</v>
          </cell>
        </row>
        <row r="373">
          <cell r="B373" t="str">
            <v>AA6008</v>
          </cell>
        </row>
        <row r="374">
          <cell r="B374" t="str">
            <v>AA6009</v>
          </cell>
        </row>
        <row r="375">
          <cell r="B375" t="str">
            <v>AA6010</v>
          </cell>
        </row>
        <row r="376">
          <cell r="B376" t="str">
            <v>AA6011</v>
          </cell>
        </row>
        <row r="377">
          <cell r="B377" t="str">
            <v>AA6012</v>
          </cell>
        </row>
        <row r="378">
          <cell r="B378" t="str">
            <v>AA6013</v>
          </cell>
        </row>
        <row r="379">
          <cell r="B379" t="str">
            <v>AA6014</v>
          </cell>
        </row>
        <row r="380">
          <cell r="B380" t="str">
            <v>AA6015</v>
          </cell>
        </row>
        <row r="381">
          <cell r="B381" t="str">
            <v>AA6016</v>
          </cell>
        </row>
        <row r="382">
          <cell r="B382" t="str">
            <v>AA6017</v>
          </cell>
        </row>
        <row r="383">
          <cell r="B383" t="str">
            <v>AA6018</v>
          </cell>
        </row>
        <row r="384">
          <cell r="B384" t="str">
            <v>AA6019</v>
          </cell>
        </row>
        <row r="385">
          <cell r="B385" t="str">
            <v>AA6020</v>
          </cell>
        </row>
        <row r="386">
          <cell r="B386" t="str">
            <v>AA6021</v>
          </cell>
        </row>
        <row r="387">
          <cell r="B387" t="str">
            <v>AA6022</v>
          </cell>
        </row>
        <row r="388">
          <cell r="B388" t="str">
            <v>AA6023</v>
          </cell>
        </row>
        <row r="389">
          <cell r="B389" t="str">
            <v>AA6024</v>
          </cell>
        </row>
        <row r="390">
          <cell r="B390" t="str">
            <v>AA6025</v>
          </cell>
        </row>
        <row r="391">
          <cell r="B391" t="str">
            <v>AA6026</v>
          </cell>
        </row>
        <row r="392">
          <cell r="B392" t="str">
            <v>AA6027</v>
          </cell>
        </row>
        <row r="393">
          <cell r="B393" t="str">
            <v>AA6029</v>
          </cell>
        </row>
        <row r="394">
          <cell r="B394" t="str">
            <v>AA6030</v>
          </cell>
        </row>
        <row r="395">
          <cell r="B395" t="str">
            <v>AA6031</v>
          </cell>
        </row>
        <row r="396">
          <cell r="B396" t="str">
            <v>AA6032</v>
          </cell>
        </row>
        <row r="397">
          <cell r="B397" t="str">
            <v>AA7001</v>
          </cell>
        </row>
        <row r="398">
          <cell r="B398" t="str">
            <v>AA7002</v>
          </cell>
        </row>
        <row r="399">
          <cell r="B399" t="str">
            <v>AA7003</v>
          </cell>
        </row>
        <row r="400">
          <cell r="B400" t="str">
            <v>AA7005</v>
          </cell>
        </row>
        <row r="401">
          <cell r="B401" t="str">
            <v>AA7006</v>
          </cell>
        </row>
        <row r="402">
          <cell r="B402" t="str">
            <v>AA7007</v>
          </cell>
        </row>
        <row r="403">
          <cell r="B403" t="str">
            <v>AA7008</v>
          </cell>
        </row>
        <row r="404">
          <cell r="B404" t="str">
            <v>AA7009</v>
          </cell>
        </row>
        <row r="405">
          <cell r="B405" t="str">
            <v>AA7010</v>
          </cell>
        </row>
        <row r="406">
          <cell r="B406" t="str">
            <v>AA7011</v>
          </cell>
        </row>
        <row r="407">
          <cell r="B407" t="str">
            <v>AA7012</v>
          </cell>
        </row>
        <row r="408">
          <cell r="B408" t="str">
            <v>AA7013</v>
          </cell>
        </row>
        <row r="409">
          <cell r="B409" t="str">
            <v>AA7014</v>
          </cell>
        </row>
        <row r="410">
          <cell r="B410" t="str">
            <v>AA7015</v>
          </cell>
        </row>
        <row r="411">
          <cell r="B411" t="str">
            <v>AA7016</v>
          </cell>
        </row>
        <row r="412">
          <cell r="B412" t="str">
            <v>AA7017</v>
          </cell>
        </row>
        <row r="413">
          <cell r="B413" t="str">
            <v>AA7018</v>
          </cell>
        </row>
        <row r="414">
          <cell r="B414" t="str">
            <v>AA7019</v>
          </cell>
        </row>
        <row r="415">
          <cell r="B415" t="str">
            <v>AA7020</v>
          </cell>
        </row>
        <row r="416">
          <cell r="B416" t="str">
            <v>AA7021</v>
          </cell>
        </row>
        <row r="417">
          <cell r="B417" t="str">
            <v>AA7022</v>
          </cell>
        </row>
        <row r="418">
          <cell r="B418" t="str">
            <v>AA7023</v>
          </cell>
        </row>
        <row r="419">
          <cell r="B419" t="str">
            <v>AA7024</v>
          </cell>
        </row>
        <row r="420">
          <cell r="B420" t="str">
            <v>AA7025</v>
          </cell>
        </row>
        <row r="421">
          <cell r="B421" t="str">
            <v>AA7026</v>
          </cell>
        </row>
        <row r="422">
          <cell r="B422" t="str">
            <v>AA7027</v>
          </cell>
        </row>
        <row r="423">
          <cell r="B423" t="str">
            <v>AA7028</v>
          </cell>
        </row>
        <row r="424">
          <cell r="B424" t="str">
            <v>AA7029</v>
          </cell>
        </row>
        <row r="425">
          <cell r="B425" t="str">
            <v>AA7030</v>
          </cell>
        </row>
        <row r="426">
          <cell r="B426" t="str">
            <v>AA7031</v>
          </cell>
        </row>
        <row r="427">
          <cell r="B427" t="str">
            <v>AA7032</v>
          </cell>
        </row>
        <row r="428">
          <cell r="B428" t="str">
            <v>AA7033</v>
          </cell>
        </row>
        <row r="429">
          <cell r="B429" t="str">
            <v>AA7034</v>
          </cell>
        </row>
        <row r="430">
          <cell r="B430" t="str">
            <v>AA80001</v>
          </cell>
        </row>
        <row r="431">
          <cell r="B431" t="str">
            <v>AA80003</v>
          </cell>
        </row>
        <row r="432">
          <cell r="B432" t="str">
            <v>AA80003-1</v>
          </cell>
        </row>
        <row r="433">
          <cell r="B433" t="str">
            <v>AA80004</v>
          </cell>
        </row>
        <row r="434">
          <cell r="B434" t="str">
            <v>AA80005</v>
          </cell>
        </row>
        <row r="435">
          <cell r="B435" t="str">
            <v>AA80006</v>
          </cell>
        </row>
        <row r="436">
          <cell r="B436" t="str">
            <v>AA80007</v>
          </cell>
        </row>
        <row r="437">
          <cell r="B437" t="str">
            <v>AA80008</v>
          </cell>
        </row>
        <row r="438">
          <cell r="B438" t="str">
            <v>AA80009</v>
          </cell>
        </row>
        <row r="439">
          <cell r="B439" t="str">
            <v>AA80010</v>
          </cell>
        </row>
        <row r="440">
          <cell r="B440" t="str">
            <v>AA80011</v>
          </cell>
        </row>
        <row r="441">
          <cell r="B441" t="str">
            <v>AA80012</v>
          </cell>
        </row>
        <row r="442">
          <cell r="B442" t="str">
            <v>AA80013</v>
          </cell>
        </row>
        <row r="443">
          <cell r="B443" t="str">
            <v>AA80014</v>
          </cell>
        </row>
        <row r="444">
          <cell r="B444" t="str">
            <v>AA80015</v>
          </cell>
        </row>
        <row r="445">
          <cell r="B445" t="str">
            <v>AA80016</v>
          </cell>
        </row>
        <row r="446">
          <cell r="B446" t="str">
            <v>AA80017</v>
          </cell>
        </row>
        <row r="447">
          <cell r="B447" t="str">
            <v>AA80018</v>
          </cell>
        </row>
        <row r="448">
          <cell r="B448" t="str">
            <v>AA80019</v>
          </cell>
        </row>
        <row r="449">
          <cell r="B449" t="str">
            <v>AA80020</v>
          </cell>
        </row>
        <row r="450">
          <cell r="B450" t="str">
            <v>AA80021</v>
          </cell>
        </row>
        <row r="451">
          <cell r="B451" t="str">
            <v>AA80022</v>
          </cell>
        </row>
        <row r="452">
          <cell r="B452" t="str">
            <v>AA80023</v>
          </cell>
        </row>
        <row r="453">
          <cell r="B453" t="str">
            <v>AA80024</v>
          </cell>
        </row>
        <row r="454">
          <cell r="B454" t="str">
            <v>AA80025</v>
          </cell>
        </row>
        <row r="455">
          <cell r="B455" t="str">
            <v>AA80026</v>
          </cell>
        </row>
        <row r="456">
          <cell r="B456" t="str">
            <v>AA80027</v>
          </cell>
        </row>
        <row r="457">
          <cell r="B457" t="str">
            <v>AA80028</v>
          </cell>
        </row>
        <row r="458">
          <cell r="B458" t="str">
            <v>AA80029</v>
          </cell>
        </row>
        <row r="459">
          <cell r="B459" t="str">
            <v>AA80030</v>
          </cell>
        </row>
        <row r="460">
          <cell r="B460" t="str">
            <v>AA80031</v>
          </cell>
        </row>
        <row r="461">
          <cell r="B461" t="str">
            <v>AA80032</v>
          </cell>
        </row>
        <row r="462">
          <cell r="B462" t="str">
            <v>AA80033</v>
          </cell>
        </row>
        <row r="463">
          <cell r="B463" t="str">
            <v>AA80034</v>
          </cell>
        </row>
        <row r="464">
          <cell r="B464" t="str">
            <v>AA80035</v>
          </cell>
        </row>
        <row r="465">
          <cell r="B465" t="str">
            <v>AA80036</v>
          </cell>
        </row>
        <row r="466">
          <cell r="B466" t="str">
            <v>AA80037</v>
          </cell>
        </row>
        <row r="467">
          <cell r="B467" t="str">
            <v>AA80038</v>
          </cell>
        </row>
        <row r="468">
          <cell r="B468" t="str">
            <v>AA80039</v>
          </cell>
        </row>
        <row r="469">
          <cell r="B469" t="str">
            <v>AA80040</v>
          </cell>
        </row>
        <row r="470">
          <cell r="B470" t="str">
            <v>AA80041</v>
          </cell>
        </row>
        <row r="471">
          <cell r="B471" t="str">
            <v>AA80042</v>
          </cell>
        </row>
        <row r="472">
          <cell r="B472" t="str">
            <v>AA80043</v>
          </cell>
        </row>
        <row r="473">
          <cell r="B473" t="str">
            <v>AA80044</v>
          </cell>
        </row>
        <row r="474">
          <cell r="B474" t="str">
            <v>AA80045</v>
          </cell>
        </row>
        <row r="475">
          <cell r="B475" t="str">
            <v>AA80046</v>
          </cell>
        </row>
        <row r="476">
          <cell r="B476" t="str">
            <v>AA80047</v>
          </cell>
        </row>
        <row r="477">
          <cell r="B477" t="str">
            <v>AA80048</v>
          </cell>
        </row>
        <row r="478">
          <cell r="B478" t="str">
            <v>AA80049</v>
          </cell>
        </row>
        <row r="479">
          <cell r="B479" t="str">
            <v>AA80050</v>
          </cell>
        </row>
        <row r="480">
          <cell r="B480" t="str">
            <v>AA80051</v>
          </cell>
        </row>
        <row r="481">
          <cell r="B481" t="str">
            <v>AA80052</v>
          </cell>
        </row>
        <row r="482">
          <cell r="B482" t="str">
            <v>AA80053</v>
          </cell>
        </row>
        <row r="483">
          <cell r="B483" t="str">
            <v>AA80054</v>
          </cell>
        </row>
        <row r="484">
          <cell r="B484" t="str">
            <v>AA80055</v>
          </cell>
        </row>
        <row r="485">
          <cell r="B485" t="str">
            <v>AA80056</v>
          </cell>
        </row>
        <row r="486">
          <cell r="B486" t="str">
            <v>AA80057</v>
          </cell>
        </row>
        <row r="487">
          <cell r="B487" t="str">
            <v>AA80058</v>
          </cell>
        </row>
        <row r="488">
          <cell r="B488" t="str">
            <v>AA80059</v>
          </cell>
        </row>
        <row r="489">
          <cell r="B489" t="str">
            <v>AA80060</v>
          </cell>
        </row>
        <row r="490">
          <cell r="B490" t="str">
            <v>AA80061</v>
          </cell>
        </row>
        <row r="491">
          <cell r="B491" t="str">
            <v>AA80062</v>
          </cell>
        </row>
        <row r="492">
          <cell r="B492" t="str">
            <v>AA80063</v>
          </cell>
        </row>
        <row r="493">
          <cell r="B493" t="str">
            <v>AA80064</v>
          </cell>
        </row>
        <row r="494">
          <cell r="B494" t="str">
            <v>AA80065</v>
          </cell>
        </row>
        <row r="495">
          <cell r="B495" t="str">
            <v>AA80066</v>
          </cell>
        </row>
        <row r="496">
          <cell r="B496" t="str">
            <v>AA80067</v>
          </cell>
        </row>
        <row r="497">
          <cell r="B497" t="str">
            <v>AA80068</v>
          </cell>
        </row>
        <row r="498">
          <cell r="B498" t="str">
            <v>AA80069</v>
          </cell>
        </row>
        <row r="499">
          <cell r="B499" t="str">
            <v>AA80070</v>
          </cell>
        </row>
        <row r="500">
          <cell r="B500" t="str">
            <v>AA80071</v>
          </cell>
        </row>
        <row r="501">
          <cell r="B501" t="str">
            <v>AA80071-1</v>
          </cell>
        </row>
        <row r="502">
          <cell r="B502" t="str">
            <v>AA80072</v>
          </cell>
        </row>
        <row r="503">
          <cell r="B503" t="str">
            <v>AA80073</v>
          </cell>
        </row>
        <row r="504">
          <cell r="B504" t="str">
            <v>AA80074</v>
          </cell>
        </row>
        <row r="505">
          <cell r="B505" t="str">
            <v>AA80074-1</v>
          </cell>
        </row>
        <row r="506">
          <cell r="B506" t="str">
            <v>AA80075</v>
          </cell>
        </row>
        <row r="507">
          <cell r="B507" t="str">
            <v>AA80076</v>
          </cell>
        </row>
        <row r="508">
          <cell r="B508" t="str">
            <v>AA80077</v>
          </cell>
        </row>
        <row r="509">
          <cell r="B509" t="str">
            <v>AA80078</v>
          </cell>
        </row>
        <row r="510">
          <cell r="B510" t="str">
            <v>AA80079</v>
          </cell>
        </row>
        <row r="511">
          <cell r="B511" t="str">
            <v>AA80080</v>
          </cell>
        </row>
        <row r="512">
          <cell r="B512" t="str">
            <v>AA80081</v>
          </cell>
        </row>
        <row r="513">
          <cell r="B513" t="str">
            <v>AA80082</v>
          </cell>
        </row>
        <row r="514">
          <cell r="B514" t="str">
            <v>AA80083</v>
          </cell>
        </row>
        <row r="515">
          <cell r="B515" t="str">
            <v>AA80084</v>
          </cell>
        </row>
        <row r="516">
          <cell r="B516" t="str">
            <v>AA80085</v>
          </cell>
        </row>
        <row r="517">
          <cell r="B517" t="str">
            <v>AA80086</v>
          </cell>
        </row>
        <row r="518">
          <cell r="B518" t="str">
            <v>AA80087</v>
          </cell>
        </row>
        <row r="519">
          <cell r="B519" t="str">
            <v>AA80088</v>
          </cell>
        </row>
        <row r="520">
          <cell r="B520" t="str">
            <v>AA80089</v>
          </cell>
        </row>
        <row r="521">
          <cell r="B521" t="str">
            <v>AA80090</v>
          </cell>
        </row>
        <row r="522">
          <cell r="B522" t="str">
            <v>AA80091</v>
          </cell>
        </row>
        <row r="523">
          <cell r="B523" t="str">
            <v>AA80091-1</v>
          </cell>
        </row>
        <row r="524">
          <cell r="B524" t="str">
            <v>AA80092</v>
          </cell>
        </row>
        <row r="525">
          <cell r="B525" t="str">
            <v>AA80093</v>
          </cell>
        </row>
        <row r="526">
          <cell r="B526" t="str">
            <v>AA80094</v>
          </cell>
        </row>
        <row r="527">
          <cell r="B527" t="str">
            <v>AA80095</v>
          </cell>
        </row>
        <row r="528">
          <cell r="B528" t="str">
            <v>AA80096</v>
          </cell>
        </row>
        <row r="529">
          <cell r="B529" t="str">
            <v>AA80097</v>
          </cell>
        </row>
        <row r="530">
          <cell r="B530" t="str">
            <v>AA80098</v>
          </cell>
        </row>
        <row r="531">
          <cell r="B531" t="str">
            <v>AA80099</v>
          </cell>
        </row>
        <row r="532">
          <cell r="B532" t="str">
            <v>AA80100</v>
          </cell>
        </row>
        <row r="533">
          <cell r="B533" t="str">
            <v>AA80101</v>
          </cell>
        </row>
        <row r="534">
          <cell r="B534" t="str">
            <v>AA80102</v>
          </cell>
        </row>
        <row r="535">
          <cell r="B535" t="str">
            <v>AA80103</v>
          </cell>
        </row>
        <row r="536">
          <cell r="B536" t="str">
            <v>AA80104</v>
          </cell>
        </row>
        <row r="537">
          <cell r="B537" t="str">
            <v>AA80105</v>
          </cell>
        </row>
        <row r="538">
          <cell r="B538" t="str">
            <v>AA80106</v>
          </cell>
        </row>
        <row r="539">
          <cell r="B539" t="str">
            <v>AA80106-1</v>
          </cell>
        </row>
        <row r="540">
          <cell r="B540" t="str">
            <v>AA80107</v>
          </cell>
        </row>
        <row r="541">
          <cell r="B541" t="str">
            <v>AA80108</v>
          </cell>
        </row>
        <row r="542">
          <cell r="B542" t="str">
            <v>AA80109</v>
          </cell>
        </row>
        <row r="543">
          <cell r="B543" t="str">
            <v>AA80110</v>
          </cell>
        </row>
        <row r="544">
          <cell r="B544" t="str">
            <v>AA80111</v>
          </cell>
        </row>
        <row r="545">
          <cell r="B545" t="str">
            <v>AA80111-1</v>
          </cell>
        </row>
        <row r="546">
          <cell r="B546" t="str">
            <v>AA80112</v>
          </cell>
        </row>
        <row r="547">
          <cell r="B547" t="str">
            <v>AA80113</v>
          </cell>
        </row>
        <row r="548">
          <cell r="B548" t="str">
            <v>AA80114</v>
          </cell>
        </row>
        <row r="549">
          <cell r="B549" t="str">
            <v>AA80115</v>
          </cell>
        </row>
        <row r="550">
          <cell r="B550" t="str">
            <v>AA80116</v>
          </cell>
        </row>
        <row r="551">
          <cell r="B551" t="str">
            <v>AA80117</v>
          </cell>
        </row>
        <row r="552">
          <cell r="B552" t="str">
            <v>AA80118</v>
          </cell>
        </row>
        <row r="553">
          <cell r="B553" t="str">
            <v>AA80119</v>
          </cell>
        </row>
        <row r="554">
          <cell r="B554" t="str">
            <v>AA80120</v>
          </cell>
        </row>
        <row r="555">
          <cell r="B555" t="str">
            <v>AA80121</v>
          </cell>
        </row>
        <row r="556">
          <cell r="B556" t="str">
            <v>AA80122</v>
          </cell>
        </row>
        <row r="557">
          <cell r="B557" t="str">
            <v>AA80123</v>
          </cell>
        </row>
        <row r="558">
          <cell r="B558" t="str">
            <v>AA80124</v>
          </cell>
        </row>
        <row r="559">
          <cell r="B559" t="str">
            <v>AA9001</v>
          </cell>
        </row>
        <row r="560">
          <cell r="B560" t="str">
            <v>AA9002</v>
          </cell>
        </row>
        <row r="561">
          <cell r="B561" t="str">
            <v>AA9003</v>
          </cell>
        </row>
        <row r="562">
          <cell r="B562" t="str">
            <v>AA9004</v>
          </cell>
        </row>
        <row r="563">
          <cell r="B563" t="str">
            <v>AA9201</v>
          </cell>
        </row>
        <row r="564">
          <cell r="B564" t="str">
            <v>AA9202</v>
          </cell>
        </row>
        <row r="565">
          <cell r="B565" t="str">
            <v>AA9203</v>
          </cell>
        </row>
        <row r="566">
          <cell r="B566" t="str">
            <v>AA9204</v>
          </cell>
        </row>
        <row r="567">
          <cell r="B567" t="str">
            <v>AA9205</v>
          </cell>
        </row>
        <row r="568">
          <cell r="B568" t="str">
            <v>AA9206</v>
          </cell>
        </row>
        <row r="569">
          <cell r="B569" t="str">
            <v>AA9206-1</v>
          </cell>
        </row>
        <row r="570">
          <cell r="B570" t="str">
            <v>AA9207</v>
          </cell>
        </row>
        <row r="571">
          <cell r="B571" t="str">
            <v>AA9208</v>
          </cell>
        </row>
        <row r="572">
          <cell r="B572" t="str">
            <v>AA9209</v>
          </cell>
        </row>
        <row r="573">
          <cell r="B573" t="str">
            <v>AA9210</v>
          </cell>
        </row>
        <row r="574">
          <cell r="B574" t="str">
            <v>AA9211</v>
          </cell>
        </row>
        <row r="575">
          <cell r="B575" t="str">
            <v>AA9212</v>
          </cell>
        </row>
        <row r="576">
          <cell r="B576" t="str">
            <v>AA9213</v>
          </cell>
        </row>
        <row r="577">
          <cell r="B577" t="str">
            <v>AA9214</v>
          </cell>
        </row>
        <row r="578">
          <cell r="B578" t="str">
            <v>AA9215</v>
          </cell>
        </row>
        <row r="579">
          <cell r="B579" t="str">
            <v>AA9216</v>
          </cell>
        </row>
        <row r="580">
          <cell r="B580" t="str">
            <v>AA9217</v>
          </cell>
        </row>
        <row r="581">
          <cell r="B581" t="str">
            <v>AA9218</v>
          </cell>
        </row>
        <row r="582">
          <cell r="B582" t="str">
            <v>AA9219</v>
          </cell>
        </row>
        <row r="583">
          <cell r="B583" t="str">
            <v>AA9220</v>
          </cell>
        </row>
        <row r="584">
          <cell r="B584" t="str">
            <v>AA9221</v>
          </cell>
        </row>
        <row r="585">
          <cell r="B585" t="str">
            <v>AA9221-1</v>
          </cell>
        </row>
        <row r="586">
          <cell r="B586" t="str">
            <v>AA9222</v>
          </cell>
        </row>
        <row r="587">
          <cell r="B587" t="str">
            <v>AA9222-1</v>
          </cell>
        </row>
        <row r="588">
          <cell r="B588" t="str">
            <v>AA9223</v>
          </cell>
        </row>
        <row r="589">
          <cell r="B589" t="str">
            <v>AA9224</v>
          </cell>
        </row>
        <row r="590">
          <cell r="B590" t="str">
            <v>AA9225</v>
          </cell>
        </row>
        <row r="591">
          <cell r="B591" t="str">
            <v>AA9226</v>
          </cell>
        </row>
        <row r="592">
          <cell r="B592" t="str">
            <v>AA9301</v>
          </cell>
        </row>
        <row r="593">
          <cell r="B593" t="str">
            <v>AA9302</v>
          </cell>
        </row>
        <row r="594">
          <cell r="B594" t="str">
            <v>AA9303</v>
          </cell>
        </row>
        <row r="595">
          <cell r="B595" t="str">
            <v>AA9304</v>
          </cell>
        </row>
        <row r="596">
          <cell r="B596" t="str">
            <v>AA9304-1</v>
          </cell>
        </row>
        <row r="597">
          <cell r="B597" t="str">
            <v>AA9305</v>
          </cell>
        </row>
        <row r="598">
          <cell r="B598" t="str">
            <v>AA9306</v>
          </cell>
        </row>
        <row r="599">
          <cell r="B599" t="str">
            <v>AA9307</v>
          </cell>
        </row>
        <row r="600">
          <cell r="B600" t="str">
            <v>AA9308</v>
          </cell>
        </row>
        <row r="601">
          <cell r="B601" t="str">
            <v>AA9309</v>
          </cell>
        </row>
        <row r="602">
          <cell r="B602" t="str">
            <v>AA9310</v>
          </cell>
        </row>
        <row r="603">
          <cell r="B603" t="str">
            <v>AA9311</v>
          </cell>
        </row>
        <row r="604">
          <cell r="B604" t="str">
            <v>AA9312</v>
          </cell>
        </row>
        <row r="605">
          <cell r="B605" t="str">
            <v>AA9313</v>
          </cell>
        </row>
        <row r="606">
          <cell r="B606" t="str">
            <v>AA9314</v>
          </cell>
        </row>
        <row r="607">
          <cell r="B607" t="str">
            <v>AA9314-1</v>
          </cell>
        </row>
        <row r="608">
          <cell r="B608" t="str">
            <v>AA9314-2</v>
          </cell>
        </row>
        <row r="609">
          <cell r="B609" t="str">
            <v>AA9315</v>
          </cell>
        </row>
        <row r="610">
          <cell r="B610" t="str">
            <v>AA9316</v>
          </cell>
        </row>
        <row r="611">
          <cell r="B611" t="str">
            <v>AA9317</v>
          </cell>
        </row>
        <row r="612">
          <cell r="B612" t="str">
            <v>AA9318</v>
          </cell>
        </row>
        <row r="613">
          <cell r="B613" t="str">
            <v>AA9320</v>
          </cell>
        </row>
        <row r="614">
          <cell r="B614" t="str">
            <v>AA9321</v>
          </cell>
        </row>
        <row r="615">
          <cell r="B615" t="str">
            <v>AA9322</v>
          </cell>
        </row>
        <row r="616">
          <cell r="B616" t="str">
            <v>AA9323</v>
          </cell>
        </row>
        <row r="617">
          <cell r="B617" t="str">
            <v>AA9324</v>
          </cell>
        </row>
        <row r="618">
          <cell r="B618" t="str">
            <v>AA9325</v>
          </cell>
        </row>
        <row r="619">
          <cell r="B619" t="str">
            <v>AA9326</v>
          </cell>
        </row>
        <row r="620">
          <cell r="B620" t="str">
            <v>AA9327</v>
          </cell>
        </row>
        <row r="621">
          <cell r="B621" t="str">
            <v>AA9328</v>
          </cell>
        </row>
        <row r="622">
          <cell r="B622" t="str">
            <v>AA9329</v>
          </cell>
        </row>
        <row r="623">
          <cell r="B623" t="str">
            <v>AA9330</v>
          </cell>
        </row>
        <row r="624">
          <cell r="B624" t="str">
            <v>AA9331</v>
          </cell>
        </row>
        <row r="625">
          <cell r="B625" t="str">
            <v>AA9331-1</v>
          </cell>
        </row>
        <row r="626">
          <cell r="B626" t="str">
            <v>AA9332</v>
          </cell>
        </row>
        <row r="627">
          <cell r="B627" t="str">
            <v>AA9333</v>
          </cell>
        </row>
        <row r="628">
          <cell r="B628" t="str">
            <v>AA9334</v>
          </cell>
        </row>
        <row r="629">
          <cell r="B629" t="str">
            <v>AA9335</v>
          </cell>
        </row>
        <row r="630">
          <cell r="B630" t="str">
            <v>AA9336</v>
          </cell>
        </row>
        <row r="631">
          <cell r="B631" t="str">
            <v>AA9337</v>
          </cell>
        </row>
        <row r="632">
          <cell r="B632" t="str">
            <v>AA9338</v>
          </cell>
        </row>
        <row r="633">
          <cell r="B633" t="str">
            <v>AA9339</v>
          </cell>
        </row>
        <row r="634">
          <cell r="B634" t="str">
            <v>AA9340</v>
          </cell>
        </row>
        <row r="635">
          <cell r="B635" t="str">
            <v>AA9341</v>
          </cell>
        </row>
        <row r="636">
          <cell r="B636" t="str">
            <v>AA9342</v>
          </cell>
        </row>
        <row r="637">
          <cell r="B637" t="str">
            <v>AA9343</v>
          </cell>
        </row>
        <row r="638">
          <cell r="B638" t="str">
            <v>AA9400</v>
          </cell>
        </row>
        <row r="639">
          <cell r="B639" t="str">
            <v>AA9401</v>
          </cell>
        </row>
        <row r="640">
          <cell r="B640" t="str">
            <v>AA9402</v>
          </cell>
        </row>
        <row r="641">
          <cell r="B641" t="str">
            <v>AA9403</v>
          </cell>
        </row>
        <row r="642">
          <cell r="B642" t="str">
            <v>AA9404</v>
          </cell>
        </row>
        <row r="643">
          <cell r="B643" t="str">
            <v>AA9411</v>
          </cell>
        </row>
        <row r="644">
          <cell r="B644" t="str">
            <v>AA9412</v>
          </cell>
        </row>
        <row r="645">
          <cell r="B645" t="str">
            <v>AA9500</v>
          </cell>
        </row>
        <row r="646">
          <cell r="B646" t="str">
            <v>AA9501</v>
          </cell>
        </row>
        <row r="647">
          <cell r="B647" t="str">
            <v>AA9502</v>
          </cell>
        </row>
        <row r="648">
          <cell r="B648" t="str">
            <v>AA9503</v>
          </cell>
        </row>
        <row r="649">
          <cell r="B649" t="str">
            <v>AA9601</v>
          </cell>
        </row>
        <row r="650">
          <cell r="B650" t="str">
            <v>AA9602</v>
          </cell>
        </row>
        <row r="651">
          <cell r="B651" t="str">
            <v>AA9603</v>
          </cell>
        </row>
        <row r="652">
          <cell r="B652" t="str">
            <v>AA9604</v>
          </cell>
        </row>
        <row r="653">
          <cell r="B653" t="str">
            <v>AA9605</v>
          </cell>
        </row>
        <row r="654">
          <cell r="B654" t="str">
            <v>AA9606</v>
          </cell>
        </row>
        <row r="655">
          <cell r="B655" t="str">
            <v>AA9607</v>
          </cell>
        </row>
        <row r="656">
          <cell r="B656" t="str">
            <v>AA9608</v>
          </cell>
        </row>
        <row r="657">
          <cell r="B657" t="str">
            <v>AA9609</v>
          </cell>
        </row>
        <row r="658">
          <cell r="B658" t="str">
            <v>AH0115</v>
          </cell>
        </row>
        <row r="659">
          <cell r="B659" t="str">
            <v>AH0116</v>
          </cell>
        </row>
        <row r="660">
          <cell r="B660" t="str">
            <v>AH0324</v>
          </cell>
        </row>
        <row r="661">
          <cell r="B661" t="str">
            <v>AH0390</v>
          </cell>
        </row>
        <row r="662">
          <cell r="B662" t="str">
            <v>AH0529</v>
          </cell>
        </row>
        <row r="663">
          <cell r="B663" t="str">
            <v>AH0560</v>
          </cell>
        </row>
        <row r="664">
          <cell r="B664" t="str">
            <v>AJ0001</v>
          </cell>
        </row>
        <row r="665">
          <cell r="B665" t="str">
            <v>AJ0001-1</v>
          </cell>
        </row>
        <row r="666">
          <cell r="B666" t="str">
            <v>AJ0001-2</v>
          </cell>
        </row>
        <row r="667">
          <cell r="B667" t="str">
            <v>AJ0001-3</v>
          </cell>
        </row>
        <row r="668">
          <cell r="B668" t="str">
            <v>AJ0002</v>
          </cell>
        </row>
        <row r="669">
          <cell r="B669" t="str">
            <v>AJ0002-1</v>
          </cell>
        </row>
        <row r="670">
          <cell r="B670" t="str">
            <v>AJ0003</v>
          </cell>
        </row>
        <row r="671">
          <cell r="B671" t="str">
            <v>AJ0003-1</v>
          </cell>
        </row>
        <row r="672">
          <cell r="B672" t="str">
            <v>AJ0004</v>
          </cell>
        </row>
        <row r="673">
          <cell r="B673" t="str">
            <v>AJ0005</v>
          </cell>
        </row>
        <row r="674">
          <cell r="B674" t="str">
            <v>AJ0005-1</v>
          </cell>
        </row>
        <row r="675">
          <cell r="B675" t="str">
            <v>AJ0005-2</v>
          </cell>
        </row>
        <row r="676">
          <cell r="B676" t="str">
            <v>AJ0005-3</v>
          </cell>
        </row>
        <row r="677">
          <cell r="B677" t="str">
            <v>AJ0005-4</v>
          </cell>
        </row>
        <row r="678">
          <cell r="B678" t="str">
            <v>AJ0006</v>
          </cell>
        </row>
        <row r="679">
          <cell r="B679" t="str">
            <v>AJ0006-1</v>
          </cell>
        </row>
        <row r="680">
          <cell r="B680" t="str">
            <v>AJ0006-2</v>
          </cell>
        </row>
        <row r="681">
          <cell r="B681" t="str">
            <v>AJ0006-3</v>
          </cell>
        </row>
        <row r="682">
          <cell r="B682" t="str">
            <v>AJ0007</v>
          </cell>
        </row>
        <row r="683">
          <cell r="B683" t="str">
            <v>AJ0007-1</v>
          </cell>
        </row>
        <row r="684">
          <cell r="B684" t="str">
            <v>AJ0007-2</v>
          </cell>
        </row>
        <row r="685">
          <cell r="B685" t="str">
            <v>AJ0007-3</v>
          </cell>
        </row>
        <row r="686">
          <cell r="B686" t="str">
            <v>AJ0007-4</v>
          </cell>
        </row>
        <row r="687">
          <cell r="B687" t="str">
            <v>AJ0008</v>
          </cell>
        </row>
        <row r="688">
          <cell r="B688" t="str">
            <v>AJ0008-1</v>
          </cell>
        </row>
        <row r="689">
          <cell r="B689" t="str">
            <v>AJ0008-3</v>
          </cell>
        </row>
        <row r="690">
          <cell r="B690" t="str">
            <v>AJ0009</v>
          </cell>
        </row>
        <row r="691">
          <cell r="B691" t="str">
            <v>AJ0009-1</v>
          </cell>
        </row>
        <row r="692">
          <cell r="B692" t="str">
            <v>AJ0009-2</v>
          </cell>
        </row>
        <row r="693">
          <cell r="B693" t="str">
            <v>AJ0009-3</v>
          </cell>
        </row>
        <row r="694">
          <cell r="B694" t="str">
            <v>AJ0010</v>
          </cell>
        </row>
        <row r="695">
          <cell r="B695" t="str">
            <v>AJ0010-1</v>
          </cell>
        </row>
        <row r="696">
          <cell r="B696" t="str">
            <v>AJ0010-2</v>
          </cell>
        </row>
        <row r="697">
          <cell r="B697" t="str">
            <v>AJ0011</v>
          </cell>
        </row>
        <row r="698">
          <cell r="B698" t="str">
            <v>AJ0011-1</v>
          </cell>
        </row>
        <row r="699">
          <cell r="B699" t="str">
            <v>AJ0012</v>
          </cell>
        </row>
        <row r="700">
          <cell r="B700" t="str">
            <v>AJ0012-1</v>
          </cell>
        </row>
        <row r="701">
          <cell r="B701" t="str">
            <v>AJ0013</v>
          </cell>
        </row>
        <row r="702">
          <cell r="B702" t="str">
            <v>AJ0013-1</v>
          </cell>
        </row>
        <row r="703">
          <cell r="B703" t="str">
            <v>AJ0013-2</v>
          </cell>
        </row>
        <row r="704">
          <cell r="B704" t="str">
            <v>AJ0014</v>
          </cell>
        </row>
        <row r="705">
          <cell r="B705" t="str">
            <v>AJ0014-2</v>
          </cell>
        </row>
        <row r="706">
          <cell r="B706" t="str">
            <v>AJ0015</v>
          </cell>
        </row>
        <row r="707">
          <cell r="B707" t="str">
            <v>AJ0015-1</v>
          </cell>
        </row>
        <row r="708">
          <cell r="B708" t="str">
            <v>AJ0016</v>
          </cell>
        </row>
        <row r="709">
          <cell r="B709" t="str">
            <v>AJ0016-1</v>
          </cell>
        </row>
        <row r="710">
          <cell r="B710" t="str">
            <v>AJ0017</v>
          </cell>
        </row>
        <row r="711">
          <cell r="B711" t="str">
            <v>AJ0017-1</v>
          </cell>
        </row>
        <row r="712">
          <cell r="B712" t="str">
            <v>AJ0018</v>
          </cell>
        </row>
        <row r="713">
          <cell r="B713" t="str">
            <v>AJ0018-1</v>
          </cell>
        </row>
        <row r="714">
          <cell r="B714" t="str">
            <v>AJ0019</v>
          </cell>
        </row>
        <row r="715">
          <cell r="B715" t="str">
            <v>AJ0020</v>
          </cell>
        </row>
        <row r="716">
          <cell r="B716" t="str">
            <v>AJ0021</v>
          </cell>
        </row>
        <row r="717">
          <cell r="B717" t="str">
            <v>AJ0022</v>
          </cell>
        </row>
        <row r="718">
          <cell r="B718" t="str">
            <v>AJ0023</v>
          </cell>
        </row>
        <row r="719">
          <cell r="B719" t="str">
            <v>AJ0023-1</v>
          </cell>
        </row>
        <row r="720">
          <cell r="B720" t="str">
            <v>AJ0024</v>
          </cell>
        </row>
        <row r="721">
          <cell r="B721" t="str">
            <v>AJ0024-1</v>
          </cell>
        </row>
        <row r="722">
          <cell r="B722" t="str">
            <v>AJ0025</v>
          </cell>
        </row>
        <row r="723">
          <cell r="B723" t="str">
            <v>AJ0025-1</v>
          </cell>
        </row>
        <row r="724">
          <cell r="B724" t="str">
            <v>AJ0025-2</v>
          </cell>
        </row>
        <row r="725">
          <cell r="B725" t="str">
            <v>AJ0026</v>
          </cell>
        </row>
        <row r="726">
          <cell r="B726" t="str">
            <v>AJ0026-1</v>
          </cell>
        </row>
        <row r="727">
          <cell r="B727" t="str">
            <v>AJ0027</v>
          </cell>
        </row>
        <row r="728">
          <cell r="B728" t="str">
            <v>AJ0028</v>
          </cell>
        </row>
        <row r="729">
          <cell r="B729" t="str">
            <v>AJ0028-1</v>
          </cell>
        </row>
        <row r="730">
          <cell r="B730" t="str">
            <v>AJ0028-2</v>
          </cell>
        </row>
        <row r="731">
          <cell r="B731" t="str">
            <v>AJ0029</v>
          </cell>
        </row>
        <row r="732">
          <cell r="B732" t="str">
            <v>AJ0029-1</v>
          </cell>
        </row>
        <row r="733">
          <cell r="B733" t="str">
            <v>AJ0029-2</v>
          </cell>
        </row>
        <row r="734">
          <cell r="B734" t="str">
            <v>AJ0030</v>
          </cell>
        </row>
        <row r="735">
          <cell r="B735" t="str">
            <v>AJ0031</v>
          </cell>
        </row>
        <row r="736">
          <cell r="B736" t="str">
            <v>AJ0032</v>
          </cell>
        </row>
        <row r="737">
          <cell r="B737" t="str">
            <v>AJ0033</v>
          </cell>
        </row>
        <row r="738">
          <cell r="B738" t="str">
            <v>AJ0033-1</v>
          </cell>
        </row>
        <row r="739">
          <cell r="B739" t="str">
            <v>AJ0033-2</v>
          </cell>
        </row>
        <row r="740">
          <cell r="B740" t="str">
            <v>AJ0033-3</v>
          </cell>
        </row>
        <row r="741">
          <cell r="B741" t="str">
            <v>AJ0034</v>
          </cell>
        </row>
        <row r="742">
          <cell r="B742" t="str">
            <v>AJ0034-1</v>
          </cell>
        </row>
        <row r="743">
          <cell r="B743" t="str">
            <v>AJ0035</v>
          </cell>
        </row>
        <row r="744">
          <cell r="B744" t="str">
            <v>AJ0035-1</v>
          </cell>
        </row>
        <row r="745">
          <cell r="B745" t="str">
            <v>AJ0036</v>
          </cell>
        </row>
        <row r="746">
          <cell r="B746" t="str">
            <v>AJ0036-1</v>
          </cell>
        </row>
        <row r="747">
          <cell r="B747" t="str">
            <v>AJ0036-2</v>
          </cell>
        </row>
        <row r="748">
          <cell r="B748" t="str">
            <v>AJ0036-3</v>
          </cell>
        </row>
        <row r="749">
          <cell r="B749" t="str">
            <v>AJ0037</v>
          </cell>
        </row>
        <row r="750">
          <cell r="B750" t="str">
            <v>AJ0037-1</v>
          </cell>
        </row>
        <row r="751">
          <cell r="B751" t="str">
            <v>AJ0038</v>
          </cell>
        </row>
        <row r="752">
          <cell r="B752" t="str">
            <v>AJ0038-1</v>
          </cell>
        </row>
        <row r="753">
          <cell r="B753" t="str">
            <v>AJ0039</v>
          </cell>
        </row>
        <row r="754">
          <cell r="B754" t="str">
            <v>AJ0040</v>
          </cell>
        </row>
        <row r="755">
          <cell r="B755" t="str">
            <v>AJ0041</v>
          </cell>
        </row>
        <row r="756">
          <cell r="B756" t="str">
            <v>AJ0041-1</v>
          </cell>
        </row>
        <row r="757">
          <cell r="B757" t="str">
            <v>AJ0041-2</v>
          </cell>
        </row>
        <row r="758">
          <cell r="B758" t="str">
            <v>AJ0042</v>
          </cell>
        </row>
        <row r="759">
          <cell r="B759" t="str">
            <v>AJ0042-1</v>
          </cell>
        </row>
        <row r="760">
          <cell r="B760" t="str">
            <v>AJ0043</v>
          </cell>
        </row>
        <row r="761">
          <cell r="B761" t="str">
            <v>AJ0043-1</v>
          </cell>
        </row>
        <row r="762">
          <cell r="B762" t="str">
            <v>AJ0044</v>
          </cell>
        </row>
        <row r="763">
          <cell r="B763" t="str">
            <v>AJ0044-1</v>
          </cell>
        </row>
        <row r="764">
          <cell r="B764" t="str">
            <v>AJ0045</v>
          </cell>
        </row>
        <row r="765">
          <cell r="B765" t="str">
            <v>AJ0045-1</v>
          </cell>
        </row>
        <row r="766">
          <cell r="B766" t="str">
            <v>AJ0046</v>
          </cell>
        </row>
        <row r="767">
          <cell r="B767" t="str">
            <v>AJ0046-1</v>
          </cell>
        </row>
        <row r="768">
          <cell r="B768" t="str">
            <v>AJ0047</v>
          </cell>
        </row>
        <row r="769">
          <cell r="B769" t="str">
            <v>AJ0047-1</v>
          </cell>
        </row>
        <row r="770">
          <cell r="B770" t="str">
            <v>AJ0048</v>
          </cell>
        </row>
        <row r="771">
          <cell r="B771" t="str">
            <v>AJ0048-1</v>
          </cell>
        </row>
        <row r="772">
          <cell r="B772" t="str">
            <v>AJ0048-2</v>
          </cell>
        </row>
        <row r="773">
          <cell r="B773" t="str">
            <v>AJ0049</v>
          </cell>
        </row>
        <row r="774">
          <cell r="B774" t="str">
            <v>AJ0049-1</v>
          </cell>
        </row>
        <row r="775">
          <cell r="B775" t="str">
            <v>AJ0050</v>
          </cell>
        </row>
        <row r="776">
          <cell r="B776" t="str">
            <v>AJ0050-1</v>
          </cell>
        </row>
        <row r="777">
          <cell r="B777" t="str">
            <v>AJ0050-2</v>
          </cell>
        </row>
        <row r="778">
          <cell r="B778" t="str">
            <v>AJ0051</v>
          </cell>
        </row>
        <row r="779">
          <cell r="B779" t="str">
            <v>AJ0052</v>
          </cell>
        </row>
        <row r="780">
          <cell r="B780" t="str">
            <v>AJ0052-1</v>
          </cell>
        </row>
        <row r="781">
          <cell r="B781" t="str">
            <v>AJ0052-2</v>
          </cell>
        </row>
        <row r="782">
          <cell r="B782" t="str">
            <v>AJ0053</v>
          </cell>
        </row>
        <row r="783">
          <cell r="B783" t="str">
            <v>AJ0054</v>
          </cell>
        </row>
        <row r="784">
          <cell r="B784" t="str">
            <v>AJ0054-2</v>
          </cell>
        </row>
        <row r="785">
          <cell r="B785" t="str">
            <v>AJ0055</v>
          </cell>
        </row>
        <row r="786">
          <cell r="B786" t="str">
            <v>AJ0055-1</v>
          </cell>
        </row>
        <row r="787">
          <cell r="B787" t="str">
            <v>AJ0056</v>
          </cell>
        </row>
        <row r="788">
          <cell r="B788" t="str">
            <v>AJ0056-1</v>
          </cell>
        </row>
        <row r="789">
          <cell r="B789" t="str">
            <v>AJ0056-2</v>
          </cell>
        </row>
        <row r="790">
          <cell r="B790" t="str">
            <v>AJ0057</v>
          </cell>
        </row>
        <row r="791">
          <cell r="B791" t="str">
            <v>AJ0057-1</v>
          </cell>
        </row>
        <row r="792">
          <cell r="B792" t="str">
            <v>AJ0058</v>
          </cell>
        </row>
        <row r="793">
          <cell r="B793" t="str">
            <v>AJ0058-1</v>
          </cell>
        </row>
        <row r="794">
          <cell r="B794" t="str">
            <v>AJ0058-2</v>
          </cell>
        </row>
        <row r="795">
          <cell r="B795" t="str">
            <v>AJ0059</v>
          </cell>
        </row>
        <row r="796">
          <cell r="B796" t="str">
            <v>AJ0059-1</v>
          </cell>
        </row>
        <row r="797">
          <cell r="B797" t="str">
            <v>AJ0060</v>
          </cell>
        </row>
        <row r="798">
          <cell r="B798" t="str">
            <v>AJ0061</v>
          </cell>
        </row>
        <row r="799">
          <cell r="B799" t="str">
            <v>AJ0061-1</v>
          </cell>
        </row>
        <row r="800">
          <cell r="B800" t="str">
            <v>AJ0062</v>
          </cell>
        </row>
        <row r="801">
          <cell r="B801" t="str">
            <v>AJ0063</v>
          </cell>
        </row>
        <row r="802">
          <cell r="B802" t="str">
            <v>AJ0063-1</v>
          </cell>
        </row>
        <row r="803">
          <cell r="B803" t="str">
            <v>AJ0064</v>
          </cell>
        </row>
        <row r="804">
          <cell r="B804" t="str">
            <v>AJ0065</v>
          </cell>
        </row>
        <row r="805">
          <cell r="B805" t="str">
            <v>AJ0066</v>
          </cell>
        </row>
        <row r="806">
          <cell r="B806" t="str">
            <v>AJ0066-1</v>
          </cell>
        </row>
        <row r="807">
          <cell r="B807" t="str">
            <v>AJ0067</v>
          </cell>
        </row>
        <row r="808">
          <cell r="B808" t="str">
            <v>AJ0069</v>
          </cell>
        </row>
        <row r="809">
          <cell r="B809" t="str">
            <v>AJ0069-1</v>
          </cell>
        </row>
        <row r="810">
          <cell r="B810" t="str">
            <v>AJ0070</v>
          </cell>
        </row>
        <row r="811">
          <cell r="B811" t="str">
            <v>AJ0071</v>
          </cell>
        </row>
        <row r="812">
          <cell r="B812" t="str">
            <v>AJ0072</v>
          </cell>
        </row>
        <row r="813">
          <cell r="B813" t="str">
            <v>AJ0073</v>
          </cell>
        </row>
        <row r="814">
          <cell r="B814" t="str">
            <v>AJ0074</v>
          </cell>
        </row>
        <row r="815">
          <cell r="B815" t="str">
            <v>AJ0075-1</v>
          </cell>
        </row>
        <row r="816">
          <cell r="B816" t="str">
            <v>AJ0076</v>
          </cell>
        </row>
        <row r="817">
          <cell r="B817" t="str">
            <v>AJ0076-1</v>
          </cell>
        </row>
        <row r="818">
          <cell r="B818" t="str">
            <v>AJ0077</v>
          </cell>
        </row>
        <row r="819">
          <cell r="B819" t="str">
            <v>AJ0078</v>
          </cell>
        </row>
        <row r="820">
          <cell r="B820" t="str">
            <v>AJ0078-1</v>
          </cell>
        </row>
        <row r="821">
          <cell r="B821" t="str">
            <v>AJ0079</v>
          </cell>
        </row>
        <row r="822">
          <cell r="B822" t="str">
            <v>AJ0079-1</v>
          </cell>
        </row>
        <row r="823">
          <cell r="B823" t="str">
            <v>AJ0080</v>
          </cell>
        </row>
        <row r="824">
          <cell r="B824" t="str">
            <v>AJ0080-1</v>
          </cell>
        </row>
        <row r="825">
          <cell r="B825" t="str">
            <v>AJ0080-3</v>
          </cell>
        </row>
        <row r="826">
          <cell r="B826" t="str">
            <v>AJ0081</v>
          </cell>
        </row>
        <row r="827">
          <cell r="B827" t="str">
            <v>AJ0081-1</v>
          </cell>
        </row>
        <row r="828">
          <cell r="B828" t="str">
            <v>AJ0081-3</v>
          </cell>
        </row>
        <row r="829">
          <cell r="B829" t="str">
            <v>AJ0082</v>
          </cell>
        </row>
        <row r="830">
          <cell r="B830" t="str">
            <v>AJ0083</v>
          </cell>
        </row>
        <row r="831">
          <cell r="B831" t="str">
            <v>AJ0084</v>
          </cell>
        </row>
        <row r="832">
          <cell r="B832" t="str">
            <v>AJ0085</v>
          </cell>
        </row>
        <row r="833">
          <cell r="B833" t="str">
            <v>AJ0086</v>
          </cell>
        </row>
        <row r="834">
          <cell r="B834" t="str">
            <v>AJ0086-1</v>
          </cell>
        </row>
        <row r="835">
          <cell r="B835" t="str">
            <v>AJ0087</v>
          </cell>
        </row>
        <row r="836">
          <cell r="B836" t="str">
            <v>AJ0087-1</v>
          </cell>
        </row>
        <row r="837">
          <cell r="B837" t="str">
            <v>AJ0088</v>
          </cell>
        </row>
        <row r="838">
          <cell r="B838" t="str">
            <v>AJ0089</v>
          </cell>
        </row>
        <row r="839">
          <cell r="B839" t="str">
            <v>AJ0089-1</v>
          </cell>
        </row>
        <row r="840">
          <cell r="B840" t="str">
            <v>AJ0090</v>
          </cell>
        </row>
        <row r="841">
          <cell r="B841" t="str">
            <v>AJ0091</v>
          </cell>
        </row>
        <row r="842">
          <cell r="B842" t="str">
            <v>AJ0091-1</v>
          </cell>
        </row>
        <row r="843">
          <cell r="B843" t="str">
            <v>AJ0092</v>
          </cell>
        </row>
        <row r="844">
          <cell r="B844" t="str">
            <v>AJ0092-1</v>
          </cell>
        </row>
        <row r="845">
          <cell r="B845" t="str">
            <v>AJ0092-2</v>
          </cell>
        </row>
        <row r="846">
          <cell r="B846" t="str">
            <v>AJ0093</v>
          </cell>
        </row>
        <row r="847">
          <cell r="B847" t="str">
            <v>AJ0093-1</v>
          </cell>
        </row>
        <row r="848">
          <cell r="B848" t="str">
            <v>AJ0094</v>
          </cell>
        </row>
        <row r="849">
          <cell r="B849" t="str">
            <v>AJ0095</v>
          </cell>
        </row>
        <row r="850">
          <cell r="B850" t="str">
            <v>AJ0096</v>
          </cell>
        </row>
        <row r="851">
          <cell r="B851" t="str">
            <v>AJ0096-1</v>
          </cell>
        </row>
        <row r="852">
          <cell r="B852" t="str">
            <v>AJ0097</v>
          </cell>
        </row>
        <row r="853">
          <cell r="B853" t="str">
            <v>AJ0098</v>
          </cell>
        </row>
        <row r="854">
          <cell r="B854" t="str">
            <v>AJ0099</v>
          </cell>
        </row>
        <row r="855">
          <cell r="B855" t="str">
            <v>AJ0100</v>
          </cell>
        </row>
        <row r="856">
          <cell r="B856" t="str">
            <v>AJ0100-1</v>
          </cell>
        </row>
        <row r="857">
          <cell r="B857" t="str">
            <v>AJ0101</v>
          </cell>
        </row>
        <row r="858">
          <cell r="B858" t="str">
            <v>AJ0101-1</v>
          </cell>
        </row>
        <row r="859">
          <cell r="B859" t="str">
            <v>AJ0102</v>
          </cell>
        </row>
        <row r="860">
          <cell r="B860" t="str">
            <v>AJ0102-1</v>
          </cell>
        </row>
        <row r="861">
          <cell r="B861" t="str">
            <v>AJ0103</v>
          </cell>
        </row>
        <row r="862">
          <cell r="B862" t="str">
            <v>AJ0103-1</v>
          </cell>
        </row>
        <row r="863">
          <cell r="B863" t="str">
            <v>AJ0104</v>
          </cell>
        </row>
        <row r="864">
          <cell r="B864" t="str">
            <v>AJ0105</v>
          </cell>
        </row>
        <row r="865">
          <cell r="B865" t="str">
            <v>AJ0107</v>
          </cell>
        </row>
        <row r="866">
          <cell r="B866" t="str">
            <v>AJ0108</v>
          </cell>
        </row>
        <row r="867">
          <cell r="B867" t="str">
            <v>AJ0109</v>
          </cell>
        </row>
        <row r="868">
          <cell r="B868" t="str">
            <v>AJ0110</v>
          </cell>
        </row>
        <row r="869">
          <cell r="B869" t="str">
            <v>AJ0111</v>
          </cell>
        </row>
        <row r="870">
          <cell r="B870" t="str">
            <v>AJ0112</v>
          </cell>
        </row>
        <row r="871">
          <cell r="B871" t="str">
            <v>AJ0113</v>
          </cell>
        </row>
        <row r="872">
          <cell r="B872" t="str">
            <v>AJ0114</v>
          </cell>
        </row>
        <row r="873">
          <cell r="B873" t="str">
            <v>AJ0115</v>
          </cell>
        </row>
        <row r="874">
          <cell r="B874" t="str">
            <v>AJ0116</v>
          </cell>
        </row>
        <row r="875">
          <cell r="B875" t="str">
            <v>AJ0116-1</v>
          </cell>
        </row>
        <row r="876">
          <cell r="B876" t="str">
            <v>AJ0117</v>
          </cell>
        </row>
        <row r="877">
          <cell r="B877" t="str">
            <v>AJ0118</v>
          </cell>
        </row>
        <row r="878">
          <cell r="B878" t="str">
            <v>AJ0119</v>
          </cell>
        </row>
        <row r="879">
          <cell r="B879" t="str">
            <v>AJ0120</v>
          </cell>
        </row>
        <row r="880">
          <cell r="B880" t="str">
            <v>AJ0121</v>
          </cell>
        </row>
        <row r="881">
          <cell r="B881" t="str">
            <v>AJ0122</v>
          </cell>
        </row>
        <row r="882">
          <cell r="B882" t="str">
            <v>AJ0123</v>
          </cell>
        </row>
        <row r="883">
          <cell r="B883" t="str">
            <v>AJ0124</v>
          </cell>
        </row>
        <row r="884">
          <cell r="B884" t="str">
            <v>AJ0125</v>
          </cell>
        </row>
        <row r="885">
          <cell r="B885" t="str">
            <v>AJ0126</v>
          </cell>
        </row>
        <row r="886">
          <cell r="B886" t="str">
            <v>AJ0127</v>
          </cell>
        </row>
        <row r="887">
          <cell r="B887" t="str">
            <v>AJ0128</v>
          </cell>
        </row>
        <row r="888">
          <cell r="B888" t="str">
            <v>AJ0129</v>
          </cell>
        </row>
        <row r="889">
          <cell r="B889" t="str">
            <v>AJ0130</v>
          </cell>
        </row>
        <row r="890">
          <cell r="B890" t="str">
            <v>AJ0131</v>
          </cell>
        </row>
        <row r="891">
          <cell r="B891" t="str">
            <v>AJ0132</v>
          </cell>
        </row>
        <row r="892">
          <cell r="B892" t="str">
            <v>AJ0133</v>
          </cell>
        </row>
        <row r="893">
          <cell r="B893" t="str">
            <v>AJ0134</v>
          </cell>
        </row>
        <row r="894">
          <cell r="B894" t="str">
            <v>AJ0135</v>
          </cell>
        </row>
        <row r="895">
          <cell r="B895" t="str">
            <v>AJ0135-1</v>
          </cell>
        </row>
        <row r="896">
          <cell r="B896" t="str">
            <v>AJ0136</v>
          </cell>
        </row>
        <row r="897">
          <cell r="B897" t="str">
            <v>AJ0136-1</v>
          </cell>
        </row>
        <row r="898">
          <cell r="B898" t="str">
            <v>AJ0137</v>
          </cell>
        </row>
        <row r="899">
          <cell r="B899" t="str">
            <v>AJ0138</v>
          </cell>
        </row>
        <row r="900">
          <cell r="B900" t="str">
            <v>AJ0139</v>
          </cell>
        </row>
        <row r="901">
          <cell r="B901" t="str">
            <v>AJ0140</v>
          </cell>
        </row>
        <row r="902">
          <cell r="B902" t="str">
            <v>AJ0141</v>
          </cell>
        </row>
        <row r="903">
          <cell r="B903" t="str">
            <v>AJ0142</v>
          </cell>
        </row>
        <row r="904">
          <cell r="B904" t="str">
            <v>AJ1001</v>
          </cell>
        </row>
        <row r="905">
          <cell r="B905" t="str">
            <v>AJ1002</v>
          </cell>
        </row>
        <row r="906">
          <cell r="B906" t="str">
            <v>AJ1003</v>
          </cell>
        </row>
        <row r="907">
          <cell r="B907" t="str">
            <v>AJ1004</v>
          </cell>
        </row>
        <row r="908">
          <cell r="B908" t="str">
            <v>AJ1005</v>
          </cell>
        </row>
        <row r="909">
          <cell r="B909" t="str">
            <v>AJ1006</v>
          </cell>
        </row>
        <row r="910">
          <cell r="B910" t="str">
            <v>AJ1007</v>
          </cell>
        </row>
        <row r="911">
          <cell r="B911" t="str">
            <v>AJ1008</v>
          </cell>
        </row>
        <row r="912">
          <cell r="B912" t="str">
            <v>AJ1009</v>
          </cell>
        </row>
        <row r="913">
          <cell r="B913" t="str">
            <v>AJ1009-1</v>
          </cell>
        </row>
        <row r="914">
          <cell r="B914" t="str">
            <v>AJ1010</v>
          </cell>
        </row>
        <row r="915">
          <cell r="B915" t="str">
            <v>AJ1011</v>
          </cell>
        </row>
        <row r="916">
          <cell r="B916" t="str">
            <v>AJ1012</v>
          </cell>
        </row>
        <row r="917">
          <cell r="B917" t="str">
            <v>AJ1013</v>
          </cell>
        </row>
        <row r="918">
          <cell r="B918" t="str">
            <v>AJ1014</v>
          </cell>
        </row>
        <row r="919">
          <cell r="B919" t="str">
            <v>AJ1015</v>
          </cell>
        </row>
        <row r="920">
          <cell r="B920" t="str">
            <v>AJ1016</v>
          </cell>
        </row>
        <row r="921">
          <cell r="B921" t="str">
            <v>AJ1017</v>
          </cell>
        </row>
        <row r="922">
          <cell r="B922" t="str">
            <v>AJ1018</v>
          </cell>
        </row>
        <row r="923">
          <cell r="B923" t="str">
            <v>AJ1019</v>
          </cell>
        </row>
        <row r="924">
          <cell r="B924" t="str">
            <v>AJ1020</v>
          </cell>
        </row>
        <row r="925">
          <cell r="B925" t="str">
            <v>AJ1021</v>
          </cell>
        </row>
        <row r="926">
          <cell r="B926" t="str">
            <v>AJ1022</v>
          </cell>
        </row>
        <row r="927">
          <cell r="B927" t="str">
            <v>AJ1023</v>
          </cell>
        </row>
        <row r="928">
          <cell r="B928" t="str">
            <v>AJ1024</v>
          </cell>
        </row>
        <row r="929">
          <cell r="B929" t="str">
            <v>AJ1025</v>
          </cell>
        </row>
        <row r="930">
          <cell r="B930" t="str">
            <v>AJ1026</v>
          </cell>
        </row>
        <row r="931">
          <cell r="B931" t="str">
            <v>AJ1027</v>
          </cell>
        </row>
        <row r="932">
          <cell r="B932" t="str">
            <v>AJ1028</v>
          </cell>
        </row>
        <row r="933">
          <cell r="B933" t="str">
            <v>AJ1029</v>
          </cell>
        </row>
        <row r="934">
          <cell r="B934" t="str">
            <v>AJ1030</v>
          </cell>
        </row>
        <row r="935">
          <cell r="B935" t="str">
            <v>AJ1031</v>
          </cell>
        </row>
        <row r="936">
          <cell r="B936" t="str">
            <v>AJ1032</v>
          </cell>
        </row>
        <row r="937">
          <cell r="B937" t="str">
            <v>AJ1033</v>
          </cell>
        </row>
        <row r="938">
          <cell r="B938" t="str">
            <v>AJ1034</v>
          </cell>
        </row>
        <row r="939">
          <cell r="B939" t="str">
            <v>AJ1034-1</v>
          </cell>
        </row>
        <row r="940">
          <cell r="B940" t="str">
            <v>AJ1035</v>
          </cell>
        </row>
        <row r="941">
          <cell r="B941" t="str">
            <v>AJ1036</v>
          </cell>
        </row>
        <row r="942">
          <cell r="B942" t="str">
            <v>AJ1037</v>
          </cell>
        </row>
        <row r="943">
          <cell r="B943" t="str">
            <v>AJ1038</v>
          </cell>
        </row>
        <row r="944">
          <cell r="B944" t="str">
            <v>AJ1039</v>
          </cell>
        </row>
        <row r="945">
          <cell r="B945" t="str">
            <v>AJ1040</v>
          </cell>
        </row>
        <row r="946">
          <cell r="B946" t="str">
            <v>AJ1041</v>
          </cell>
        </row>
        <row r="947">
          <cell r="B947" t="str">
            <v>AJ1042</v>
          </cell>
        </row>
        <row r="948">
          <cell r="B948" t="str">
            <v>AJ1043</v>
          </cell>
        </row>
        <row r="949">
          <cell r="B949" t="str">
            <v>AJ1044</v>
          </cell>
        </row>
        <row r="950">
          <cell r="B950" t="str">
            <v>AJ1045</v>
          </cell>
        </row>
        <row r="951">
          <cell r="B951" t="str">
            <v>AJ1046</v>
          </cell>
        </row>
        <row r="952">
          <cell r="B952" t="str">
            <v>AJ1047</v>
          </cell>
        </row>
        <row r="953">
          <cell r="B953" t="str">
            <v>AJ1048</v>
          </cell>
        </row>
        <row r="954">
          <cell r="B954" t="str">
            <v>AJ1049</v>
          </cell>
        </row>
        <row r="955">
          <cell r="B955" t="str">
            <v>AJ1050</v>
          </cell>
        </row>
        <row r="956">
          <cell r="B956" t="str">
            <v>AJ1051</v>
          </cell>
        </row>
        <row r="957">
          <cell r="B957" t="str">
            <v>AJ1052</v>
          </cell>
        </row>
        <row r="958">
          <cell r="B958" t="str">
            <v>AJ1053</v>
          </cell>
        </row>
        <row r="959">
          <cell r="B959" t="str">
            <v>AJ1054</v>
          </cell>
        </row>
        <row r="960">
          <cell r="B960" t="str">
            <v>AJ1055</v>
          </cell>
        </row>
        <row r="961">
          <cell r="B961" t="str">
            <v>AJ1056</v>
          </cell>
        </row>
        <row r="962">
          <cell r="B962" t="str">
            <v>AJ1057</v>
          </cell>
        </row>
        <row r="963">
          <cell r="B963" t="str">
            <v>AJ1058</v>
          </cell>
        </row>
        <row r="964">
          <cell r="B964" t="str">
            <v>AJ1059</v>
          </cell>
        </row>
        <row r="965">
          <cell r="B965" t="str">
            <v>AJ1060</v>
          </cell>
        </row>
        <row r="966">
          <cell r="B966" t="str">
            <v>AJ1061</v>
          </cell>
        </row>
        <row r="967">
          <cell r="B967" t="str">
            <v>AJ2001</v>
          </cell>
        </row>
        <row r="968">
          <cell r="B968" t="str">
            <v>AJ2002</v>
          </cell>
        </row>
        <row r="969">
          <cell r="B969" t="str">
            <v>AJ2003</v>
          </cell>
        </row>
        <row r="970">
          <cell r="B970" t="str">
            <v>AJ2004</v>
          </cell>
        </row>
        <row r="971">
          <cell r="B971" t="str">
            <v>AJ2005</v>
          </cell>
        </row>
        <row r="972">
          <cell r="B972" t="str">
            <v>AJ2006</v>
          </cell>
        </row>
        <row r="973">
          <cell r="B973" t="str">
            <v>AJ2007</v>
          </cell>
        </row>
        <row r="974">
          <cell r="B974" t="str">
            <v>AJ2007-1</v>
          </cell>
        </row>
        <row r="975">
          <cell r="B975" t="str">
            <v>AJ2008</v>
          </cell>
        </row>
        <row r="976">
          <cell r="B976" t="str">
            <v>AJ2008-1</v>
          </cell>
        </row>
        <row r="977">
          <cell r="B977" t="str">
            <v>AJ2009</v>
          </cell>
        </row>
        <row r="978">
          <cell r="B978" t="str">
            <v>AJ2010</v>
          </cell>
        </row>
        <row r="979">
          <cell r="B979" t="str">
            <v>AJ2011</v>
          </cell>
        </row>
        <row r="980">
          <cell r="B980" t="str">
            <v>AJ2012</v>
          </cell>
        </row>
        <row r="981">
          <cell r="B981" t="str">
            <v>AJ2013</v>
          </cell>
        </row>
        <row r="982">
          <cell r="B982" t="str">
            <v>AJ2014</v>
          </cell>
        </row>
        <row r="983">
          <cell r="B983" t="str">
            <v>AJ2015</v>
          </cell>
        </row>
        <row r="984">
          <cell r="B984" t="str">
            <v>AJ2016</v>
          </cell>
        </row>
        <row r="985">
          <cell r="B985" t="str">
            <v>AJ2017</v>
          </cell>
        </row>
        <row r="986">
          <cell r="B986" t="str">
            <v>AJ2018</v>
          </cell>
        </row>
        <row r="987">
          <cell r="B987" t="str">
            <v>AJ2019</v>
          </cell>
        </row>
        <row r="988">
          <cell r="B988" t="str">
            <v>AJ2020</v>
          </cell>
        </row>
        <row r="989">
          <cell r="B989" t="str">
            <v>AJ2021</v>
          </cell>
        </row>
        <row r="990">
          <cell r="B990" t="str">
            <v>AJ2023</v>
          </cell>
        </row>
        <row r="991">
          <cell r="B991" t="str">
            <v>AJ2024</v>
          </cell>
        </row>
        <row r="992">
          <cell r="B992" t="str">
            <v>AJ2025</v>
          </cell>
        </row>
        <row r="993">
          <cell r="B993" t="str">
            <v>AJ2026</v>
          </cell>
        </row>
        <row r="994">
          <cell r="B994" t="str">
            <v>AJ2027</v>
          </cell>
        </row>
        <row r="995">
          <cell r="B995" t="str">
            <v>AJ2028</v>
          </cell>
        </row>
        <row r="996">
          <cell r="B996" t="str">
            <v>AJ2029</v>
          </cell>
        </row>
        <row r="997">
          <cell r="B997" t="str">
            <v>AJ2029-1</v>
          </cell>
        </row>
        <row r="998">
          <cell r="B998" t="str">
            <v>AJ2030</v>
          </cell>
        </row>
        <row r="999">
          <cell r="B999" t="str">
            <v>AJ2031</v>
          </cell>
        </row>
        <row r="1000">
          <cell r="B1000" t="str">
            <v>AJ2032</v>
          </cell>
        </row>
        <row r="1001">
          <cell r="B1001" t="str">
            <v>AJ2033</v>
          </cell>
        </row>
        <row r="1002">
          <cell r="B1002" t="str">
            <v>AJ2034</v>
          </cell>
        </row>
        <row r="1003">
          <cell r="B1003" t="str">
            <v>AJ2035</v>
          </cell>
        </row>
        <row r="1004">
          <cell r="B1004" t="str">
            <v>AJ2036</v>
          </cell>
        </row>
        <row r="1005">
          <cell r="B1005" t="str">
            <v>AJ2037</v>
          </cell>
        </row>
        <row r="1006">
          <cell r="B1006" t="str">
            <v>AJ2038</v>
          </cell>
        </row>
        <row r="1007">
          <cell r="B1007" t="str">
            <v>AJ2039</v>
          </cell>
        </row>
        <row r="1008">
          <cell r="B1008" t="str">
            <v>AJ2042</v>
          </cell>
        </row>
        <row r="1009">
          <cell r="B1009" t="str">
            <v>AJ2043</v>
          </cell>
        </row>
        <row r="1010">
          <cell r="B1010" t="str">
            <v>AJ2044</v>
          </cell>
        </row>
        <row r="1011">
          <cell r="B1011" t="str">
            <v>AJ2045</v>
          </cell>
        </row>
        <row r="1012">
          <cell r="B1012" t="str">
            <v>AJ2046</v>
          </cell>
        </row>
        <row r="1013">
          <cell r="B1013" t="str">
            <v>AJ2047</v>
          </cell>
        </row>
        <row r="1014">
          <cell r="B1014" t="str">
            <v>AJ2048</v>
          </cell>
        </row>
        <row r="1015">
          <cell r="B1015" t="str">
            <v>AJ2049</v>
          </cell>
        </row>
        <row r="1016">
          <cell r="B1016" t="str">
            <v>AJ2050</v>
          </cell>
        </row>
        <row r="1017">
          <cell r="B1017" t="str">
            <v>AJ2051</v>
          </cell>
        </row>
        <row r="1018">
          <cell r="B1018" t="str">
            <v>AJ2052</v>
          </cell>
        </row>
        <row r="1019">
          <cell r="B1019" t="str">
            <v>AJ2053</v>
          </cell>
        </row>
        <row r="1020">
          <cell r="B1020" t="str">
            <v>AJ2054</v>
          </cell>
        </row>
        <row r="1021">
          <cell r="B1021" t="str">
            <v>AJ2055</v>
          </cell>
        </row>
        <row r="1022">
          <cell r="B1022" t="str">
            <v>AJ2056</v>
          </cell>
        </row>
        <row r="1023">
          <cell r="B1023" t="str">
            <v>AJ2057</v>
          </cell>
        </row>
        <row r="1024">
          <cell r="B1024" t="str">
            <v>AJ2058</v>
          </cell>
        </row>
        <row r="1025">
          <cell r="B1025" t="str">
            <v>AJ2059</v>
          </cell>
        </row>
        <row r="1026">
          <cell r="B1026" t="str">
            <v>AJ2060</v>
          </cell>
        </row>
        <row r="1027">
          <cell r="B1027" t="str">
            <v>AJ2061</v>
          </cell>
        </row>
        <row r="1028">
          <cell r="B1028" t="str">
            <v>AJ2063</v>
          </cell>
        </row>
        <row r="1029">
          <cell r="B1029" t="str">
            <v>AJ2064</v>
          </cell>
        </row>
        <row r="1030">
          <cell r="B1030" t="str">
            <v>AJ2065</v>
          </cell>
        </row>
        <row r="1031">
          <cell r="B1031" t="str">
            <v>AJ2066</v>
          </cell>
        </row>
        <row r="1032">
          <cell r="B1032" t="str">
            <v>AJ2067</v>
          </cell>
        </row>
        <row r="1033">
          <cell r="B1033" t="str">
            <v>AJ2068</v>
          </cell>
        </row>
        <row r="1034">
          <cell r="B1034" t="str">
            <v>AJ9001</v>
          </cell>
        </row>
        <row r="1035">
          <cell r="B1035" t="str">
            <v>AJ9002</v>
          </cell>
        </row>
        <row r="1036">
          <cell r="B1036" t="str">
            <v>AJ9003</v>
          </cell>
        </row>
        <row r="1037">
          <cell r="B1037" t="str">
            <v>AJ9004</v>
          </cell>
        </row>
        <row r="1038">
          <cell r="B1038" t="str">
            <v>AJ9005</v>
          </cell>
        </row>
        <row r="1039">
          <cell r="B1039" t="str">
            <v>AJ9006</v>
          </cell>
        </row>
        <row r="1040">
          <cell r="B1040" t="str">
            <v>AJ9007</v>
          </cell>
        </row>
        <row r="1041">
          <cell r="B1041" t="str">
            <v>AJ9008</v>
          </cell>
        </row>
        <row r="1042">
          <cell r="B1042" t="str">
            <v>AJ9009</v>
          </cell>
        </row>
        <row r="1043">
          <cell r="B1043" t="str">
            <v>AJ9010</v>
          </cell>
        </row>
        <row r="1044">
          <cell r="B1044" t="str">
            <v>AJ9011</v>
          </cell>
        </row>
        <row r="1045">
          <cell r="B1045" t="str">
            <v>AJ9012</v>
          </cell>
        </row>
        <row r="1046">
          <cell r="B1046" t="str">
            <v>AJI0001</v>
          </cell>
        </row>
        <row r="1047">
          <cell r="B1047" t="str">
            <v>AJI0005</v>
          </cell>
        </row>
        <row r="1048">
          <cell r="B1048" t="str">
            <v>AJI0006</v>
          </cell>
        </row>
        <row r="1049">
          <cell r="B1049" t="str">
            <v>AJI0007</v>
          </cell>
        </row>
        <row r="1050">
          <cell r="B1050" t="str">
            <v>AJI0008</v>
          </cell>
        </row>
        <row r="1051">
          <cell r="B1051" t="str">
            <v>AJT0013</v>
          </cell>
        </row>
        <row r="1052">
          <cell r="B1052" t="str">
            <v>AJT0014</v>
          </cell>
        </row>
        <row r="1053">
          <cell r="B1053" t="str">
            <v>AJT0015</v>
          </cell>
        </row>
        <row r="1054">
          <cell r="B1054" t="str">
            <v>AJT0021</v>
          </cell>
        </row>
        <row r="1055">
          <cell r="B1055" t="str">
            <v>BA0002</v>
          </cell>
        </row>
        <row r="1056">
          <cell r="B1056" t="str">
            <v>BA0007</v>
          </cell>
        </row>
        <row r="1057">
          <cell r="B1057" t="str">
            <v>BA0008</v>
          </cell>
        </row>
        <row r="1058">
          <cell r="B1058" t="str">
            <v>BA0008-1</v>
          </cell>
        </row>
        <row r="1059">
          <cell r="B1059" t="str">
            <v>BA0009</v>
          </cell>
        </row>
        <row r="1060">
          <cell r="B1060" t="str">
            <v>BA0010</v>
          </cell>
        </row>
        <row r="1061">
          <cell r="B1061" t="str">
            <v>BA0011</v>
          </cell>
        </row>
        <row r="1062">
          <cell r="B1062" t="str">
            <v>BA0011-1</v>
          </cell>
        </row>
        <row r="1063">
          <cell r="B1063" t="str">
            <v>BA0012</v>
          </cell>
        </row>
        <row r="1064">
          <cell r="B1064" t="str">
            <v>BA0013</v>
          </cell>
        </row>
        <row r="1065">
          <cell r="B1065" t="str">
            <v>BA0014</v>
          </cell>
        </row>
        <row r="1066">
          <cell r="B1066" t="str">
            <v>BA0015</v>
          </cell>
        </row>
        <row r="1067">
          <cell r="B1067" t="str">
            <v>BA0016</v>
          </cell>
        </row>
        <row r="1068">
          <cell r="B1068" t="str">
            <v>BA0017</v>
          </cell>
        </row>
        <row r="1069">
          <cell r="B1069" t="str">
            <v>BA0018</v>
          </cell>
        </row>
        <row r="1070">
          <cell r="B1070" t="str">
            <v>BA0019</v>
          </cell>
        </row>
        <row r="1071">
          <cell r="B1071" t="str">
            <v>BA0180</v>
          </cell>
        </row>
        <row r="1072">
          <cell r="B1072" t="str">
            <v>BA0181</v>
          </cell>
        </row>
        <row r="1073">
          <cell r="B1073" t="str">
            <v>BA0182</v>
          </cell>
        </row>
        <row r="1074">
          <cell r="B1074" t="str">
            <v>BA0183</v>
          </cell>
        </row>
        <row r="1075">
          <cell r="B1075" t="str">
            <v>BA0184</v>
          </cell>
        </row>
        <row r="1076">
          <cell r="B1076" t="str">
            <v>BA0185</v>
          </cell>
        </row>
        <row r="1077">
          <cell r="B1077" t="str">
            <v>BA0186</v>
          </cell>
        </row>
        <row r="1078">
          <cell r="B1078" t="str">
            <v>BA0187</v>
          </cell>
        </row>
        <row r="1079">
          <cell r="B1079" t="str">
            <v>BA0340</v>
          </cell>
        </row>
        <row r="1080">
          <cell r="B1080" t="str">
            <v>BA0342</v>
          </cell>
        </row>
        <row r="1081">
          <cell r="B1081" t="str">
            <v>BA0347</v>
          </cell>
        </row>
        <row r="1082">
          <cell r="B1082" t="str">
            <v>BA0361</v>
          </cell>
        </row>
        <row r="1083">
          <cell r="B1083" t="str">
            <v>BA0362</v>
          </cell>
        </row>
      </sheetData>
      <sheetData sheetId="3">
        <row r="1">
          <cell r="C1">
            <v>0</v>
          </cell>
        </row>
        <row r="2">
          <cell r="C2" t="str">
            <v>Model Code</v>
          </cell>
        </row>
        <row r="3">
          <cell r="C3">
            <v>0</v>
          </cell>
        </row>
        <row r="4">
          <cell r="C4" t="str">
            <v>AA2001</v>
          </cell>
        </row>
        <row r="5">
          <cell r="C5" t="str">
            <v>AA80084</v>
          </cell>
        </row>
        <row r="6">
          <cell r="C6" t="str">
            <v>AA2002</v>
          </cell>
        </row>
        <row r="7">
          <cell r="C7" t="str">
            <v>AA80083</v>
          </cell>
        </row>
        <row r="8">
          <cell r="C8" t="str">
            <v>AA2003</v>
          </cell>
        </row>
        <row r="9">
          <cell r="C9" t="str">
            <v>AA80066</v>
          </cell>
        </row>
        <row r="10">
          <cell r="C10" t="str">
            <v>AA2148</v>
          </cell>
        </row>
        <row r="11">
          <cell r="C11" t="str">
            <v>AA2146</v>
          </cell>
        </row>
        <row r="12">
          <cell r="C12" t="str">
            <v>AA2206</v>
          </cell>
        </row>
        <row r="13">
          <cell r="C13" t="str">
            <v>AA80075</v>
          </cell>
        </row>
        <row r="14">
          <cell r="C14" t="str">
            <v>AA2004</v>
          </cell>
        </row>
        <row r="15">
          <cell r="C15" t="str">
            <v>AA80057</v>
          </cell>
        </row>
        <row r="16">
          <cell r="C16" t="str">
            <v>AA9201</v>
          </cell>
        </row>
        <row r="17">
          <cell r="C17" t="str">
            <v>AA3050</v>
          </cell>
        </row>
        <row r="18">
          <cell r="C18" t="str">
            <v>AA2005</v>
          </cell>
        </row>
        <row r="19">
          <cell r="C19" t="str">
            <v>AA2005-1</v>
          </cell>
        </row>
        <row r="20">
          <cell r="C20" t="str">
            <v>AA3083</v>
          </cell>
        </row>
        <row r="21">
          <cell r="C21" t="str">
            <v>AA9202</v>
          </cell>
        </row>
        <row r="22">
          <cell r="C22" t="str">
            <v>AA1001</v>
          </cell>
        </row>
        <row r="23">
          <cell r="C23" t="str">
            <v>AA1001-2</v>
          </cell>
        </row>
        <row r="24">
          <cell r="C24" t="str">
            <v>AA1001-3</v>
          </cell>
        </row>
        <row r="25">
          <cell r="C25" t="str">
            <v>AA1001-1</v>
          </cell>
        </row>
        <row r="26">
          <cell r="C26" t="str">
            <v>AA80093</v>
          </cell>
        </row>
        <row r="27">
          <cell r="C27" t="str">
            <v>AA1002</v>
          </cell>
        </row>
        <row r="28">
          <cell r="C28" t="str">
            <v>AA80022</v>
          </cell>
        </row>
        <row r="29">
          <cell r="C29" t="str">
            <v>AA80025</v>
          </cell>
        </row>
        <row r="30">
          <cell r="C30" t="str">
            <v>AA80029</v>
          </cell>
        </row>
        <row r="31">
          <cell r="C31" t="str">
            <v>AA9220</v>
          </cell>
        </row>
        <row r="32">
          <cell r="C32" t="str">
            <v>AA80087</v>
          </cell>
        </row>
        <row r="33">
          <cell r="C33" t="str">
            <v>AA80088</v>
          </cell>
        </row>
        <row r="34">
          <cell r="C34" t="str">
            <v>AA1009</v>
          </cell>
        </row>
        <row r="35">
          <cell r="C35" t="str">
            <v>AA9224</v>
          </cell>
        </row>
        <row r="36">
          <cell r="C36" t="str">
            <v>AA1003</v>
          </cell>
        </row>
        <row r="37">
          <cell r="C37" t="str">
            <v>AA80003</v>
          </cell>
        </row>
        <row r="38">
          <cell r="C38" t="str">
            <v>AA80031</v>
          </cell>
        </row>
        <row r="39">
          <cell r="C39" t="str">
            <v>AA9221</v>
          </cell>
        </row>
        <row r="40">
          <cell r="C40" t="str">
            <v>AA1021</v>
          </cell>
        </row>
        <row r="41">
          <cell r="C41" t="str">
            <v>AA80071</v>
          </cell>
        </row>
        <row r="42">
          <cell r="C42" t="str">
            <v>AA80074</v>
          </cell>
        </row>
        <row r="43">
          <cell r="C43" t="str">
            <v>AA9225</v>
          </cell>
        </row>
        <row r="44">
          <cell r="C44" t="str">
            <v>AA80091</v>
          </cell>
        </row>
        <row r="45">
          <cell r="C45" t="str">
            <v>AA1004</v>
          </cell>
        </row>
        <row r="46">
          <cell r="C46" t="str">
            <v>AA80063</v>
          </cell>
        </row>
        <row r="47">
          <cell r="C47" t="str">
            <v>AA9222</v>
          </cell>
        </row>
        <row r="48">
          <cell r="C48" t="str">
            <v>AA9226</v>
          </cell>
        </row>
        <row r="49">
          <cell r="C49" t="str">
            <v>AA80097</v>
          </cell>
        </row>
        <row r="50">
          <cell r="C50" t="str">
            <v>AA2134</v>
          </cell>
        </row>
        <row r="51">
          <cell r="C51" t="str">
            <v>AA2010</v>
          </cell>
        </row>
        <row r="52">
          <cell r="C52" t="str">
            <v>AA80006</v>
          </cell>
        </row>
        <row r="53">
          <cell r="C53" t="str">
            <v>AA2006</v>
          </cell>
        </row>
        <row r="54">
          <cell r="C54" t="str">
            <v>AA2129</v>
          </cell>
        </row>
        <row r="55">
          <cell r="C55" t="str">
            <v>AA80005</v>
          </cell>
        </row>
        <row r="56">
          <cell r="C56" t="str">
            <v>AA2303</v>
          </cell>
        </row>
        <row r="57">
          <cell r="C57" t="str">
            <v>AA80054</v>
          </cell>
        </row>
        <row r="58">
          <cell r="C58" t="str">
            <v>AA2007</v>
          </cell>
        </row>
        <row r="59">
          <cell r="C59" t="str">
            <v>AA80055</v>
          </cell>
        </row>
        <row r="60">
          <cell r="C60" t="str">
            <v>AA2017</v>
          </cell>
        </row>
        <row r="61">
          <cell r="C61" t="str">
            <v>AA80061</v>
          </cell>
        </row>
        <row r="62">
          <cell r="C62" t="str">
            <v>AA9401</v>
          </cell>
        </row>
        <row r="63">
          <cell r="C63" t="str">
            <v>AA2008</v>
          </cell>
        </row>
        <row r="64">
          <cell r="C64" t="str">
            <v>AA2008-3</v>
          </cell>
        </row>
        <row r="65">
          <cell r="C65" t="str">
            <v>AA2013</v>
          </cell>
        </row>
        <row r="66">
          <cell r="C66" t="str">
            <v>AA80082</v>
          </cell>
        </row>
        <row r="67">
          <cell r="C67" t="str">
            <v>AA2305</v>
          </cell>
        </row>
        <row r="68">
          <cell r="C68" t="str">
            <v>AA80056</v>
          </cell>
        </row>
        <row r="69">
          <cell r="C69" t="str">
            <v>AA2009</v>
          </cell>
        </row>
        <row r="70">
          <cell r="C70" t="str">
            <v>AA2009-2</v>
          </cell>
        </row>
        <row r="71">
          <cell r="C71" t="str">
            <v>AA80081</v>
          </cell>
        </row>
        <row r="72">
          <cell r="C72" t="str">
            <v>AA2014</v>
          </cell>
        </row>
        <row r="73">
          <cell r="C73" t="str">
            <v>AA2015</v>
          </cell>
        </row>
        <row r="74">
          <cell r="C74" t="str">
            <v>AA2016</v>
          </cell>
        </row>
        <row r="75">
          <cell r="C75" t="str">
            <v>AA9214</v>
          </cell>
        </row>
        <row r="76">
          <cell r="C76" t="str">
            <v>AA9312</v>
          </cell>
        </row>
        <row r="77">
          <cell r="C77" t="str">
            <v>AA2101</v>
          </cell>
        </row>
        <row r="78">
          <cell r="C78" t="str">
            <v>AA3002</v>
          </cell>
        </row>
        <row r="79">
          <cell r="C79" t="str">
            <v>AA3003</v>
          </cell>
        </row>
        <row r="80">
          <cell r="C80" t="str">
            <v>AA9216</v>
          </cell>
        </row>
        <row r="81">
          <cell r="C81" t="str">
            <v>AA9338</v>
          </cell>
        </row>
        <row r="82">
          <cell r="C82" t="str">
            <v>AA2105</v>
          </cell>
        </row>
        <row r="83">
          <cell r="C83" t="str">
            <v>AA9203</v>
          </cell>
        </row>
        <row r="84">
          <cell r="C84" t="str">
            <v>AA9204</v>
          </cell>
        </row>
        <row r="85">
          <cell r="C85" t="str">
            <v>AA9218</v>
          </cell>
        </row>
        <row r="86">
          <cell r="C86" t="str">
            <v>AA3012</v>
          </cell>
        </row>
        <row r="87">
          <cell r="C87" t="str">
            <v>AA3013</v>
          </cell>
        </row>
        <row r="88">
          <cell r="C88" t="str">
            <v>AA6022</v>
          </cell>
        </row>
        <row r="89">
          <cell r="C89" t="str">
            <v>AA9301</v>
          </cell>
        </row>
        <row r="90">
          <cell r="C90" t="str">
            <v>AA9302</v>
          </cell>
        </row>
        <row r="91">
          <cell r="C91" t="str">
            <v>AA80092</v>
          </cell>
        </row>
        <row r="92">
          <cell r="C92" t="str">
            <v>AA9603</v>
          </cell>
        </row>
        <row r="93">
          <cell r="C93" t="str">
            <v>AA9217</v>
          </cell>
        </row>
        <row r="94">
          <cell r="C94" t="str">
            <v>AA9313</v>
          </cell>
        </row>
        <row r="95">
          <cell r="C95" t="str">
            <v>AA9314</v>
          </cell>
        </row>
        <row r="96">
          <cell r="C96" t="str">
            <v>AA9314-1</v>
          </cell>
        </row>
        <row r="97">
          <cell r="C97" t="str">
            <v>AA9339</v>
          </cell>
        </row>
        <row r="98">
          <cell r="C98" t="str">
            <v>AA9205</v>
          </cell>
        </row>
        <row r="99">
          <cell r="C99" t="str">
            <v>AA9206</v>
          </cell>
        </row>
        <row r="100">
          <cell r="C100" t="str">
            <v>AA9206-1</v>
          </cell>
        </row>
        <row r="101">
          <cell r="C101" t="str">
            <v>AA9223</v>
          </cell>
        </row>
        <row r="102">
          <cell r="C102" t="str">
            <v>AA9219</v>
          </cell>
        </row>
        <row r="103">
          <cell r="C103" t="str">
            <v>AA3018</v>
          </cell>
        </row>
        <row r="104">
          <cell r="C104" t="str">
            <v>AA3019</v>
          </cell>
        </row>
        <row r="105">
          <cell r="C105" t="str">
            <v>AA3103</v>
          </cell>
        </row>
        <row r="106">
          <cell r="C106" t="str">
            <v>AA9303</v>
          </cell>
        </row>
        <row r="107">
          <cell r="C107" t="str">
            <v>AA9304</v>
          </cell>
        </row>
        <row r="108">
          <cell r="C108" t="str">
            <v>AA9304-1</v>
          </cell>
        </row>
        <row r="109">
          <cell r="C109" t="str">
            <v>AA9315</v>
          </cell>
        </row>
        <row r="110">
          <cell r="C110" t="str">
            <v>AA9316</v>
          </cell>
        </row>
        <row r="111">
          <cell r="C111" t="str">
            <v>AA9330</v>
          </cell>
        </row>
        <row r="112">
          <cell r="C112" t="str">
            <v>AA9332</v>
          </cell>
        </row>
        <row r="113">
          <cell r="C113" t="str">
            <v>AA2109</v>
          </cell>
        </row>
        <row r="114">
          <cell r="C114" t="str">
            <v>AA6002</v>
          </cell>
        </row>
        <row r="115">
          <cell r="C115" t="str">
            <v>AA6014</v>
          </cell>
        </row>
        <row r="116">
          <cell r="C116" t="str">
            <v>AA9311</v>
          </cell>
        </row>
        <row r="117">
          <cell r="C117" t="str">
            <v>AA9331</v>
          </cell>
        </row>
        <row r="118">
          <cell r="C118" t="str">
            <v>AA9331-1</v>
          </cell>
        </row>
        <row r="119">
          <cell r="C119" t="str">
            <v>AA3043</v>
          </cell>
        </row>
        <row r="120">
          <cell r="C120" t="str">
            <v>AA9207</v>
          </cell>
        </row>
        <row r="121">
          <cell r="C121" t="str">
            <v>AA9208</v>
          </cell>
        </row>
        <row r="122">
          <cell r="C122" t="str">
            <v>AA3025</v>
          </cell>
        </row>
        <row r="123">
          <cell r="C123" t="str">
            <v>AA3026</v>
          </cell>
        </row>
        <row r="124">
          <cell r="C124" t="str">
            <v>AA3105</v>
          </cell>
        </row>
        <row r="125">
          <cell r="C125" t="str">
            <v>AA9305</v>
          </cell>
        </row>
        <row r="126">
          <cell r="C126" t="str">
            <v>AA9306</v>
          </cell>
        </row>
        <row r="127">
          <cell r="C127" t="str">
            <v>AA9320</v>
          </cell>
        </row>
        <row r="128">
          <cell r="C128" t="str">
            <v>AA9322</v>
          </cell>
        </row>
        <row r="129">
          <cell r="C129" t="str">
            <v>AA3091</v>
          </cell>
        </row>
        <row r="130">
          <cell r="C130" t="str">
            <v>AA9209</v>
          </cell>
        </row>
        <row r="131">
          <cell r="C131" t="str">
            <v>AA3032</v>
          </cell>
        </row>
        <row r="132">
          <cell r="C132" t="str">
            <v>AA3033</v>
          </cell>
        </row>
        <row r="133">
          <cell r="C133" t="str">
            <v>AA3107</v>
          </cell>
        </row>
        <row r="134">
          <cell r="C134" t="str">
            <v>AA80024</v>
          </cell>
        </row>
        <row r="135">
          <cell r="C135" t="str">
            <v>AA9307</v>
          </cell>
        </row>
        <row r="136">
          <cell r="C136" t="str">
            <v>AA9323</v>
          </cell>
        </row>
        <row r="137">
          <cell r="C137" t="str">
            <v>AA9333</v>
          </cell>
        </row>
        <row r="138">
          <cell r="C138" t="str">
            <v>AA9325</v>
          </cell>
        </row>
        <row r="139">
          <cell r="C139" t="str">
            <v>AA9336</v>
          </cell>
        </row>
        <row r="140">
          <cell r="C140" t="str">
            <v>AA3071</v>
          </cell>
        </row>
        <row r="141">
          <cell r="C141" t="str">
            <v>AA9327</v>
          </cell>
        </row>
        <row r="142">
          <cell r="C142" t="str">
            <v>AA80098</v>
          </cell>
        </row>
        <row r="143">
          <cell r="C143" t="str">
            <v>AA80099</v>
          </cell>
        </row>
        <row r="144">
          <cell r="C144" t="str">
            <v>AA80094</v>
          </cell>
        </row>
        <row r="145">
          <cell r="C145" t="str">
            <v>AA9328</v>
          </cell>
        </row>
        <row r="146">
          <cell r="C146" t="str">
            <v>AA9337</v>
          </cell>
        </row>
        <row r="147">
          <cell r="C147" t="str">
            <v>AA9329</v>
          </cell>
        </row>
        <row r="148">
          <cell r="C148" t="str">
            <v>AA9334</v>
          </cell>
        </row>
        <row r="149">
          <cell r="C149" t="str">
            <v>AA2122</v>
          </cell>
        </row>
        <row r="150">
          <cell r="C150" t="str">
            <v>AA3006</v>
          </cell>
        </row>
        <row r="151">
          <cell r="C151" t="str">
            <v>AA3007</v>
          </cell>
        </row>
        <row r="152">
          <cell r="C152" t="str">
            <v>AA3008</v>
          </cell>
        </row>
        <row r="153">
          <cell r="C153" t="str">
            <v>AA2124</v>
          </cell>
        </row>
        <row r="154">
          <cell r="C154" t="str">
            <v>AA2125</v>
          </cell>
        </row>
        <row r="155">
          <cell r="C155" t="str">
            <v>AA3092</v>
          </cell>
        </row>
        <row r="156">
          <cell r="C156" t="str">
            <v>AA3015</v>
          </cell>
        </row>
        <row r="157">
          <cell r="C157" t="str">
            <v>AA3016</v>
          </cell>
        </row>
        <row r="158">
          <cell r="C158" t="str">
            <v>AA9607</v>
          </cell>
        </row>
        <row r="159">
          <cell r="C159" t="str">
            <v>AA9608</v>
          </cell>
        </row>
        <row r="160">
          <cell r="C160" t="str">
            <v>AA3090</v>
          </cell>
        </row>
        <row r="161">
          <cell r="C161" t="str">
            <v>AA2153</v>
          </cell>
        </row>
        <row r="162">
          <cell r="C162" t="str">
            <v>AA2152</v>
          </cell>
        </row>
        <row r="163">
          <cell r="C163" t="str">
            <v>AA2151</v>
          </cell>
        </row>
        <row r="164">
          <cell r="C164" t="str">
            <v>AA2112</v>
          </cell>
        </row>
        <row r="165">
          <cell r="C165" t="str">
            <v>AA2113</v>
          </cell>
        </row>
        <row r="166">
          <cell r="C166" t="str">
            <v>AA2144</v>
          </cell>
        </row>
        <row r="167">
          <cell r="C167" t="str">
            <v>AA3021</v>
          </cell>
        </row>
        <row r="168">
          <cell r="C168" t="str">
            <v>AA3022</v>
          </cell>
        </row>
        <row r="169">
          <cell r="C169" t="str">
            <v>AA3023</v>
          </cell>
        </row>
        <row r="170">
          <cell r="C170" t="str">
            <v>AA3102</v>
          </cell>
        </row>
        <row r="171">
          <cell r="C171" t="str">
            <v>AA3058</v>
          </cell>
        </row>
        <row r="172">
          <cell r="C172" t="str">
            <v>AA3041</v>
          </cell>
        </row>
        <row r="173">
          <cell r="C173" t="str">
            <v>AA3094</v>
          </cell>
        </row>
        <row r="174">
          <cell r="C174" t="str">
            <v>AA3079</v>
          </cell>
        </row>
        <row r="175">
          <cell r="C175" t="str">
            <v>AA2116</v>
          </cell>
        </row>
        <row r="176">
          <cell r="C176" t="str">
            <v>AA2117</v>
          </cell>
        </row>
        <row r="177">
          <cell r="C177" t="str">
            <v>AA3029</v>
          </cell>
        </row>
        <row r="178">
          <cell r="C178" t="str">
            <v>AA3030</v>
          </cell>
        </row>
        <row r="179">
          <cell r="C179" t="str">
            <v>AA3104</v>
          </cell>
        </row>
        <row r="180">
          <cell r="C180" t="str">
            <v>AA3031</v>
          </cell>
        </row>
        <row r="181">
          <cell r="C181" t="str">
            <v>AA2126</v>
          </cell>
        </row>
        <row r="182">
          <cell r="C182" t="str">
            <v>AA3034</v>
          </cell>
        </row>
        <row r="183">
          <cell r="C183" t="str">
            <v>AA3034-1</v>
          </cell>
        </row>
        <row r="184">
          <cell r="C184" t="str">
            <v>AA3035</v>
          </cell>
        </row>
        <row r="185">
          <cell r="C185" t="str">
            <v>AA3106</v>
          </cell>
        </row>
        <row r="186">
          <cell r="C186" t="str">
            <v>AA3040</v>
          </cell>
        </row>
        <row r="187">
          <cell r="C187" t="str">
            <v>AA3073</v>
          </cell>
        </row>
        <row r="188">
          <cell r="C188" t="str">
            <v>AA3074</v>
          </cell>
        </row>
        <row r="189">
          <cell r="C189" t="str">
            <v>AA80089</v>
          </cell>
        </row>
        <row r="190">
          <cell r="C190" t="str">
            <v>AA4042</v>
          </cell>
        </row>
        <row r="191">
          <cell r="C191" t="str">
            <v>AA4043</v>
          </cell>
        </row>
        <row r="192">
          <cell r="C192" t="str">
            <v>AA4002</v>
          </cell>
        </row>
        <row r="193">
          <cell r="C193" t="str">
            <v>AA4020</v>
          </cell>
        </row>
        <row r="194">
          <cell r="C194" t="str">
            <v>AA4004</v>
          </cell>
        </row>
        <row r="195">
          <cell r="C195" t="str">
            <v>AA4021</v>
          </cell>
        </row>
        <row r="196">
          <cell r="C196" t="str">
            <v>AA4006</v>
          </cell>
        </row>
        <row r="197">
          <cell r="C197" t="str">
            <v>AA4029</v>
          </cell>
        </row>
        <row r="198">
          <cell r="C198" t="str">
            <v>AA4045</v>
          </cell>
        </row>
        <row r="199">
          <cell r="C199" t="str">
            <v>AA80011</v>
          </cell>
        </row>
        <row r="200">
          <cell r="C200" t="str">
            <v>AA80100</v>
          </cell>
        </row>
        <row r="201">
          <cell r="C201" t="str">
            <v>AA4007</v>
          </cell>
        </row>
        <row r="202">
          <cell r="C202" t="str">
            <v>AA4022</v>
          </cell>
        </row>
        <row r="203">
          <cell r="C203" t="str">
            <v>AA4030</v>
          </cell>
        </row>
        <row r="204">
          <cell r="C204" t="str">
            <v>AA4033</v>
          </cell>
        </row>
        <row r="205">
          <cell r="C205" t="str">
            <v>AA4025</v>
          </cell>
        </row>
        <row r="206">
          <cell r="C206" t="str">
            <v>AA4023</v>
          </cell>
        </row>
        <row r="207">
          <cell r="C207" t="str">
            <v>AA4031</v>
          </cell>
        </row>
        <row r="208">
          <cell r="C208" t="str">
            <v>AA4026</v>
          </cell>
        </row>
        <row r="209">
          <cell r="C209" t="str">
            <v>AA4034</v>
          </cell>
        </row>
        <row r="210">
          <cell r="C210" t="str">
            <v>AA4032</v>
          </cell>
        </row>
        <row r="211">
          <cell r="C211" t="str">
            <v>AA4027</v>
          </cell>
        </row>
        <row r="212">
          <cell r="C212" t="str">
            <v>AA4039</v>
          </cell>
        </row>
        <row r="213">
          <cell r="C213" t="str">
            <v>AA4028</v>
          </cell>
        </row>
        <row r="214">
          <cell r="C214" t="str">
            <v>AA4010</v>
          </cell>
        </row>
        <row r="215">
          <cell r="C215" t="str">
            <v>AA4011</v>
          </cell>
        </row>
        <row r="216">
          <cell r="C216" t="str">
            <v>AA4015</v>
          </cell>
        </row>
        <row r="217">
          <cell r="C217" t="str">
            <v>AA4016</v>
          </cell>
        </row>
        <row r="218">
          <cell r="C218" t="str">
            <v>AA4013</v>
          </cell>
        </row>
        <row r="219">
          <cell r="C219" t="str">
            <v>AA80001</v>
          </cell>
        </row>
        <row r="220">
          <cell r="C220" t="str">
            <v>AA80026</v>
          </cell>
        </row>
        <row r="221">
          <cell r="C221" t="str">
            <v>AA80012</v>
          </cell>
        </row>
        <row r="222">
          <cell r="C222" t="str">
            <v>AA80017</v>
          </cell>
        </row>
        <row r="223">
          <cell r="C223" t="str">
            <v>AA80036</v>
          </cell>
        </row>
        <row r="224">
          <cell r="C224" t="str">
            <v>AA80009</v>
          </cell>
        </row>
        <row r="225">
          <cell r="C225" t="str">
            <v>AA80016</v>
          </cell>
        </row>
        <row r="226">
          <cell r="C226" t="str">
            <v>AA80018</v>
          </cell>
        </row>
        <row r="227">
          <cell r="C227" t="str">
            <v>AA80043</v>
          </cell>
        </row>
        <row r="228">
          <cell r="C228" t="str">
            <v>AA80044</v>
          </cell>
        </row>
        <row r="229">
          <cell r="C229" t="str">
            <v>AA80065</v>
          </cell>
        </row>
        <row r="230">
          <cell r="C230" t="str">
            <v>AA5012</v>
          </cell>
        </row>
        <row r="231">
          <cell r="C231" t="str">
            <v>AA3051</v>
          </cell>
        </row>
        <row r="232">
          <cell r="C232" t="str">
            <v>AA3080</v>
          </cell>
        </row>
        <row r="233">
          <cell r="C233" t="str">
            <v>AA3049</v>
          </cell>
        </row>
        <row r="234">
          <cell r="C234" t="str">
            <v>AA3047</v>
          </cell>
        </row>
        <row r="235">
          <cell r="C235" t="str">
            <v>AA3081</v>
          </cell>
        </row>
        <row r="236">
          <cell r="C236" t="str">
            <v>AA3045</v>
          </cell>
        </row>
        <row r="237">
          <cell r="C237" t="str">
            <v>AA3082</v>
          </cell>
        </row>
        <row r="238">
          <cell r="C238" t="str">
            <v>AA7001</v>
          </cell>
        </row>
        <row r="239">
          <cell r="C239" t="str">
            <v>AA7002</v>
          </cell>
        </row>
        <row r="240">
          <cell r="C240" t="str">
            <v>AA7008</v>
          </cell>
        </row>
        <row r="241">
          <cell r="C241" t="str">
            <v>AA7003</v>
          </cell>
        </row>
        <row r="242">
          <cell r="C242" t="str">
            <v>AA7004</v>
          </cell>
        </row>
        <row r="243">
          <cell r="C243" t="str">
            <v>AA7005</v>
          </cell>
        </row>
        <row r="244">
          <cell r="C244" t="str">
            <v>AA7007</v>
          </cell>
        </row>
        <row r="245">
          <cell r="C245" t="str">
            <v>AA7006</v>
          </cell>
        </row>
        <row r="246">
          <cell r="C246" t="str">
            <v>AA7010</v>
          </cell>
        </row>
        <row r="247">
          <cell r="C247" t="str">
            <v>AA7013</v>
          </cell>
        </row>
        <row r="248">
          <cell r="C248" t="str">
            <v>AA7015</v>
          </cell>
        </row>
        <row r="249">
          <cell r="C249" t="str">
            <v>AA7014</v>
          </cell>
        </row>
        <row r="250">
          <cell r="C250" t="str">
            <v>AA7017</v>
          </cell>
        </row>
        <row r="251">
          <cell r="C251" t="str">
            <v>AA7018</v>
          </cell>
        </row>
        <row r="252">
          <cell r="C252" t="str">
            <v>AA7019</v>
          </cell>
        </row>
        <row r="253">
          <cell r="C253" t="str">
            <v>AJ0001</v>
          </cell>
        </row>
        <row r="254">
          <cell r="C254" t="str">
            <v>AJ0001-1</v>
          </cell>
        </row>
        <row r="255">
          <cell r="C255" t="str">
            <v>AJ0001-2</v>
          </cell>
        </row>
        <row r="256">
          <cell r="C256" t="str">
            <v>AJ0002</v>
          </cell>
        </row>
        <row r="257">
          <cell r="C257" t="str">
            <v>AJ0002-1</v>
          </cell>
        </row>
        <row r="258">
          <cell r="C258" t="str">
            <v>AJ1036</v>
          </cell>
        </row>
        <row r="259">
          <cell r="C259" t="str">
            <v>AJ2010</v>
          </cell>
        </row>
        <row r="260">
          <cell r="C260" t="str">
            <v>AJ0003</v>
          </cell>
        </row>
        <row r="261">
          <cell r="C261" t="str">
            <v>AJ0003-1</v>
          </cell>
        </row>
        <row r="262">
          <cell r="C262" t="str">
            <v>AJ2011</v>
          </cell>
        </row>
        <row r="263">
          <cell r="C263" t="str">
            <v>AJ9011</v>
          </cell>
        </row>
        <row r="264">
          <cell r="C264" t="str">
            <v>AJ0005</v>
          </cell>
        </row>
        <row r="265">
          <cell r="C265" t="str">
            <v>AJ0005-1</v>
          </cell>
        </row>
        <row r="266">
          <cell r="C266" t="str">
            <v>AJ0076</v>
          </cell>
        </row>
        <row r="267">
          <cell r="C267" t="str">
            <v>AJ0076-1</v>
          </cell>
        </row>
        <row r="268">
          <cell r="C268" t="str">
            <v>AJ1040</v>
          </cell>
        </row>
        <row r="269">
          <cell r="C269" t="str">
            <v>AJ0005-2</v>
          </cell>
        </row>
        <row r="270">
          <cell r="C270" t="str">
            <v>AJ0005-3</v>
          </cell>
        </row>
        <row r="271">
          <cell r="C271" t="str">
            <v>AJ1037</v>
          </cell>
        </row>
        <row r="272">
          <cell r="C272" t="str">
            <v>AJ2043</v>
          </cell>
        </row>
        <row r="273">
          <cell r="C273" t="str">
            <v>AJ0006</v>
          </cell>
        </row>
        <row r="274">
          <cell r="C274" t="str">
            <v>AJ0006-1</v>
          </cell>
        </row>
        <row r="275">
          <cell r="C275" t="str">
            <v>AJ0006-2</v>
          </cell>
        </row>
        <row r="276">
          <cell r="C276" t="str">
            <v>AJ2008</v>
          </cell>
        </row>
        <row r="277">
          <cell r="C277" t="str">
            <v>AJ1007</v>
          </cell>
        </row>
        <row r="278">
          <cell r="C278" t="str">
            <v>AJ0001-3</v>
          </cell>
        </row>
        <row r="279">
          <cell r="C279" t="str">
            <v>AJ1033</v>
          </cell>
        </row>
        <row r="280">
          <cell r="C280" t="str">
            <v>AJ1031</v>
          </cell>
        </row>
        <row r="281">
          <cell r="C281" t="str">
            <v>AJ0033</v>
          </cell>
        </row>
        <row r="282">
          <cell r="C282" t="str">
            <v>AJ0033-1</v>
          </cell>
        </row>
        <row r="283">
          <cell r="C283" t="str">
            <v>AJ0033-2</v>
          </cell>
        </row>
        <row r="284">
          <cell r="C284" t="str">
            <v>AJ2044</v>
          </cell>
        </row>
        <row r="285">
          <cell r="C285" t="str">
            <v>AJ2034</v>
          </cell>
        </row>
        <row r="286">
          <cell r="C286" t="str">
            <v>AJ0052</v>
          </cell>
        </row>
        <row r="287">
          <cell r="C287" t="str">
            <v>AJ2032</v>
          </cell>
        </row>
        <row r="288">
          <cell r="C288" t="str">
            <v>AJ0041</v>
          </cell>
        </row>
        <row r="289">
          <cell r="C289" t="str">
            <v>AJ0041-1</v>
          </cell>
        </row>
        <row r="290">
          <cell r="C290" t="str">
            <v>AJ2045</v>
          </cell>
        </row>
        <row r="291">
          <cell r="C291" t="str">
            <v>AJ2033</v>
          </cell>
        </row>
        <row r="292">
          <cell r="C292" t="str">
            <v>AJ0040</v>
          </cell>
        </row>
        <row r="293">
          <cell r="C293" t="str">
            <v>AJ0048</v>
          </cell>
        </row>
        <row r="294">
          <cell r="C294" t="str">
            <v>AJ0034</v>
          </cell>
        </row>
        <row r="295">
          <cell r="C295" t="str">
            <v>AJ0034-1</v>
          </cell>
        </row>
        <row r="296">
          <cell r="C296" t="str">
            <v>AJ0038</v>
          </cell>
        </row>
        <row r="297">
          <cell r="C297" t="str">
            <v>AJ0038-1</v>
          </cell>
        </row>
        <row r="298">
          <cell r="C298" t="str">
            <v>AJ2030</v>
          </cell>
        </row>
        <row r="299">
          <cell r="C299" t="str">
            <v>AJ0007</v>
          </cell>
        </row>
        <row r="300">
          <cell r="C300" t="str">
            <v>AJ0007-1</v>
          </cell>
        </row>
        <row r="301">
          <cell r="C301" t="str">
            <v>AJ0007-2</v>
          </cell>
        </row>
        <row r="302">
          <cell r="C302" t="str">
            <v>AJ1027</v>
          </cell>
        </row>
        <row r="303">
          <cell r="C303" t="str">
            <v>AJ1042</v>
          </cell>
        </row>
        <row r="304">
          <cell r="C304" t="str">
            <v>AJ2046</v>
          </cell>
        </row>
        <row r="305">
          <cell r="C305" t="str">
            <v>AJ0008</v>
          </cell>
        </row>
        <row r="306">
          <cell r="C306" t="str">
            <v>AJ0008-1</v>
          </cell>
        </row>
        <row r="307">
          <cell r="C307" t="str">
            <v>AJ9009</v>
          </cell>
        </row>
        <row r="308">
          <cell r="C308" t="str">
            <v>AJ2006</v>
          </cell>
        </row>
        <row r="309">
          <cell r="C309" t="str">
            <v>AJ0007-4</v>
          </cell>
        </row>
        <row r="310">
          <cell r="C310" t="str">
            <v>AJ0008-3</v>
          </cell>
        </row>
        <row r="311">
          <cell r="C311" t="str">
            <v>AJ1034</v>
          </cell>
        </row>
        <row r="312">
          <cell r="C312" t="str">
            <v>AJ1009</v>
          </cell>
        </row>
        <row r="313">
          <cell r="C313" t="str">
            <v>AJ1009-1</v>
          </cell>
        </row>
        <row r="314">
          <cell r="C314" t="str">
            <v>AJ1045</v>
          </cell>
        </row>
        <row r="315">
          <cell r="C315" t="str">
            <v>AJ1046</v>
          </cell>
        </row>
        <row r="316">
          <cell r="C316" t="str">
            <v>AJ0116</v>
          </cell>
        </row>
        <row r="317">
          <cell r="C317" t="str">
            <v>AJ0116-1</v>
          </cell>
        </row>
        <row r="318">
          <cell r="C318" t="str">
            <v>AJ0135</v>
          </cell>
        </row>
        <row r="319">
          <cell r="C319" t="str">
            <v>AJ0135-1</v>
          </cell>
        </row>
        <row r="320">
          <cell r="C320" t="str">
            <v>AJ0136</v>
          </cell>
        </row>
        <row r="321">
          <cell r="C321" t="str">
            <v>AJ0136-1</v>
          </cell>
        </row>
        <row r="322">
          <cell r="C322" t="str">
            <v>AJ0054-2</v>
          </cell>
        </row>
        <row r="323">
          <cell r="C323" t="str">
            <v>AJ1049</v>
          </cell>
        </row>
        <row r="324">
          <cell r="C324" t="str">
            <v>AJ0117</v>
          </cell>
        </row>
        <row r="325">
          <cell r="C325" t="str">
            <v>AJ0035</v>
          </cell>
        </row>
        <row r="326">
          <cell r="C326" t="str">
            <v>AJ0035-1</v>
          </cell>
        </row>
        <row r="327">
          <cell r="C327" t="str">
            <v>AJ1047</v>
          </cell>
        </row>
        <row r="328">
          <cell r="C328" t="str">
            <v>AJ0036</v>
          </cell>
        </row>
        <row r="329">
          <cell r="C329" t="str">
            <v>AJ0036-1</v>
          </cell>
        </row>
        <row r="330">
          <cell r="C330" t="str">
            <v>AJ0036-2</v>
          </cell>
        </row>
        <row r="331">
          <cell r="C331" t="str">
            <v>AJ2037</v>
          </cell>
        </row>
        <row r="332">
          <cell r="C332" t="str">
            <v>AJ0009</v>
          </cell>
        </row>
        <row r="333">
          <cell r="C333" t="str">
            <v>AJ0009-1</v>
          </cell>
        </row>
        <row r="334">
          <cell r="C334" t="str">
            <v>AJ0009-3</v>
          </cell>
        </row>
        <row r="335">
          <cell r="C335" t="str">
            <v>AJ1041</v>
          </cell>
        </row>
        <row r="336">
          <cell r="C336" t="str">
            <v>AJ0010</v>
          </cell>
        </row>
        <row r="337">
          <cell r="C337" t="str">
            <v>AJ0010-1</v>
          </cell>
        </row>
        <row r="338">
          <cell r="C338" t="str">
            <v>AJ9007</v>
          </cell>
        </row>
        <row r="339">
          <cell r="C339" t="str">
            <v>AJ2013</v>
          </cell>
        </row>
        <row r="340">
          <cell r="C340" t="str">
            <v>AJ0011</v>
          </cell>
        </row>
        <row r="341">
          <cell r="C341" t="str">
            <v>AJ0011-1</v>
          </cell>
        </row>
        <row r="342">
          <cell r="C342" t="str">
            <v>AJ2015</v>
          </cell>
        </row>
        <row r="343">
          <cell r="C343" t="str">
            <v>AJ0012</v>
          </cell>
        </row>
        <row r="344">
          <cell r="C344" t="str">
            <v>AJ2016</v>
          </cell>
        </row>
        <row r="345">
          <cell r="C345" t="str">
            <v>AJ0012-1</v>
          </cell>
        </row>
        <row r="346">
          <cell r="C346" t="str">
            <v>AJ0027</v>
          </cell>
        </row>
        <row r="347">
          <cell r="C347" t="str">
            <v>AJ0013</v>
          </cell>
        </row>
        <row r="348">
          <cell r="C348" t="str">
            <v>AJ0013-1</v>
          </cell>
        </row>
        <row r="349">
          <cell r="C349" t="str">
            <v>AJ0015</v>
          </cell>
        </row>
        <row r="350">
          <cell r="C350" t="str">
            <v>AJ0015-1</v>
          </cell>
        </row>
        <row r="351">
          <cell r="C351" t="str">
            <v>AJ0014</v>
          </cell>
        </row>
        <row r="352">
          <cell r="C352" t="str">
            <v>AJ0014-2</v>
          </cell>
        </row>
        <row r="353">
          <cell r="C353" t="str">
            <v>AJ2017</v>
          </cell>
        </row>
        <row r="354">
          <cell r="C354" t="str">
            <v>AJ0016</v>
          </cell>
        </row>
        <row r="355">
          <cell r="C355" t="str">
            <v>AJ0016-1</v>
          </cell>
        </row>
        <row r="356">
          <cell r="C356" t="str">
            <v>AJ0017</v>
          </cell>
        </row>
        <row r="357">
          <cell r="C357" t="str">
            <v>AJ0017-1</v>
          </cell>
        </row>
        <row r="358">
          <cell r="C358" t="str">
            <v>AJ0094</v>
          </cell>
        </row>
        <row r="359">
          <cell r="C359" t="str">
            <v>AJ0018</v>
          </cell>
        </row>
        <row r="360">
          <cell r="C360" t="str">
            <v>AJ0018-1</v>
          </cell>
        </row>
        <row r="361">
          <cell r="C361" t="str">
            <v>AJ0108</v>
          </cell>
        </row>
        <row r="362">
          <cell r="C362" t="str">
            <v>AJ0109</v>
          </cell>
        </row>
        <row r="363">
          <cell r="C363" t="str">
            <v>AJ0110</v>
          </cell>
        </row>
        <row r="364">
          <cell r="C364" t="str">
            <v>AJ2021</v>
          </cell>
        </row>
        <row r="365">
          <cell r="C365" t="str">
            <v>AJ0065</v>
          </cell>
        </row>
        <row r="366">
          <cell r="C366" t="str">
            <v>AJ0114</v>
          </cell>
        </row>
        <row r="367">
          <cell r="C367" t="str">
            <v>AJ0115</v>
          </cell>
        </row>
        <row r="368">
          <cell r="C368" t="str">
            <v>AJ0050</v>
          </cell>
        </row>
        <row r="369">
          <cell r="C369" t="str">
            <v>AJ0050-1</v>
          </cell>
        </row>
        <row r="370">
          <cell r="C370" t="str">
            <v>AJ0023</v>
          </cell>
        </row>
        <row r="371">
          <cell r="C371" t="str">
            <v>AJ0023-1</v>
          </cell>
        </row>
        <row r="372">
          <cell r="C372" t="str">
            <v>AJ2019</v>
          </cell>
        </row>
        <row r="373">
          <cell r="C373" t="str">
            <v>AJ0024</v>
          </cell>
        </row>
        <row r="374">
          <cell r="C374" t="str">
            <v>AJ1011</v>
          </cell>
        </row>
        <row r="375">
          <cell r="C375" t="str">
            <v>AJ0100</v>
          </cell>
        </row>
        <row r="376">
          <cell r="C376" t="str">
            <v>AJ0101</v>
          </cell>
        </row>
        <row r="377">
          <cell r="C377" t="str">
            <v>AJ0100-1</v>
          </cell>
        </row>
        <row r="378">
          <cell r="C378" t="str">
            <v>AJ0078</v>
          </cell>
        </row>
        <row r="379">
          <cell r="C379" t="str">
            <v>AJ0078-1</v>
          </cell>
        </row>
        <row r="380">
          <cell r="C380" t="str">
            <v>AJ0102</v>
          </cell>
        </row>
        <row r="381">
          <cell r="C381" t="str">
            <v>AJ0102-1</v>
          </cell>
        </row>
        <row r="382">
          <cell r="C382" t="str">
            <v>AJ0079</v>
          </cell>
        </row>
        <row r="383">
          <cell r="C383" t="str">
            <v>AJ0079-1</v>
          </cell>
        </row>
        <row r="384">
          <cell r="C384" t="str">
            <v>AJ0103</v>
          </cell>
        </row>
        <row r="385">
          <cell r="C385" t="str">
            <v>AJ0059</v>
          </cell>
        </row>
        <row r="386">
          <cell r="C386" t="str">
            <v>AJ0059-1</v>
          </cell>
        </row>
        <row r="387">
          <cell r="C387" t="str">
            <v>AJ0061</v>
          </cell>
        </row>
        <row r="388">
          <cell r="C388" t="str">
            <v>AJ2053</v>
          </cell>
        </row>
        <row r="389">
          <cell r="C389" t="str">
            <v>AJ0061-1</v>
          </cell>
        </row>
        <row r="390">
          <cell r="C390" t="str">
            <v>AJ1038</v>
          </cell>
        </row>
        <row r="391">
          <cell r="C391" t="str">
            <v>AJ0025</v>
          </cell>
        </row>
        <row r="392">
          <cell r="C392" t="str">
            <v>AJ0025-1</v>
          </cell>
        </row>
        <row r="393">
          <cell r="C393" t="str">
            <v>AJ2029-1</v>
          </cell>
        </row>
        <row r="394">
          <cell r="C394" t="str">
            <v>AJ0042</v>
          </cell>
        </row>
        <row r="395">
          <cell r="C395" t="str">
            <v>AJ0042-1</v>
          </cell>
        </row>
        <row r="396">
          <cell r="C396" t="str">
            <v>AJ0047</v>
          </cell>
        </row>
        <row r="397">
          <cell r="C397" t="str">
            <v>AJ0019</v>
          </cell>
        </row>
        <row r="398">
          <cell r="C398" t="str">
            <v>AJ0082</v>
          </cell>
        </row>
        <row r="399">
          <cell r="C399" t="str">
            <v>AJ2001</v>
          </cell>
        </row>
        <row r="400">
          <cell r="C400" t="str">
            <v>AJ1026</v>
          </cell>
        </row>
        <row r="401">
          <cell r="C401" t="str">
            <v>AJ0021</v>
          </cell>
        </row>
        <row r="402">
          <cell r="C402" t="str">
            <v>AJ2003</v>
          </cell>
        </row>
        <row r="403">
          <cell r="C403" t="str">
            <v>AJ0020</v>
          </cell>
        </row>
        <row r="404">
          <cell r="C404" t="str">
            <v>AJ1024</v>
          </cell>
        </row>
        <row r="405">
          <cell r="C405" t="str">
            <v>AJ0022</v>
          </cell>
        </row>
        <row r="406">
          <cell r="C406" t="str">
            <v>AJ2004</v>
          </cell>
        </row>
        <row r="407">
          <cell r="C407" t="str">
            <v>AJ0063</v>
          </cell>
        </row>
        <row r="408">
          <cell r="C408" t="str">
            <v>AJ0063-1</v>
          </cell>
        </row>
        <row r="409">
          <cell r="C409" t="str">
            <v>AJ0077</v>
          </cell>
        </row>
        <row r="410">
          <cell r="C410" t="str">
            <v>AJ0057</v>
          </cell>
        </row>
        <row r="411">
          <cell r="C411" t="str">
            <v>AJ0057-1</v>
          </cell>
        </row>
        <row r="412">
          <cell r="C412" t="str">
            <v>AJ0055</v>
          </cell>
        </row>
        <row r="413">
          <cell r="C413" t="str">
            <v>AJ0055-1</v>
          </cell>
        </row>
        <row r="414">
          <cell r="C414" t="str">
            <v>AJ0122</v>
          </cell>
        </row>
        <row r="415">
          <cell r="C415" t="str">
            <v>AJ0123</v>
          </cell>
        </row>
        <row r="416">
          <cell r="C416" t="str">
            <v>AJ0037</v>
          </cell>
        </row>
        <row r="417">
          <cell r="C417" t="str">
            <v>AJ0037-1</v>
          </cell>
        </row>
        <row r="418">
          <cell r="C418" t="str">
            <v>AJ2035</v>
          </cell>
        </row>
        <row r="419">
          <cell r="C419" t="str">
            <v>AJ0049</v>
          </cell>
        </row>
        <row r="420">
          <cell r="C420" t="str">
            <v>AJ0028</v>
          </cell>
        </row>
        <row r="421">
          <cell r="C421" t="str">
            <v>AJ2047</v>
          </cell>
        </row>
        <row r="422">
          <cell r="C422" t="str">
            <v>AJ1028</v>
          </cell>
        </row>
        <row r="423">
          <cell r="C423" t="str">
            <v>AJ0028-1</v>
          </cell>
        </row>
        <row r="424">
          <cell r="C424" t="str">
            <v>AJ0028-2</v>
          </cell>
        </row>
        <row r="425">
          <cell r="C425" t="str">
            <v>AJ0029</v>
          </cell>
        </row>
        <row r="426">
          <cell r="C426" t="str">
            <v>AJ0029-1</v>
          </cell>
        </row>
        <row r="427">
          <cell r="C427" t="str">
            <v>AJ2048</v>
          </cell>
        </row>
        <row r="428">
          <cell r="C428" t="str">
            <v>AJ0049-1</v>
          </cell>
        </row>
        <row r="429">
          <cell r="C429" t="str">
            <v>AJ0030</v>
          </cell>
        </row>
        <row r="430">
          <cell r="C430" t="str">
            <v>AJ0098</v>
          </cell>
        </row>
        <row r="431">
          <cell r="C431" t="str">
            <v>AJ1044</v>
          </cell>
        </row>
        <row r="432">
          <cell r="C432" t="str">
            <v>AJ1025</v>
          </cell>
        </row>
        <row r="433">
          <cell r="C433" t="str">
            <v>AJ1008</v>
          </cell>
        </row>
        <row r="434">
          <cell r="C434" t="str">
            <v>AJ0044</v>
          </cell>
        </row>
        <row r="435">
          <cell r="C435" t="str">
            <v>AJ0044-1</v>
          </cell>
        </row>
        <row r="436">
          <cell r="C436" t="str">
            <v>AJ0046</v>
          </cell>
        </row>
        <row r="437">
          <cell r="C437" t="str">
            <v>AJ0046-1</v>
          </cell>
        </row>
        <row r="438">
          <cell r="C438" t="str">
            <v>AJ2049</v>
          </cell>
        </row>
        <row r="439">
          <cell r="C439" t="str">
            <v>AJ2050</v>
          </cell>
        </row>
        <row r="440">
          <cell r="C440" t="str">
            <v>AJ0058</v>
          </cell>
        </row>
        <row r="441">
          <cell r="C441" t="str">
            <v>AJ0058-1</v>
          </cell>
        </row>
        <row r="442">
          <cell r="C442" t="str">
            <v>AJ0058-2</v>
          </cell>
        </row>
        <row r="443">
          <cell r="C443" t="str">
            <v>AJ0066</v>
          </cell>
        </row>
        <row r="444">
          <cell r="C444" t="str">
            <v>AJ0099</v>
          </cell>
        </row>
        <row r="445">
          <cell r="C445" t="str">
            <v>AJ0121</v>
          </cell>
        </row>
        <row r="446">
          <cell r="C446" t="str">
            <v>AJ0043</v>
          </cell>
        </row>
        <row r="447">
          <cell r="C447" t="str">
            <v>AJ0043-1</v>
          </cell>
        </row>
        <row r="448">
          <cell r="C448" t="str">
            <v>AJ0045</v>
          </cell>
        </row>
        <row r="449">
          <cell r="C449" t="str">
            <v>AJ2051</v>
          </cell>
        </row>
        <row r="450">
          <cell r="C450" t="str">
            <v>AJ0045-1</v>
          </cell>
        </row>
        <row r="451">
          <cell r="C451" t="str">
            <v>AJ0056</v>
          </cell>
        </row>
        <row r="452">
          <cell r="C452" t="str">
            <v>AJ0056-1</v>
          </cell>
        </row>
        <row r="453">
          <cell r="C453" t="str">
            <v>AJ0069</v>
          </cell>
        </row>
        <row r="454">
          <cell r="C454" t="str">
            <v>AJ2052</v>
          </cell>
        </row>
        <row r="455">
          <cell r="C455" t="str">
            <v>AJ0069-1</v>
          </cell>
        </row>
        <row r="456">
          <cell r="C456" t="str">
            <v>AJ0118</v>
          </cell>
        </row>
        <row r="457">
          <cell r="C457" t="str">
            <v>AJ0112</v>
          </cell>
        </row>
        <row r="458">
          <cell r="C458" t="str">
            <v>AJ2025</v>
          </cell>
        </row>
        <row r="459">
          <cell r="C459" t="str">
            <v>AJ2026</v>
          </cell>
        </row>
        <row r="460">
          <cell r="C460" t="str">
            <v>AJ0091</v>
          </cell>
        </row>
        <row r="461">
          <cell r="C461" t="str">
            <v>AJ0113</v>
          </cell>
        </row>
        <row r="462">
          <cell r="C462" t="str">
            <v>AJ0092</v>
          </cell>
        </row>
        <row r="463">
          <cell r="C463" t="str">
            <v>AJ2054</v>
          </cell>
        </row>
        <row r="464">
          <cell r="C464" t="str">
            <v>AJ0080</v>
          </cell>
        </row>
        <row r="465">
          <cell r="C465" t="str">
            <v>AJ0080-1</v>
          </cell>
        </row>
        <row r="466">
          <cell r="C466" t="str">
            <v>AJ0080-3</v>
          </cell>
        </row>
        <row r="467">
          <cell r="C467" t="str">
            <v>AJ0092-2</v>
          </cell>
        </row>
        <row r="468">
          <cell r="C468" t="str">
            <v>AJ0089</v>
          </cell>
        </row>
        <row r="469">
          <cell r="C469" t="str">
            <v>AJ0089-1</v>
          </cell>
        </row>
        <row r="470">
          <cell r="C470" t="str">
            <v>AJ0091-1</v>
          </cell>
        </row>
        <row r="471">
          <cell r="C471" t="str">
            <v>AJ0093</v>
          </cell>
        </row>
        <row r="472">
          <cell r="C472" t="str">
            <v>AJ2055</v>
          </cell>
        </row>
        <row r="473">
          <cell r="C473" t="str">
            <v>AJ0081</v>
          </cell>
        </row>
        <row r="474">
          <cell r="C474" t="str">
            <v>AJ0081-3</v>
          </cell>
        </row>
        <row r="475">
          <cell r="C475" t="str">
            <v>AJ0081-1</v>
          </cell>
        </row>
        <row r="476">
          <cell r="C476" t="str">
            <v>AJ0093-1</v>
          </cell>
        </row>
        <row r="477">
          <cell r="C477" t="str">
            <v>AJ0097</v>
          </cell>
        </row>
        <row r="478">
          <cell r="C478" t="str">
            <v>AJ0119</v>
          </cell>
        </row>
        <row r="479">
          <cell r="C479" t="str">
            <v>AJ0124</v>
          </cell>
        </row>
        <row r="480">
          <cell r="C480" t="str">
            <v>AJ0125</v>
          </cell>
        </row>
        <row r="481">
          <cell r="C481" t="str">
            <v>AJ0095</v>
          </cell>
        </row>
        <row r="482">
          <cell r="C482" t="str">
            <v>AJ0096</v>
          </cell>
        </row>
        <row r="483">
          <cell r="C483" t="str">
            <v>AJ0096-1</v>
          </cell>
        </row>
        <row r="484">
          <cell r="C484" t="str">
            <v>AJ0086</v>
          </cell>
        </row>
        <row r="485">
          <cell r="C485" t="str">
            <v>AJ0087</v>
          </cell>
        </row>
        <row r="486">
          <cell r="C486" t="str">
            <v>AJ0087-1</v>
          </cell>
        </row>
        <row r="487">
          <cell r="C487" t="str">
            <v>AJI0005</v>
          </cell>
        </row>
        <row r="488">
          <cell r="C488" t="str">
            <v>AJ2042</v>
          </cell>
        </row>
        <row r="489">
          <cell r="C489" t="str">
            <v>AJ1001</v>
          </cell>
        </row>
        <row r="490">
          <cell r="C490" t="str">
            <v>BA0008</v>
          </cell>
        </row>
        <row r="491">
          <cell r="C491" t="str">
            <v>BA0008-1</v>
          </cell>
        </row>
        <row r="492">
          <cell r="C492" t="str">
            <v>BA0009</v>
          </cell>
        </row>
        <row r="493">
          <cell r="C493" t="str">
            <v>BA0013</v>
          </cell>
        </row>
        <row r="494">
          <cell r="C494" t="str">
            <v>BA0011</v>
          </cell>
        </row>
        <row r="495">
          <cell r="C495" t="str">
            <v>BA0011-1</v>
          </cell>
        </row>
        <row r="496">
          <cell r="C496" t="str">
            <v>BA0007</v>
          </cell>
        </row>
        <row r="497">
          <cell r="C497" t="str">
            <v>BA0017</v>
          </cell>
        </row>
        <row r="498">
          <cell r="C498" t="str">
            <v>BA0017-1</v>
          </cell>
        </row>
        <row r="499">
          <cell r="C499" t="str">
            <v>BA0342</v>
          </cell>
        </row>
        <row r="500">
          <cell r="C500" t="str">
            <v>BA0015</v>
          </cell>
        </row>
        <row r="501">
          <cell r="C501" t="str">
            <v>BA0016</v>
          </cell>
        </row>
        <row r="502">
          <cell r="C502" t="str">
            <v>BA0018</v>
          </cell>
        </row>
        <row r="503">
          <cell r="C503" t="str">
            <v>BA0019</v>
          </cell>
        </row>
        <row r="504">
          <cell r="C504" t="str">
            <v>BA0180</v>
          </cell>
        </row>
        <row r="505">
          <cell r="C505" t="str">
            <v>BA0361</v>
          </cell>
        </row>
        <row r="506">
          <cell r="C506" t="str">
            <v>BA0362</v>
          </cell>
        </row>
        <row r="507">
          <cell r="C507" t="str">
            <v>BA0181</v>
          </cell>
        </row>
        <row r="508">
          <cell r="C508" t="str">
            <v>BA0182</v>
          </cell>
        </row>
        <row r="509">
          <cell r="C509" t="str">
            <v>BA0183</v>
          </cell>
        </row>
        <row r="510">
          <cell r="C510" t="str">
            <v>BA0184</v>
          </cell>
        </row>
        <row r="511">
          <cell r="C511" t="str">
            <v>BA0185</v>
          </cell>
        </row>
        <row r="512">
          <cell r="C512" t="str">
            <v>BA0186</v>
          </cell>
        </row>
        <row r="513">
          <cell r="C513" t="str">
            <v>BA0187</v>
          </cell>
        </row>
        <row r="514">
          <cell r="C514" t="str">
            <v>AA80095</v>
          </cell>
        </row>
        <row r="515">
          <cell r="C515" t="str">
            <v>AA9342</v>
          </cell>
        </row>
        <row r="516">
          <cell r="C516" t="str">
            <v>AA9343</v>
          </cell>
        </row>
        <row r="517">
          <cell r="C517" t="str">
            <v>BA0001</v>
          </cell>
        </row>
        <row r="518">
          <cell r="C518" t="str">
            <v>BA0002</v>
          </cell>
        </row>
        <row r="519">
          <cell r="C519" t="str">
            <v>BA0003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XV-BXV"/>
      <sheetName val="Centrifugal"/>
      <sheetName val="RawMat List"/>
      <sheetName val="Part List"/>
      <sheetName val="Rough-Cut BOM"/>
      <sheetName val="Sheet4"/>
      <sheetName val="Wkgs_BS Lead"/>
      <sheetName val="เงินกู้ธนชาติ"/>
      <sheetName val="Description"/>
      <sheetName val="TS"/>
      <sheetName val="imp_fan"/>
      <sheetName val="incoming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</row>
        <row r="3">
          <cell r="B3" t="str">
            <v>RS0003</v>
          </cell>
        </row>
        <row r="4">
          <cell r="B4" t="str">
            <v>RS0009</v>
          </cell>
        </row>
        <row r="5">
          <cell r="B5" t="str">
            <v>RS009ม</v>
          </cell>
        </row>
        <row r="6">
          <cell r="B6" t="str">
            <v>RS009ม</v>
          </cell>
        </row>
        <row r="8">
          <cell r="B8" t="str">
            <v>RS0306</v>
          </cell>
        </row>
        <row r="9">
          <cell r="B9" t="str">
            <v>RS0307</v>
          </cell>
        </row>
        <row r="10">
          <cell r="B10" t="str">
            <v>RS1105</v>
          </cell>
        </row>
        <row r="11">
          <cell r="B11" t="str">
            <v>RS1109</v>
          </cell>
        </row>
        <row r="12">
          <cell r="B12" t="str">
            <v>RS1110</v>
          </cell>
        </row>
        <row r="13">
          <cell r="B13" t="str">
            <v>RS1113</v>
          </cell>
        </row>
        <row r="14">
          <cell r="B14" t="str">
            <v>RS1113ม</v>
          </cell>
        </row>
        <row r="15">
          <cell r="B15" t="str">
            <v>RS1117</v>
          </cell>
        </row>
        <row r="16">
          <cell r="B16" t="str">
            <v>RS1132</v>
          </cell>
        </row>
        <row r="17">
          <cell r="B17" t="str">
            <v>RS1137</v>
          </cell>
        </row>
        <row r="18">
          <cell r="B18" t="str">
            <v>RS1137ม</v>
          </cell>
        </row>
        <row r="19">
          <cell r="B19" t="str">
            <v>RS1139</v>
          </cell>
        </row>
        <row r="31">
          <cell r="B31" t="str">
            <v>RS1301</v>
          </cell>
        </row>
        <row r="33">
          <cell r="B33" t="str">
            <v>RS2010</v>
          </cell>
        </row>
        <row r="34">
          <cell r="B34" t="str">
            <v>RS2017</v>
          </cell>
        </row>
        <row r="35">
          <cell r="B35" t="str">
            <v>RS2020</v>
          </cell>
        </row>
        <row r="36">
          <cell r="B36" t="str">
            <v>RS2021</v>
          </cell>
        </row>
        <row r="37">
          <cell r="B37" t="str">
            <v>RS2024</v>
          </cell>
        </row>
        <row r="38">
          <cell r="B38" t="str">
            <v>RS2039</v>
          </cell>
        </row>
        <row r="39">
          <cell r="B39" t="str">
            <v>RS2048</v>
          </cell>
        </row>
        <row r="40">
          <cell r="B40" t="str">
            <v>RS2050</v>
          </cell>
        </row>
        <row r="42">
          <cell r="B42" t="str">
            <v>RS2052</v>
          </cell>
        </row>
        <row r="43">
          <cell r="B43" t="str">
            <v>RS3021</v>
          </cell>
        </row>
        <row r="44">
          <cell r="B44" t="str">
            <v>RS3022</v>
          </cell>
        </row>
        <row r="45">
          <cell r="B45" t="str">
            <v>RS3023</v>
          </cell>
        </row>
        <row r="46">
          <cell r="B46" t="str">
            <v>RS3079</v>
          </cell>
        </row>
        <row r="47">
          <cell r="B47" t="str">
            <v>RS3080</v>
          </cell>
        </row>
        <row r="48">
          <cell r="B48" t="str">
            <v>RS3081</v>
          </cell>
        </row>
        <row r="49">
          <cell r="B49" t="str">
            <v>RS3104</v>
          </cell>
        </row>
        <row r="50">
          <cell r="B50" t="str">
            <v>RS3105</v>
          </cell>
        </row>
        <row r="51">
          <cell r="B51" t="str">
            <v>RS3106</v>
          </cell>
        </row>
        <row r="52">
          <cell r="B52" t="str">
            <v>RS4007</v>
          </cell>
        </row>
        <row r="53">
          <cell r="B53" t="str">
            <v>RS4021</v>
          </cell>
        </row>
        <row r="54">
          <cell r="B54" t="str">
            <v>RS4021ม</v>
          </cell>
        </row>
        <row r="55">
          <cell r="B55" t="str">
            <v>RS4022</v>
          </cell>
        </row>
        <row r="56">
          <cell r="B56" t="str">
            <v>RS4024</v>
          </cell>
        </row>
        <row r="57">
          <cell r="B57" t="str">
            <v>RS4027</v>
          </cell>
        </row>
        <row r="58">
          <cell r="B58" t="str">
            <v>RS4033</v>
          </cell>
        </row>
        <row r="60">
          <cell r="B60" t="str">
            <v>RS4033ม</v>
          </cell>
        </row>
        <row r="61">
          <cell r="B61" t="str">
            <v>RS4034</v>
          </cell>
        </row>
        <row r="63">
          <cell r="B63" t="str">
            <v>RS4035</v>
          </cell>
        </row>
        <row r="64">
          <cell r="B64" t="str">
            <v>RS4036</v>
          </cell>
        </row>
        <row r="65">
          <cell r="B65" t="str">
            <v>RS4037</v>
          </cell>
        </row>
        <row r="66">
          <cell r="B66" t="str">
            <v>RS4038</v>
          </cell>
        </row>
        <row r="67">
          <cell r="B67" t="str">
            <v>RS4040ม</v>
          </cell>
        </row>
        <row r="68">
          <cell r="B68" t="str">
            <v>RS4040</v>
          </cell>
        </row>
        <row r="69">
          <cell r="B69" t="str">
            <v>RS4042</v>
          </cell>
        </row>
        <row r="70">
          <cell r="B70" t="str">
            <v>RS4042ม</v>
          </cell>
        </row>
        <row r="71">
          <cell r="B71" t="str">
            <v>RS6101</v>
          </cell>
        </row>
        <row r="72">
          <cell r="B72" t="str">
            <v>RS6106</v>
          </cell>
        </row>
        <row r="73">
          <cell r="B73" t="str">
            <v>RS6110</v>
          </cell>
        </row>
        <row r="74">
          <cell r="B74" t="str">
            <v>RS6115</v>
          </cell>
        </row>
        <row r="84">
          <cell r="B84" t="str">
            <v>RS6220</v>
          </cell>
        </row>
        <row r="85">
          <cell r="B85" t="str">
            <v>RS6221</v>
          </cell>
        </row>
        <row r="86">
          <cell r="B86" t="str">
            <v>RS6223</v>
          </cell>
        </row>
        <row r="87">
          <cell r="B87" t="str">
            <v>RS6224</v>
          </cell>
        </row>
        <row r="88">
          <cell r="B88" t="str">
            <v>RS6225</v>
          </cell>
        </row>
        <row r="89">
          <cell r="B89" t="str">
            <v>RS6227</v>
          </cell>
        </row>
        <row r="90">
          <cell r="B90" t="str">
            <v>RS6228</v>
          </cell>
        </row>
        <row r="91">
          <cell r="B91" t="str">
            <v>RS6230</v>
          </cell>
        </row>
        <row r="92">
          <cell r="B92" t="str">
            <v>RS6234</v>
          </cell>
        </row>
        <row r="93">
          <cell r="B93" t="str">
            <v>RS6354</v>
          </cell>
        </row>
        <row r="94">
          <cell r="B94" t="str">
            <v>RS6401</v>
          </cell>
        </row>
        <row r="95">
          <cell r="B95" t="str">
            <v>RS7101</v>
          </cell>
        </row>
        <row r="96">
          <cell r="B96" t="str">
            <v>RS7107</v>
          </cell>
        </row>
        <row r="97">
          <cell r="B97" t="str">
            <v>RS7108</v>
          </cell>
        </row>
        <row r="98">
          <cell r="B98" t="str">
            <v>RS7111</v>
          </cell>
        </row>
        <row r="99">
          <cell r="B99" t="str">
            <v>RS7113</v>
          </cell>
        </row>
        <row r="100">
          <cell r="B100" t="str">
            <v>RS7114</v>
          </cell>
        </row>
        <row r="101">
          <cell r="B101" t="str">
            <v>RS7115</v>
          </cell>
        </row>
        <row r="103">
          <cell r="B103" t="str">
            <v>RS7117</v>
          </cell>
        </row>
        <row r="104">
          <cell r="B104" t="str">
            <v>RS7209</v>
          </cell>
        </row>
        <row r="105">
          <cell r="B105" t="str">
            <v>RS7213</v>
          </cell>
        </row>
        <row r="106">
          <cell r="B106" t="str">
            <v>RS7223</v>
          </cell>
        </row>
        <row r="108">
          <cell r="B108" t="str">
            <v>RS7310</v>
          </cell>
        </row>
        <row r="109">
          <cell r="B109" t="str">
            <v>RS7401</v>
          </cell>
        </row>
        <row r="110">
          <cell r="B110" t="str">
            <v>RS7407</v>
          </cell>
        </row>
        <row r="111">
          <cell r="B111" t="str">
            <v>RS7408</v>
          </cell>
        </row>
        <row r="112">
          <cell r="B112" t="str">
            <v>RS7409</v>
          </cell>
        </row>
        <row r="113">
          <cell r="B113" t="str">
            <v>RS7412</v>
          </cell>
        </row>
        <row r="114">
          <cell r="B114" t="str">
            <v>RS7414</v>
          </cell>
        </row>
        <row r="116">
          <cell r="B116" t="str">
            <v>RS7507</v>
          </cell>
        </row>
        <row r="117">
          <cell r="B117" t="str">
            <v>RS7902</v>
          </cell>
        </row>
        <row r="118">
          <cell r="B118" t="str">
            <v>RS7904</v>
          </cell>
        </row>
        <row r="120">
          <cell r="B120" t="str">
            <v>RS8109</v>
          </cell>
        </row>
        <row r="121">
          <cell r="B121" t="str">
            <v>RS8505</v>
          </cell>
        </row>
        <row r="122">
          <cell r="B122" t="str">
            <v>RS8506</v>
          </cell>
        </row>
        <row r="123">
          <cell r="B123" t="str">
            <v>RS8509</v>
          </cell>
        </row>
        <row r="124">
          <cell r="B124" t="str">
            <v>RS8513</v>
          </cell>
        </row>
        <row r="125">
          <cell r="B125" t="str">
            <v>RS8513ม</v>
          </cell>
        </row>
        <row r="126">
          <cell r="B126" t="str">
            <v>RS8514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c"/>
      <sheetName val="RawMat List"/>
      <sheetName val="Part List"/>
      <sheetName val="Rough-Cut BOM"/>
      <sheetName val="Sheet4"/>
      <sheetName val="Fixed asset register"/>
      <sheetName val="XREF"/>
      <sheetName val="SCB 1 - Current"/>
      <sheetName val="SCB 2 - Current"/>
      <sheetName val="incoming"/>
      <sheetName val="Description"/>
      <sheetName val="TS"/>
      <sheetName val="imp_fan"/>
      <sheetName val="reject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  <cell r="C2" t="str">
            <v>ชื่อสินค้า</v>
          </cell>
        </row>
        <row r="3">
          <cell r="B3" t="str">
            <v>RS0003</v>
          </cell>
          <cell r="C3" t="str">
            <v>แป๊ปดำวัดนอก 1.1/2"x2.3มม.</v>
          </cell>
        </row>
        <row r="4">
          <cell r="C4" t="str">
            <v>แป๊ปดำวัดนอก 1"</v>
          </cell>
        </row>
        <row r="5">
          <cell r="B5" t="str">
            <v>RS0009</v>
          </cell>
          <cell r="C5" t="str">
            <v>แป๊ปดำวัดนอก 4"หนา3มม.</v>
          </cell>
        </row>
        <row r="6">
          <cell r="B6" t="str">
            <v>RS009ม</v>
          </cell>
          <cell r="C6" t="str">
            <v>แป๊ปดำวัดนอก 2 1/2"x2.3มม.</v>
          </cell>
        </row>
        <row r="7">
          <cell r="B7" t="str">
            <v>RS009ม</v>
          </cell>
          <cell r="C7" t="str">
            <v>แป๊ปดำวัดนอก 2"x2.3มม.</v>
          </cell>
        </row>
        <row r="8">
          <cell r="C8" t="str">
            <v>แป๊ปดำวัดนอก 4"</v>
          </cell>
        </row>
        <row r="9">
          <cell r="C9" t="str">
            <v>แป๊ปแสตนเลสวัดนอก 1.1/2"x2.3มม.</v>
          </cell>
        </row>
        <row r="10">
          <cell r="C10" t="str">
            <v>แป๊ปแสตนเลสวัดนอก 2"x2.3มม.</v>
          </cell>
        </row>
        <row r="11">
          <cell r="B11" t="str">
            <v>RS0306</v>
          </cell>
          <cell r="C11" t="str">
            <v>เหล็กไรท์เกรด11/2"x11/2"หนา2.3มม.</v>
          </cell>
        </row>
        <row r="12">
          <cell r="B12" t="str">
            <v>RS0307</v>
          </cell>
          <cell r="C12" t="str">
            <v>เหล็กไรท์เกรด1.1/2"x1.1/2"x3.2มม.</v>
          </cell>
        </row>
        <row r="13">
          <cell r="C13" t="str">
            <v>เหล็กแผ่นดำ 8มม.x4'x8'เกรดSS400(187กก.)</v>
          </cell>
        </row>
        <row r="14">
          <cell r="B14" t="str">
            <v>RS1105</v>
          </cell>
          <cell r="C14" t="str">
            <v>เหล็กแผ่นดำ 8มม.x5'x10'เกรดSS400(292กก.)</v>
          </cell>
        </row>
        <row r="15">
          <cell r="B15" t="str">
            <v>RS1109</v>
          </cell>
          <cell r="C15" t="str">
            <v>เหล็กแผ่นดำ 4มม.x5'x10'เกรดSS400(146กก)</v>
          </cell>
        </row>
        <row r="16">
          <cell r="B16" t="str">
            <v>RS1110</v>
          </cell>
          <cell r="C16" t="str">
            <v>เหล็กแผ่นดำ 6มม.x5'x10'เกรดSS400 (215กก.)</v>
          </cell>
        </row>
        <row r="17">
          <cell r="B17" t="str">
            <v>RS1113</v>
          </cell>
          <cell r="C17" t="str">
            <v>เหล็กแผ่นดำ 1.20มม.x4'x8' 28กก</v>
          </cell>
        </row>
        <row r="18">
          <cell r="B18" t="str">
            <v>RS1113ม</v>
          </cell>
          <cell r="C18" t="str">
            <v>เหล็กแผ่นดำ 12 มม 5'x10' เกรดSS400</v>
          </cell>
        </row>
        <row r="19">
          <cell r="B19" t="str">
            <v>RS1117</v>
          </cell>
          <cell r="C19" t="str">
            <v>เหล็กแผ่นดำ 2มม.x4'x8' 47กก.</v>
          </cell>
        </row>
        <row r="20">
          <cell r="B20" t="str">
            <v>RS1132</v>
          </cell>
          <cell r="C20" t="str">
            <v>เหล็กแผ่นดำ 1.5มม.x4'x10'SPHCขึ้นรูป43.8กก.</v>
          </cell>
        </row>
        <row r="21">
          <cell r="B21" t="str">
            <v>RS1137</v>
          </cell>
          <cell r="C21" t="str">
            <v>เหล็กแผ่นดำ 2.5มม.x4'x10' SPHCขึ้นรูป</v>
          </cell>
        </row>
        <row r="22">
          <cell r="B22" t="str">
            <v>RS1137ม</v>
          </cell>
          <cell r="C22" t="str">
            <v xml:space="preserve">เหล็กแผ่นดำ 2.5มม.x4'x8' </v>
          </cell>
        </row>
        <row r="24">
          <cell r="B24" t="str">
            <v>RS1137ม</v>
          </cell>
          <cell r="C24" t="str">
            <v xml:space="preserve">เหล็กแผ่นดำ 2.5มม.x5'x10' </v>
          </cell>
        </row>
        <row r="25">
          <cell r="B25" t="str">
            <v>RS1139</v>
          </cell>
          <cell r="C25" t="str">
            <v>เหล็กแผ่นดำ 3มม.x5'x10' SS400</v>
          </cell>
        </row>
        <row r="26">
          <cell r="C26" t="str">
            <v>เหล็กแผ่นดำ 3มม.x5'x10' SPHCขึ้นรูป</v>
          </cell>
        </row>
        <row r="27">
          <cell r="C27" t="str">
            <v>เหล็กแผ่นขาว 1มม.x4'x8'</v>
          </cell>
        </row>
        <row r="28">
          <cell r="C28" t="str">
            <v>เหล็กแผ่นขาว 0.7มม.x4'x8'</v>
          </cell>
        </row>
        <row r="30">
          <cell r="C30" t="str">
            <v>สังกะสี 2.0 มม.4'x10' (37กก.)SGCC-RS</v>
          </cell>
        </row>
        <row r="31">
          <cell r="C31" t="str">
            <v>สังกะสี 1.5 มม.4'x8' SGCC-RS</v>
          </cell>
        </row>
        <row r="32">
          <cell r="C32" t="str">
            <v>สังกะสี 1.0 มม.4'x8' SGCC-RS</v>
          </cell>
        </row>
        <row r="33">
          <cell r="C33" t="str">
            <v>สังกะสี 1.5 มม.4'x10' SGCC-RS</v>
          </cell>
        </row>
        <row r="34">
          <cell r="B34" t="str">
            <v>RS1200</v>
          </cell>
          <cell r="C34" t="str">
            <v>สังกะสี 1.2 มม.4'x10' (37กก.)SGCC-RS</v>
          </cell>
        </row>
        <row r="35">
          <cell r="C35" t="str">
            <v>ตะแกรงรังผึ้ง Dai 10มมxหนา1.0มม.x4'x8'</v>
          </cell>
        </row>
        <row r="36">
          <cell r="C36" t="str">
            <v>ตะแกรงรังผึ้ง Dai 5มมxหนา1.0มม.x4'x8'</v>
          </cell>
        </row>
        <row r="37">
          <cell r="C37" t="str">
            <v>ตะแกรงข้าวหลามตัด #6มม.x4'x8'</v>
          </cell>
        </row>
        <row r="38">
          <cell r="B38" t="str">
            <v>RS1301</v>
          </cell>
          <cell r="C38" t="str">
            <v>เหล็กแผ่นขาว 0.7มม.x4'x8'</v>
          </cell>
        </row>
        <row r="39">
          <cell r="B39" t="str">
            <v>RS2001</v>
          </cell>
          <cell r="C39" t="str">
            <v>เหล็กฉาก100x100x7มม.x6ม.</v>
          </cell>
        </row>
        <row r="40">
          <cell r="B40" t="str">
            <v>RS200-1ม</v>
          </cell>
          <cell r="C40" t="str">
            <v>เหล็กฉาก100x100x6มม.x6ม.</v>
          </cell>
        </row>
        <row r="41">
          <cell r="C41" t="str">
            <v>เหล็กฉาก 30x30x3มม.ยาว6ม.</v>
          </cell>
        </row>
        <row r="42">
          <cell r="B42" t="str">
            <v>RS2002</v>
          </cell>
          <cell r="C42" t="str">
            <v>เหล็กฉาก 30x30x5 มม.</v>
          </cell>
        </row>
        <row r="43">
          <cell r="B43" t="str">
            <v>RS2010</v>
          </cell>
          <cell r="C43" t="str">
            <v>เหล็กฉาก40x40x2.5มม.ยาว6ม.</v>
          </cell>
        </row>
        <row r="44">
          <cell r="B44" t="str">
            <v>RS2014</v>
          </cell>
          <cell r="C44" t="str">
            <v>เหล็กฉาก30x30หนา3มม.ยาว1140มม.</v>
          </cell>
        </row>
        <row r="45">
          <cell r="B45" t="str">
            <v>RS2016</v>
          </cell>
          <cell r="C45" t="str">
            <v>เหล็กฉาก30x30หนา3มม.ยาว810มม.</v>
          </cell>
        </row>
        <row r="46">
          <cell r="B46" t="str">
            <v>RS2017</v>
          </cell>
          <cell r="C46" t="str">
            <v>เหล็กฉาก40x40x6มม.ยาว6ม.</v>
          </cell>
        </row>
        <row r="47">
          <cell r="B47" t="str">
            <v>RS2020</v>
          </cell>
          <cell r="C47" t="str">
            <v>เหล็กฉาก50x50x6มม ยาว6ม.</v>
          </cell>
        </row>
        <row r="48">
          <cell r="B48" t="str">
            <v>RS2020ม</v>
          </cell>
        </row>
        <row r="49">
          <cell r="B49" t="str">
            <v>RS2021</v>
          </cell>
          <cell r="C49" t="str">
            <v>เหล็กฉาก65x65x6มม. ยาว6ม.</v>
          </cell>
        </row>
        <row r="50">
          <cell r="B50" t="str">
            <v>RS2022</v>
          </cell>
          <cell r="C50" t="str">
            <v>เหล็กฉาก30x30หนา3มม.ยาว770มม.</v>
          </cell>
        </row>
        <row r="51">
          <cell r="B51" t="str">
            <v>RS2024</v>
          </cell>
          <cell r="C51" t="str">
            <v>เหล็กฉาก75x75x6มม.ยาว6ม.</v>
          </cell>
        </row>
        <row r="52">
          <cell r="B52" t="str">
            <v>RS2029</v>
          </cell>
          <cell r="C52" t="str">
            <v>เหล็กฉาก30x30หนา3มม.ยาว570มม.</v>
          </cell>
        </row>
        <row r="53">
          <cell r="B53" t="str">
            <v>RS2030</v>
          </cell>
          <cell r="C53" t="str">
            <v>เหล็กฉาก30x30หนา3มม.ยาว510มม.</v>
          </cell>
        </row>
        <row r="54">
          <cell r="B54" t="str">
            <v>RS2034</v>
          </cell>
          <cell r="C54" t="str">
            <v>เหล็กฉาก30x30หนา3มม.ยาว275มม.</v>
          </cell>
        </row>
        <row r="55">
          <cell r="B55" t="str">
            <v>RS2038</v>
          </cell>
          <cell r="C55" t="str">
            <v>เหล็กฉากตัดตามขนาด</v>
          </cell>
        </row>
        <row r="56">
          <cell r="B56" t="str">
            <v>RS2039</v>
          </cell>
          <cell r="C56" t="str">
            <v>เหล็กฉาก65x65x8มม. ยาว6ม.</v>
          </cell>
        </row>
        <row r="57">
          <cell r="B57" t="str">
            <v>RS2048</v>
          </cell>
          <cell r="C57" t="str">
            <v>เหล็กฉาก100x100x10มม.x6ม.</v>
          </cell>
        </row>
        <row r="58">
          <cell r="B58" t="str">
            <v>RS2050</v>
          </cell>
          <cell r="C58" t="str">
            <v>เหล็กฉาก125x125x10มม.ยาว6ม.</v>
          </cell>
        </row>
        <row r="59">
          <cell r="C59" t="str">
            <v>เหล็กฉาก130x130x9มม.ยาว6ม.</v>
          </cell>
        </row>
        <row r="60">
          <cell r="B60" t="str">
            <v>RS2052</v>
          </cell>
          <cell r="C60" t="str">
            <v>เหล็กฉาก75x75x8.5มม. ยาว6ม.</v>
          </cell>
        </row>
        <row r="61">
          <cell r="B61" t="str">
            <v>RS2055</v>
          </cell>
          <cell r="C61" t="str">
            <v>เหล็กฉาก30x30หนา3มม.ยาว880มม.</v>
          </cell>
        </row>
        <row r="62">
          <cell r="B62" t="str">
            <v>RS2082</v>
          </cell>
          <cell r="C62" t="str">
            <v>เหล็กฉาก30*30หนา3มม.ยาว830มม.</v>
          </cell>
        </row>
        <row r="63">
          <cell r="B63" t="str">
            <v>RS3021</v>
          </cell>
          <cell r="C63" t="str">
            <v>เหล็กราง 118.9 (แขนยาว 24")</v>
          </cell>
        </row>
        <row r="64">
          <cell r="B64" t="str">
            <v>RS3022</v>
          </cell>
          <cell r="C64" t="str">
            <v>เหล็กราง 42.0 (แขนข้าง 24")</v>
          </cell>
        </row>
        <row r="65">
          <cell r="B65" t="str">
            <v>RS3023</v>
          </cell>
          <cell r="C65" t="str">
            <v>เหล็กราง 20.5 (แขนสั้น 24")</v>
          </cell>
        </row>
        <row r="66">
          <cell r="B66" t="str">
            <v>RS3079</v>
          </cell>
          <cell r="C66" t="str">
            <v>เหล็กราง 110.4 (แขนยาว 20")</v>
          </cell>
        </row>
        <row r="67">
          <cell r="B67" t="str">
            <v>RS3080</v>
          </cell>
          <cell r="C67" t="str">
            <v>เหล็กราง 39.9 (แขนข้าง 20")</v>
          </cell>
        </row>
        <row r="68">
          <cell r="B68" t="str">
            <v>RS3081</v>
          </cell>
          <cell r="C68" t="str">
            <v>เหล็กราง 19 (แขนสั้น20")</v>
          </cell>
        </row>
        <row r="69">
          <cell r="B69" t="str">
            <v>RS3104</v>
          </cell>
          <cell r="C69" t="str">
            <v>เหล็กราง 18.5ซม.(แขนสั้น16")</v>
          </cell>
        </row>
        <row r="70">
          <cell r="B70" t="str">
            <v>RS3105</v>
          </cell>
          <cell r="C70" t="str">
            <v>เหล็กราง 33ซม.(แขนข้าง16")</v>
          </cell>
        </row>
        <row r="71">
          <cell r="B71" t="str">
            <v>RS3106</v>
          </cell>
          <cell r="C71" t="str">
            <v>เหล็กราง 93ซม.(แขนยาว16")</v>
          </cell>
        </row>
        <row r="72">
          <cell r="B72" t="str">
            <v>RS4007</v>
          </cell>
          <cell r="C72" t="str">
            <v>เหล็กแบน40x6มม.x6ม.</v>
          </cell>
        </row>
        <row r="73">
          <cell r="B73" t="str">
            <v>RS4021</v>
          </cell>
          <cell r="C73" t="str">
            <v>เหล็กแบน50x6มม.x6ม.</v>
          </cell>
        </row>
        <row r="74">
          <cell r="B74" t="str">
            <v>RS4021ม</v>
          </cell>
          <cell r="C74" t="str">
            <v>เหล็กแบน(รีด) 50x6มม.x6ม.</v>
          </cell>
        </row>
        <row r="76">
          <cell r="B76" t="str">
            <v>RS4022</v>
          </cell>
          <cell r="C76" t="str">
            <v>เหล็กแบน(รีด)65x8มม.x6ม.</v>
          </cell>
        </row>
        <row r="77">
          <cell r="B77" t="str">
            <v>RS4024</v>
          </cell>
          <cell r="C77" t="str">
            <v>เหล็กแบน75x12มม.x6ม.</v>
          </cell>
        </row>
        <row r="78">
          <cell r="B78" t="str">
            <v>RS4027</v>
          </cell>
          <cell r="C78" t="str">
            <v>เหล็กแบน30มม.x12มม.x6ม.</v>
          </cell>
        </row>
        <row r="79">
          <cell r="B79" t="str">
            <v>RS4033</v>
          </cell>
          <cell r="C79" t="str">
            <v>เหล็กแบน(รีด)50มม.x8มม.x6ม.</v>
          </cell>
        </row>
        <row r="80">
          <cell r="C80" t="str">
            <v>เหล็กแบน(รีด)50มม.x9มม.x6ม.</v>
          </cell>
        </row>
        <row r="81">
          <cell r="B81" t="str">
            <v>RS4033ม</v>
          </cell>
          <cell r="C81" t="str">
            <v>เหล็กแบน(รีด) 50มม.x10มม.x6ม.</v>
          </cell>
        </row>
        <row r="82">
          <cell r="B82" t="str">
            <v>RS4034</v>
          </cell>
          <cell r="C82" t="str">
            <v>เหล็กแบน(รีด) 65x6มม.x6ม.</v>
          </cell>
        </row>
        <row r="83">
          <cell r="C83" t="str">
            <v>เหล็กแบน(รีด) 100มม.x10มม.x6ม.</v>
          </cell>
        </row>
        <row r="84">
          <cell r="B84" t="str">
            <v>RS4035</v>
          </cell>
          <cell r="C84" t="str">
            <v>เหล็กแบน(รีด) 100มม.x6มม.x6ม.</v>
          </cell>
        </row>
        <row r="85">
          <cell r="B85" t="str">
            <v>RS4036</v>
          </cell>
          <cell r="C85" t="str">
            <v>เหล็กแบน(รีด) 75มม.x10มม.x6ม.</v>
          </cell>
        </row>
        <row r="86">
          <cell r="B86" t="str">
            <v>RS4037</v>
          </cell>
          <cell r="C86" t="str">
            <v>เหล็กแบน(รีด)3"x9มม.x6ม.</v>
          </cell>
        </row>
        <row r="87">
          <cell r="B87" t="str">
            <v>RS4038</v>
          </cell>
          <cell r="C87" t="str">
            <v>เหล็กแบน(รีด)3"x6มม.x6ม.</v>
          </cell>
        </row>
        <row r="88">
          <cell r="B88" t="str">
            <v>RS4040ม</v>
          </cell>
          <cell r="C88" t="str">
            <v>เหล็กแบน(รีด)75มม.x8มม.x6ม.</v>
          </cell>
        </row>
        <row r="89">
          <cell r="B89" t="str">
            <v>RS4040</v>
          </cell>
          <cell r="C89" t="str">
            <v>เหล็กแบน(รีด)75มม.x9มม.x6ม.</v>
          </cell>
        </row>
        <row r="90">
          <cell r="B90" t="str">
            <v>RS4042</v>
          </cell>
          <cell r="C90" t="str">
            <v>เหล็กแบน(รีด)65มม.x9มม.x6ม.</v>
          </cell>
        </row>
        <row r="91">
          <cell r="B91" t="str">
            <v>RS4042ม</v>
          </cell>
          <cell r="C91" t="str">
            <v>เหล็กแบน(รีด) 65มม.x10มม.x6ม.</v>
          </cell>
        </row>
        <row r="92">
          <cell r="B92" t="str">
            <v>RS6101</v>
          </cell>
          <cell r="C92" t="str">
            <v>เหล็กเพลาขาว 1" ยาว6ม.</v>
          </cell>
        </row>
        <row r="93">
          <cell r="B93" t="str">
            <v>RS6106</v>
          </cell>
          <cell r="C93" t="str">
            <v>เหล็กเพลาขาว 1/2" ยาว6ม.</v>
          </cell>
        </row>
        <row r="94">
          <cell r="B94" t="str">
            <v>RS6110</v>
          </cell>
          <cell r="C94" t="str">
            <v>เหล็กเพลาขาว 3/8" ยาว6ม.</v>
          </cell>
        </row>
        <row r="95">
          <cell r="B95" t="str">
            <v>RS6115</v>
          </cell>
          <cell r="C95" t="str">
            <v>เหล็กเพลาขาว 5/8" ยาว6ม.</v>
          </cell>
        </row>
        <row r="96">
          <cell r="B96" t="str">
            <v>RS6202</v>
          </cell>
          <cell r="C96" t="str">
            <v>เหล็กเพลาS45C 105มมx6ม.408กก.</v>
          </cell>
        </row>
        <row r="97">
          <cell r="B97" t="str">
            <v>RS6209</v>
          </cell>
          <cell r="C97" t="str">
            <v>เหล็กเพลาS45C25มม.x6ม.25กก.</v>
          </cell>
        </row>
        <row r="98">
          <cell r="B98" t="str">
            <v>RS6211</v>
          </cell>
          <cell r="C98" t="str">
            <v>เหล็กเพลาS45C35มม.x6ม.46กก.</v>
          </cell>
        </row>
        <row r="99">
          <cell r="B99" t="str">
            <v>RS6213</v>
          </cell>
          <cell r="C99" t="str">
            <v>เหล็กเพลาS45C40มม.x6ม.59กก.</v>
          </cell>
        </row>
        <row r="100">
          <cell r="B100" t="str">
            <v>RS6214</v>
          </cell>
          <cell r="C100" t="str">
            <v>เหล็กเพลาS45C42มม.x6 ม.65กก.</v>
          </cell>
        </row>
        <row r="101">
          <cell r="B101" t="str">
            <v>RS6215</v>
          </cell>
          <cell r="C101" t="str">
            <v>เหล็กเพลาS45C45มม.x6ม.75กก.</v>
          </cell>
        </row>
        <row r="102">
          <cell r="B102" t="str">
            <v>RS6217</v>
          </cell>
          <cell r="C102" t="str">
            <v>เหล็กเพลาS45C 95มม.x6ม.330กก.</v>
          </cell>
        </row>
        <row r="103">
          <cell r="B103" t="str">
            <v>RS6218</v>
          </cell>
          <cell r="C103" t="str">
            <v>เหล็กเพลาS45C65มม.x6ม.133กก.</v>
          </cell>
        </row>
        <row r="104">
          <cell r="B104" t="str">
            <v>RS6219</v>
          </cell>
          <cell r="C104" t="str">
            <v>เหล็กเพลาS45C 85มม.x6ม.267กก.</v>
          </cell>
        </row>
        <row r="105">
          <cell r="B105" t="str">
            <v>RS6220</v>
          </cell>
          <cell r="C105" t="str">
            <v>เหล็กเพลาS45C80มม.x6ม.237กก.</v>
          </cell>
        </row>
        <row r="106">
          <cell r="B106" t="str">
            <v>RS6221</v>
          </cell>
          <cell r="C106" t="str">
            <v>เหล็กเพลาS45C75มม.x6ม.</v>
          </cell>
        </row>
        <row r="107">
          <cell r="B107" t="str">
            <v>RS6223</v>
          </cell>
          <cell r="C107" t="str">
            <v>เหล็กเพลาS45C60มม.x6ม.133กก.</v>
          </cell>
        </row>
        <row r="108">
          <cell r="B108" t="str">
            <v>RS6224</v>
          </cell>
          <cell r="C108" t="str">
            <v>เหล็กเพลาS45C 55มม.x6ม.112กก.</v>
          </cell>
        </row>
        <row r="109">
          <cell r="B109" t="str">
            <v>RS6225</v>
          </cell>
          <cell r="C109" t="str">
            <v>เหล็กเพลาS45C 50มม.x6ม.93กก.</v>
          </cell>
        </row>
        <row r="110">
          <cell r="B110" t="str">
            <v>RS6227</v>
          </cell>
          <cell r="C110" t="str">
            <v>เหล็กเพลาS45C 52มมx6ม.103กก.</v>
          </cell>
        </row>
        <row r="111">
          <cell r="B111" t="str">
            <v>RS6228</v>
          </cell>
          <cell r="C111" t="str">
            <v>เหล็กเพลาS45C32มม.x6ม.37กก.</v>
          </cell>
        </row>
        <row r="112">
          <cell r="B112" t="str">
            <v>RS6230</v>
          </cell>
          <cell r="C112" t="str">
            <v>เหล็กเพลาS45Cโต38มม.x6ม.(53กก.)</v>
          </cell>
        </row>
        <row r="113">
          <cell r="B113" t="str">
            <v>RS6234</v>
          </cell>
          <cell r="C113" t="str">
            <v>เหล็กเพลาS45Cโต120มม.xยาว6ม.(533กก.)</v>
          </cell>
        </row>
        <row r="114">
          <cell r="B114" t="str">
            <v>RS6354</v>
          </cell>
          <cell r="C114" t="str">
            <v>เหล็กเพลาSCM4วัดนอก140มม.xย701มม.86 กก.)</v>
          </cell>
        </row>
        <row r="115">
          <cell r="B115" t="str">
            <v>RS6401</v>
          </cell>
          <cell r="C115" t="str">
            <v>เหล็กเพลาเหลี่ยม3/4"x3/4"</v>
          </cell>
        </row>
        <row r="116">
          <cell r="B116" t="str">
            <v>RS7101</v>
          </cell>
          <cell r="C116" t="str">
            <v>แสตนเลสแผ่น 8มม.4'x8' No.304</v>
          </cell>
        </row>
        <row r="117">
          <cell r="B117" t="str">
            <v>RS7107</v>
          </cell>
          <cell r="C117" t="str">
            <v>แสตนเลสแผ่น 6มม.4'x8' No.304</v>
          </cell>
        </row>
        <row r="118">
          <cell r="B118" t="str">
            <v>RS7108</v>
          </cell>
          <cell r="C118" t="str">
            <v>แสตนเลสแผ่น1.2มม.x4'x8'No.304</v>
          </cell>
        </row>
        <row r="119">
          <cell r="B119" t="str">
            <v>RS7111</v>
          </cell>
          <cell r="C119" t="str">
            <v>สแตนเลสแผ่น 2มม.4'x8' No.304</v>
          </cell>
        </row>
        <row r="120">
          <cell r="B120" t="str">
            <v>RS7113</v>
          </cell>
          <cell r="C120" t="str">
            <v>แสตนเลสแผ่น 3มม.4'x8' No.304</v>
          </cell>
        </row>
        <row r="121">
          <cell r="B121" t="str">
            <v>RS7114</v>
          </cell>
          <cell r="C121" t="str">
            <v>แสตนเลสแผ่น 3มม.4'x8' No.316</v>
          </cell>
        </row>
        <row r="122">
          <cell r="B122" t="str">
            <v>RS7115</v>
          </cell>
          <cell r="C122" t="str">
            <v>แสตนเลสแผ่น 4มม 4'x8' No.304</v>
          </cell>
        </row>
        <row r="123">
          <cell r="C123" t="str">
            <v>แสตนเลสแผ่น 4มม 5'x10' No.304</v>
          </cell>
        </row>
        <row r="124">
          <cell r="B124" t="str">
            <v>RS7117</v>
          </cell>
          <cell r="C124" t="str">
            <v>แสตนเลสแผ่น1.2มม.x4'x8'No.430</v>
          </cell>
        </row>
        <row r="125">
          <cell r="B125" t="str">
            <v>RS7209</v>
          </cell>
          <cell r="C125" t="str">
            <v>สแตนเลสเพลา 1/2"x6ม.</v>
          </cell>
        </row>
        <row r="126">
          <cell r="B126" t="str">
            <v>RS7213</v>
          </cell>
          <cell r="C126" t="str">
            <v>สแตนเลสเพลา 5/8"x6ม.</v>
          </cell>
        </row>
        <row r="127">
          <cell r="B127" t="str">
            <v>RS7223</v>
          </cell>
          <cell r="C127" t="str">
            <v>สแตนเลสเพลา 3/8"x6ม.</v>
          </cell>
        </row>
        <row r="128">
          <cell r="C128" t="str">
            <v>เพลาแสตนเลส#310Dai60มม.ยาว760มม.</v>
          </cell>
        </row>
        <row r="129">
          <cell r="B129" t="str">
            <v>RS7310</v>
          </cell>
          <cell r="C129" t="str">
            <v>เพลาแสตนเลส#310Dai60มม.ยาว710มม.</v>
          </cell>
        </row>
        <row r="130">
          <cell r="B130" t="str">
            <v>RS7401</v>
          </cell>
          <cell r="C130" t="str">
            <v>สแตนเลสฉาก 75x75x6มม.x6ม.</v>
          </cell>
        </row>
        <row r="131">
          <cell r="B131" t="str">
            <v>RS7407</v>
          </cell>
          <cell r="C131" t="str">
            <v>สแตนเลสฉาก 50x50xหนา6มม.</v>
          </cell>
        </row>
        <row r="132">
          <cell r="B132" t="str">
            <v>RS7408</v>
          </cell>
          <cell r="C132" t="str">
            <v>สแตนเลสฉาก 65x65xหนา6มม.</v>
          </cell>
        </row>
        <row r="133">
          <cell r="B133" t="str">
            <v>RS7409</v>
          </cell>
          <cell r="C133" t="str">
            <v>สแตนเลสฉาก 30x30x5มม.</v>
          </cell>
        </row>
        <row r="134">
          <cell r="B134" t="str">
            <v>RS7412</v>
          </cell>
          <cell r="C134" t="str">
            <v>สแตนเลสฉาก 40x40x5มม.</v>
          </cell>
        </row>
        <row r="135">
          <cell r="B135" t="str">
            <v>RS7414</v>
          </cell>
          <cell r="C135" t="str">
            <v>สแตนเลสฉาก100x100x9มม.</v>
          </cell>
        </row>
        <row r="136">
          <cell r="C136" t="str">
            <v>สแตนเลสแบนกว้าง2"xหนา1/4"</v>
          </cell>
        </row>
        <row r="137">
          <cell r="B137" t="str">
            <v>RS7507</v>
          </cell>
          <cell r="C137" t="str">
            <v>สแตนเลสแบนกว้าง2" 1/2xหนา1/4"</v>
          </cell>
        </row>
        <row r="138">
          <cell r="B138" t="str">
            <v>RS7902</v>
          </cell>
          <cell r="C138" t="str">
            <v>อลูมิเนียมแผ่น 1มม.4'x8'</v>
          </cell>
        </row>
        <row r="139">
          <cell r="B139" t="str">
            <v>RS7904</v>
          </cell>
          <cell r="C139" t="str">
            <v>อลูมิเนียมแผ่น 2มม4'x8'</v>
          </cell>
        </row>
        <row r="140">
          <cell r="C140" t="str">
            <v>ท่อยาง Dai 5"ยาว 700มม.</v>
          </cell>
        </row>
        <row r="141">
          <cell r="B141" t="str">
            <v>RS8109</v>
          </cell>
          <cell r="C141" t="str">
            <v>เหล็กตัวซี 4"x2"x2.3มม.</v>
          </cell>
        </row>
        <row r="142">
          <cell r="C142" t="str">
            <v>เหล็กรางยู 75x180x7มมx6ม</v>
          </cell>
        </row>
        <row r="143">
          <cell r="C143" t="str">
            <v>เหล็กรางยู 150x75x7มมx6ม</v>
          </cell>
        </row>
        <row r="144">
          <cell r="B144" t="str">
            <v>RS8505</v>
          </cell>
          <cell r="C144" t="str">
            <v>เหล็กรางยู75x40x5มม.x6ม</v>
          </cell>
        </row>
        <row r="145">
          <cell r="B145" t="str">
            <v>RS8506</v>
          </cell>
          <cell r="C145" t="str">
            <v>เหล็กรางยู125x65x6มม.x6ม</v>
          </cell>
        </row>
        <row r="146">
          <cell r="B146" t="str">
            <v>RS8509</v>
          </cell>
          <cell r="C146" t="str">
            <v>เหล็กรางยู8"x6ม.</v>
          </cell>
        </row>
        <row r="147">
          <cell r="B147" t="str">
            <v>RS8513</v>
          </cell>
          <cell r="C147" t="str">
            <v>เหล็กรางยู150x75x7มม.x6ม</v>
          </cell>
        </row>
        <row r="148">
          <cell r="B148" t="str">
            <v>RS8513ม</v>
          </cell>
          <cell r="C148" t="str">
            <v>เหล็กรางยู 75x180x7มมx6ม</v>
          </cell>
        </row>
        <row r="149">
          <cell r="B149" t="str">
            <v>RS8514</v>
          </cell>
          <cell r="C149" t="str">
            <v>เหล็กรางยู100x50x5มมx6ม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PR"/>
      <sheetName val="AA"/>
      <sheetName val="AJ"/>
      <sheetName val="BA"/>
      <sheetName val="วางค่า Plan"/>
      <sheetName val="ON HAND"/>
      <sheetName val="BUILD95"/>
      <sheetName val="Sheet1"/>
      <sheetName val="TB-2001-Apr'01"/>
      <sheetName val="Wkgs_BS Lead"/>
      <sheetName val="Description"/>
      <sheetName val="TS"/>
      <sheetName val="RawMat List"/>
      <sheetName val="Part List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AA2025</v>
          </cell>
          <cell r="C6" t="str">
            <v>มอเตอร์ CR 1/4 HP (4P FOOT FR.71 220V)</v>
          </cell>
          <cell r="D6">
            <v>1300</v>
          </cell>
        </row>
        <row r="7">
          <cell r="B7" t="str">
            <v>AA1003-4</v>
          </cell>
          <cell r="C7" t="str">
            <v>มอเตอร์ CRH 1/3 HP (4P FT FR.71 220V)</v>
          </cell>
          <cell r="D7">
            <v>500</v>
          </cell>
        </row>
        <row r="8">
          <cell r="B8" t="str">
            <v>AA1004-2</v>
          </cell>
          <cell r="C8" t="str">
            <v>มอเตอร์ CRH 1/2 HP (4P FT FR.71 220V)</v>
          </cell>
          <cell r="D8">
            <v>600</v>
          </cell>
        </row>
        <row r="9">
          <cell r="B9" t="str">
            <v>AA2157</v>
          </cell>
          <cell r="C9" t="str">
            <v>มอเตอร์ SPH 1/4 HP (4P 220v.)</v>
          </cell>
          <cell r="D9">
            <v>600</v>
          </cell>
        </row>
        <row r="10">
          <cell r="B10" t="str">
            <v>AA2156</v>
          </cell>
          <cell r="C10" t="str">
            <v>มอเตอร์ SPH 1/3 HP (4P 220v.)</v>
          </cell>
          <cell r="D10">
            <v>1500</v>
          </cell>
        </row>
        <row r="11">
          <cell r="B11" t="str">
            <v>AA2031</v>
          </cell>
          <cell r="C11" t="str">
            <v>มอเตอร์ SP 1/2 HP (4P 220v.) เหล็กม้วน</v>
          </cell>
          <cell r="D11">
            <v>200</v>
          </cell>
        </row>
        <row r="12">
          <cell r="B12" t="str">
            <v>AA2154</v>
          </cell>
          <cell r="C12" t="str">
            <v>มอเตอร์ SCH 1/3 HP (4P 220v.)</v>
          </cell>
          <cell r="D12">
            <v>100</v>
          </cell>
        </row>
        <row r="13">
          <cell r="B13" t="str">
            <v>AA2032</v>
          </cell>
          <cell r="C13" t="str">
            <v>มอเตอร์ SC 1/2 HP (4P 220v.) เหล็กม้วน</v>
          </cell>
          <cell r="D13">
            <v>100</v>
          </cell>
        </row>
        <row r="14">
          <cell r="B14" t="str">
            <v>AA2035</v>
          </cell>
          <cell r="C14" t="str">
            <v>มอเตอร์ SC 1 HP (4P 220v.) เหล็กม้วน</v>
          </cell>
          <cell r="D14">
            <v>200</v>
          </cell>
        </row>
        <row r="15">
          <cell r="B15" t="str">
            <v>AA2026</v>
          </cell>
          <cell r="C15" t="str">
            <v>มอเตอร์ SC-R 1/2 HP (4P 220V) เหล็กม้วน</v>
          </cell>
          <cell r="D15">
            <v>200</v>
          </cell>
        </row>
        <row r="16">
          <cell r="B16" t="str">
            <v>AA2027</v>
          </cell>
          <cell r="C16" t="str">
            <v>มอเตอร์ SC-R 1 HP (4P 220V) เหล็กม้วน</v>
          </cell>
          <cell r="D16">
            <v>500</v>
          </cell>
        </row>
        <row r="17">
          <cell r="B17" t="str">
            <v>AA2007</v>
          </cell>
          <cell r="C17" t="str">
            <v>มอเตอร์ SC-R 1.5 HP (4P FOOT 220v.)</v>
          </cell>
          <cell r="D17">
            <v>30</v>
          </cell>
        </row>
        <row r="18">
          <cell r="B18" t="str">
            <v>AA2028</v>
          </cell>
          <cell r="C18" t="str">
            <v>มอเตอร์ SC-R 1.5 HP (4P 220V) เหล็กม้วน</v>
          </cell>
          <cell r="D18">
            <v>100</v>
          </cell>
        </row>
        <row r="19">
          <cell r="B19" t="str">
            <v>AA2008</v>
          </cell>
          <cell r="C19" t="str">
            <v>มอเตอร์ SC-R 2 HP (4P 220v.)</v>
          </cell>
          <cell r="D19">
            <v>60</v>
          </cell>
        </row>
        <row r="20">
          <cell r="B20" t="str">
            <v>AA2008-3</v>
          </cell>
          <cell r="C20" t="str">
            <v>มอเตอร์ SC-RS 2 HP (4P 220v.) เหล็กม้วน</v>
          </cell>
          <cell r="D20">
            <v>120</v>
          </cell>
        </row>
        <row r="21">
          <cell r="B21" t="str">
            <v>AA2009</v>
          </cell>
          <cell r="C21" t="str">
            <v>มอเตอร์ SC-R 3 HP (4P 220v.)</v>
          </cell>
          <cell r="D21">
            <v>100</v>
          </cell>
        </row>
        <row r="22">
          <cell r="B22" t="str">
            <v>AA2009-2</v>
          </cell>
          <cell r="C22" t="str">
            <v>มอเตอร์ SC-RS 3 HP (4P 220v.) เหล็กม้วน</v>
          </cell>
          <cell r="D22">
            <v>150</v>
          </cell>
        </row>
        <row r="23">
          <cell r="B23" t="str">
            <v>AA3013</v>
          </cell>
          <cell r="C23" t="str">
            <v>มอเตอร์ 1/2 HP (4P FLANGE CI 220/380v.)</v>
          </cell>
          <cell r="D23">
            <v>20</v>
          </cell>
        </row>
        <row r="24">
          <cell r="B24" t="str">
            <v>AA3016</v>
          </cell>
          <cell r="C24" t="str">
            <v>มอเตอร์ 1/2 HP (4P FOOT CI 220/380v.)</v>
          </cell>
          <cell r="D24">
            <v>100</v>
          </cell>
        </row>
        <row r="25">
          <cell r="B25" t="str">
            <v>AA3022</v>
          </cell>
          <cell r="C25" t="str">
            <v>มอเตอร์ 1 HP (4P FOOT CI 220/380v.)</v>
          </cell>
          <cell r="D25">
            <v>50</v>
          </cell>
        </row>
        <row r="26">
          <cell r="B26" t="str">
            <v>AA3025</v>
          </cell>
          <cell r="C26" t="str">
            <v>มอเตอร์ 2 HP (2P FLANGE CI 220/380v.)</v>
          </cell>
          <cell r="D26">
            <v>50</v>
          </cell>
        </row>
        <row r="27">
          <cell r="B27" t="str">
            <v>AA3029</v>
          </cell>
          <cell r="C27" t="str">
            <v>มอเตอร์ 2 HP (2P FOOT CI 220/380v.)</v>
          </cell>
          <cell r="D27">
            <v>20</v>
          </cell>
        </row>
        <row r="28">
          <cell r="B28" t="str">
            <v>AA3030</v>
          </cell>
          <cell r="C28" t="str">
            <v>มอเตอร์ 2 HP (4P FOOT CI 220/380v.)</v>
          </cell>
          <cell r="D28">
            <v>100</v>
          </cell>
        </row>
        <row r="29">
          <cell r="B29" t="str">
            <v>AA3035</v>
          </cell>
          <cell r="C29" t="str">
            <v>มอเตอร์ 3 HP (4P FOOT CI 220/380v.)</v>
          </cell>
          <cell r="D29">
            <v>100</v>
          </cell>
        </row>
        <row r="30">
          <cell r="B30" t="str">
            <v>AA3043</v>
          </cell>
          <cell r="C30" t="str">
            <v>มอเตอร์ 2 HP (4P FLANGE CI ฟาร์มกุ้ง )</v>
          </cell>
          <cell r="D30">
            <v>50</v>
          </cell>
        </row>
        <row r="31">
          <cell r="B31" t="str">
            <v>AA3074</v>
          </cell>
          <cell r="C31" t="str">
            <v>มอเตอร์ 5.5 HP (4P FOOT CI 220/380v.)</v>
          </cell>
          <cell r="D31">
            <v>10</v>
          </cell>
        </row>
        <row r="32">
          <cell r="B32" t="str">
            <v>AA4029</v>
          </cell>
          <cell r="C32" t="str">
            <v>มอเตอร์ขัด 1 HP (แกนหินขัด 2P 220/380v.)</v>
          </cell>
          <cell r="D32">
            <v>20</v>
          </cell>
        </row>
        <row r="33">
          <cell r="B33" t="str">
            <v>AJ0001</v>
          </cell>
          <cell r="C33" t="str">
            <v>ปั๊มน้ำ VENZ, VM50 (1" ทองเหลือง 220v.)</v>
          </cell>
          <cell r="D33">
            <v>300</v>
          </cell>
        </row>
        <row r="34">
          <cell r="B34" t="str">
            <v>AJ0001-1</v>
          </cell>
          <cell r="C34" t="str">
            <v>ปั๊มน้ำ EuroFlow, WM50 (1" ทองเหลือง 220v.)</v>
          </cell>
          <cell r="D34">
            <v>100</v>
          </cell>
        </row>
        <row r="35">
          <cell r="B35" t="str">
            <v>AJ0002</v>
          </cell>
          <cell r="C35" t="str">
            <v>ปั๊มน้ำ VENZ, VM50 (1" ไฟเบอร์ 220v.)</v>
          </cell>
          <cell r="D35">
            <v>100</v>
          </cell>
        </row>
        <row r="36">
          <cell r="B36" t="str">
            <v>AJ0005</v>
          </cell>
          <cell r="C36" t="str">
            <v>ปั๊มน้ำ VENZ, VM100 (1" ทองเหลือง 220v.)</v>
          </cell>
          <cell r="D36">
            <v>600</v>
          </cell>
        </row>
        <row r="37">
          <cell r="B37" t="str">
            <v>AJ0005-1</v>
          </cell>
          <cell r="C37" t="str">
            <v>ปั๊มน้ำ EuroFlow, WM100 (1" ทองเหลือง 220v.)</v>
          </cell>
          <cell r="D37">
            <v>200</v>
          </cell>
        </row>
        <row r="38">
          <cell r="B38" t="str">
            <v>AJ0076</v>
          </cell>
          <cell r="C38" t="str">
            <v>ปั๊มน้ำ VENZ, VM100 (1" ไฟเบอร์ 220v.)</v>
          </cell>
          <cell r="D38">
            <v>100</v>
          </cell>
        </row>
        <row r="39">
          <cell r="B39" t="str">
            <v>AJ0034</v>
          </cell>
          <cell r="C39" t="str">
            <v>ปั๊มน้ำ VENZ, VC150 (220v.)</v>
          </cell>
          <cell r="D39">
            <v>100</v>
          </cell>
        </row>
        <row r="40">
          <cell r="B40" t="str">
            <v>AJ0135</v>
          </cell>
          <cell r="C40" t="str">
            <v>ปั๊มน้ำ VENZ, VC200 Plus (2HP 2P 220V.)</v>
          </cell>
          <cell r="D40">
            <v>800</v>
          </cell>
        </row>
        <row r="41">
          <cell r="B41" t="str">
            <v>AJ0135-1</v>
          </cell>
          <cell r="C41" t="str">
            <v>ปั๊มน้ำ EuroFlow, WC200 Plus (2HP 2P 220V.)</v>
          </cell>
          <cell r="D41">
            <v>200</v>
          </cell>
        </row>
        <row r="42">
          <cell r="B42" t="str">
            <v>AJ0035</v>
          </cell>
          <cell r="C42" t="str">
            <v>ปั๊มน้ำ VENZ, VC300 (2" 3HP 220v.)</v>
          </cell>
          <cell r="D42">
            <v>100</v>
          </cell>
        </row>
        <row r="43">
          <cell r="B43" t="str">
            <v>AJ0035-1</v>
          </cell>
          <cell r="C43" t="str">
            <v>ปั๊มน้ำ EuroFlow, WC300 (2" 3HP 220v.)</v>
          </cell>
          <cell r="D43">
            <v>50</v>
          </cell>
        </row>
        <row r="44">
          <cell r="B44" t="str">
            <v>AJ0011</v>
          </cell>
          <cell r="C44" t="str">
            <v>ปั๊มน้ำ VENZ, VS100 (2" 1HP 220v.)</v>
          </cell>
          <cell r="D44">
            <v>30</v>
          </cell>
        </row>
        <row r="45">
          <cell r="B45" t="str">
            <v>AJ0015</v>
          </cell>
          <cell r="C45" t="str">
            <v>ปั๊มน้ำ VENZ, VS200/3 220v.</v>
          </cell>
          <cell r="D45">
            <v>30</v>
          </cell>
        </row>
        <row r="46">
          <cell r="B46" t="str">
            <v>AJ0015-1</v>
          </cell>
          <cell r="C46" t="str">
            <v>ปั๊มน้ำ EuroFlow, WS200/3 220v.</v>
          </cell>
          <cell r="D46">
            <v>20</v>
          </cell>
        </row>
        <row r="47">
          <cell r="B47" t="str">
            <v>AJ0017</v>
          </cell>
          <cell r="C47" t="str">
            <v>ปั๊มน้ำ VENZ, VS300/3 220v.</v>
          </cell>
          <cell r="D47">
            <v>60</v>
          </cell>
        </row>
        <row r="48">
          <cell r="B48" t="str">
            <v>AJ0017-1</v>
          </cell>
          <cell r="C48" t="str">
            <v>ปั๊มน้ำ EuroFlow, WS300/3 220v.</v>
          </cell>
          <cell r="D48">
            <v>30</v>
          </cell>
        </row>
        <row r="49">
          <cell r="B49" t="str">
            <v>AJ0114</v>
          </cell>
          <cell r="C49" t="str">
            <v>ปั๊มน้ำ VENZ, VS550/4 (5.5HP 2P 220V.)</v>
          </cell>
          <cell r="D49">
            <v>20</v>
          </cell>
        </row>
        <row r="50">
          <cell r="B50" t="str">
            <v>AJ0019</v>
          </cell>
          <cell r="C50" t="str">
            <v>ปั๊มน้ำ EP-2 2" 2HP 2 สาย</v>
          </cell>
          <cell r="D50">
            <v>50</v>
          </cell>
        </row>
        <row r="51">
          <cell r="B51" t="str">
            <v>AJ0020</v>
          </cell>
          <cell r="C51" t="str">
            <v>ปั๊มน้ำ EP-3 3" 3HP 2 สาย</v>
          </cell>
          <cell r="D51">
            <v>50</v>
          </cell>
        </row>
        <row r="52">
          <cell r="B52" t="str">
            <v>AJ0042</v>
          </cell>
          <cell r="C52" t="str">
            <v>ปั๊มน้ำ VENZ, VX200 (2" 2HP 220v.)</v>
          </cell>
          <cell r="D52">
            <v>50</v>
          </cell>
        </row>
        <row r="53">
          <cell r="B53" t="str">
            <v>AJ0009</v>
          </cell>
          <cell r="C53" t="str">
            <v>ปั๊มน้ำ VENZ, VR100 (1.5" 1HP 220v.)</v>
          </cell>
          <cell r="D53">
            <v>150</v>
          </cell>
        </row>
        <row r="54">
          <cell r="B54" t="str">
            <v>AJ0009-1</v>
          </cell>
          <cell r="C54" t="str">
            <v>ปั๊มน้ำ EuroFlow, WR100 (1.5" 1HP 220v.)</v>
          </cell>
          <cell r="D54">
            <v>100</v>
          </cell>
        </row>
        <row r="55">
          <cell r="B55" t="str">
            <v>AJ0023</v>
          </cell>
          <cell r="C55" t="str">
            <v>ปั๊มน้ำ VENZ, VB100 (1" 1HP 220v.)</v>
          </cell>
          <cell r="D55">
            <v>100</v>
          </cell>
        </row>
        <row r="56">
          <cell r="B56" t="str">
            <v>AJ0023-1</v>
          </cell>
          <cell r="C56" t="str">
            <v>ปั๊มน้ำ EuroFlow, WB100 (1" 1HP 220v.)</v>
          </cell>
          <cell r="D56">
            <v>50</v>
          </cell>
        </row>
        <row r="57">
          <cell r="B57" t="str">
            <v>AJ0078</v>
          </cell>
          <cell r="C57" t="str">
            <v>ปั๊มน้ำ VENZ, VB200 (2" 2HP 220v.)</v>
          </cell>
          <cell r="D57">
            <v>100</v>
          </cell>
        </row>
        <row r="58">
          <cell r="B58" t="str">
            <v>AJ0078-1</v>
          </cell>
          <cell r="C58" t="str">
            <v>ปั๊มน้ำ EuroFlow, WB200 (2" 2HP 220v.)</v>
          </cell>
          <cell r="D58">
            <v>20</v>
          </cell>
        </row>
        <row r="59">
          <cell r="B59" t="str">
            <v>AJ0059</v>
          </cell>
          <cell r="C59" t="str">
            <v>ปั๊มน้ำ VENZ, VB300 (2" 3HP 220v.)</v>
          </cell>
          <cell r="D59">
            <v>60</v>
          </cell>
        </row>
        <row r="60">
          <cell r="B60" t="str">
            <v>AJ0059-1</v>
          </cell>
          <cell r="C60" t="str">
            <v>ปั๊มน้ำ EuroFlow, WB300 (2" 3HP 220v.)</v>
          </cell>
          <cell r="D60">
            <v>20</v>
          </cell>
        </row>
        <row r="61">
          <cell r="B61" t="str">
            <v>AJ0100</v>
          </cell>
          <cell r="C61" t="str">
            <v>ปั๊มน้ำ VENZ, VBJ150 220v.</v>
          </cell>
          <cell r="D61">
            <v>10</v>
          </cell>
        </row>
        <row r="62">
          <cell r="B62" t="str">
            <v>AJ0102</v>
          </cell>
          <cell r="C62" t="str">
            <v>ปั๊มน้ำ VENZ, VBJ200 220v.</v>
          </cell>
          <cell r="D62">
            <v>20</v>
          </cell>
        </row>
        <row r="63">
          <cell r="B63" t="str">
            <v>AJ0050</v>
          </cell>
          <cell r="C63" t="str">
            <v>ปั๊มน้ำ VENZ, VA100 (220v.)</v>
          </cell>
          <cell r="D63">
            <v>40</v>
          </cell>
        </row>
        <row r="64">
          <cell r="B64" t="str">
            <v>AJ0050-1</v>
          </cell>
          <cell r="C64" t="str">
            <v>ปั๊มน้ำ EuroFlow, WA100 (220v.)</v>
          </cell>
          <cell r="D64">
            <v>10</v>
          </cell>
        </row>
        <row r="65">
          <cell r="B65" t="str">
            <v>AJ0063</v>
          </cell>
          <cell r="C65" t="str">
            <v>ปั๊มน้ำ VENZ, VCB-400 220v.</v>
          </cell>
          <cell r="D65">
            <v>5</v>
          </cell>
        </row>
        <row r="66">
          <cell r="B66" t="str">
            <v>AJ0057</v>
          </cell>
          <cell r="C66" t="str">
            <v>ปั๊มน้ำ VENZ, VCB-550 220v.</v>
          </cell>
          <cell r="D66">
            <v>15</v>
          </cell>
        </row>
        <row r="67">
          <cell r="B67" t="str">
            <v>AJ0037</v>
          </cell>
          <cell r="C67" t="str">
            <v>ปั๊มน้ำ VENZ, VM32-160C 220v.</v>
          </cell>
          <cell r="D67">
            <v>30</v>
          </cell>
        </row>
        <row r="68">
          <cell r="B68" t="str">
            <v>AJ0037-1</v>
          </cell>
          <cell r="C68" t="str">
            <v>ปั๊มน้ำ EuroFlow, WM32-160C 220v.</v>
          </cell>
          <cell r="D68">
            <v>10</v>
          </cell>
        </row>
        <row r="69">
          <cell r="B69" t="str">
            <v>AJ0028</v>
          </cell>
          <cell r="C69" t="str">
            <v>ปั๊มน้ำ VENZ, VM32-160B 220v.</v>
          </cell>
          <cell r="D69">
            <v>200</v>
          </cell>
        </row>
        <row r="70">
          <cell r="B70" t="str">
            <v>AJ0028-1</v>
          </cell>
          <cell r="C70" t="str">
            <v>ปั๊มน้ำ EuroFlow, WM32-160B 220v.</v>
          </cell>
          <cell r="D70">
            <v>50</v>
          </cell>
        </row>
        <row r="71">
          <cell r="B71" t="str">
            <v>AJ2063</v>
          </cell>
          <cell r="C71" t="str">
            <v>ปั๊มน้ำ VENZ, VM32-200C (5.5HP 220v.) 2"x2"</v>
          </cell>
          <cell r="D71">
            <v>20</v>
          </cell>
        </row>
        <row r="72">
          <cell r="B72" t="str">
            <v>AJ0043</v>
          </cell>
          <cell r="C72" t="str">
            <v>ปั๊มน้ำ VENZ, VM40-160A 220v.</v>
          </cell>
          <cell r="D72">
            <v>20</v>
          </cell>
        </row>
        <row r="73">
          <cell r="B73" t="str">
            <v>AJ0043-1</v>
          </cell>
          <cell r="C73" t="str">
            <v>ปั๊มน้ำ EuroFlow, WM40-160A 220v.</v>
          </cell>
          <cell r="D73">
            <v>10</v>
          </cell>
        </row>
        <row r="74">
          <cell r="B74" t="str">
            <v>AJ0108</v>
          </cell>
          <cell r="C74" t="str">
            <v>ปั๊มน้ำ VENZ, VSF300/3 (3HP 2P 220V.)</v>
          </cell>
          <cell r="D74">
            <v>30</v>
          </cell>
        </row>
        <row r="75">
          <cell r="B75" t="str">
            <v>AJ0110</v>
          </cell>
          <cell r="C75" t="str">
            <v>ปั๊มน้ำ EuroFlow, WSF300/3 (3HP 2P 220v.)</v>
          </cell>
          <cell r="D75">
            <v>20</v>
          </cell>
        </row>
        <row r="76">
          <cell r="B76" t="str">
            <v>AJ0003</v>
          </cell>
          <cell r="C76" t="str">
            <v>ปั๊มน้ำ VENZ, VM50 (1" ทองเหลือง 380v.)</v>
          </cell>
          <cell r="D76">
            <v>30</v>
          </cell>
        </row>
        <row r="77">
          <cell r="B77" t="str">
            <v>AJ0006</v>
          </cell>
          <cell r="C77" t="str">
            <v>ปั๊มน้ำ VENZ, VM100 (1" ทองเหลือง 380v.)</v>
          </cell>
          <cell r="D77">
            <v>100</v>
          </cell>
        </row>
        <row r="78">
          <cell r="B78" t="str">
            <v>AJ0006-1</v>
          </cell>
          <cell r="C78" t="str">
            <v>ปั๊มน้ำ EuroFlow, WM100 (1" ทองเหลือง 380v.)</v>
          </cell>
          <cell r="D78">
            <v>30</v>
          </cell>
        </row>
        <row r="79">
          <cell r="B79" t="str">
            <v>AJ0052</v>
          </cell>
          <cell r="C79" t="str">
            <v>ปั๊มน้ำ VENZ, VM150 (380v.)</v>
          </cell>
          <cell r="D79">
            <v>10</v>
          </cell>
        </row>
        <row r="80">
          <cell r="B80" t="str">
            <v>AJ0038</v>
          </cell>
          <cell r="C80" t="str">
            <v>ปั๊มน้ำ VENZ, VC150 (380v.)</v>
          </cell>
          <cell r="D80">
            <v>60</v>
          </cell>
        </row>
        <row r="81">
          <cell r="B81" t="str">
            <v>AJ0038-1</v>
          </cell>
          <cell r="C81" t="str">
            <v>ปั๊มน้ำ EuroFlow, WC150 (380v.)</v>
          </cell>
          <cell r="D81">
            <v>10</v>
          </cell>
        </row>
        <row r="82">
          <cell r="B82" t="str">
            <v>AJ0136</v>
          </cell>
          <cell r="C82" t="str">
            <v>ปั๊มน้ำ VENZ, VC200 Plus (2HP 2P 380V.)</v>
          </cell>
          <cell r="D82">
            <v>200</v>
          </cell>
        </row>
        <row r="83">
          <cell r="B83" t="str">
            <v>AJ0136-1</v>
          </cell>
          <cell r="C83" t="str">
            <v>ปั๊มน้ำ EuroFlow, WC200 Plus (2HP 2P 380V.)</v>
          </cell>
          <cell r="D83">
            <v>40</v>
          </cell>
        </row>
        <row r="84">
          <cell r="B84" t="str">
            <v>AJ0036</v>
          </cell>
          <cell r="C84" t="str">
            <v>ปั๊มน้ำ VENZ, VC300 (2" 3HP 380v.)</v>
          </cell>
          <cell r="D84">
            <v>100</v>
          </cell>
        </row>
        <row r="85">
          <cell r="B85" t="str">
            <v>AJ0036-1</v>
          </cell>
          <cell r="C85" t="str">
            <v>ปั๊มน้ำ EuroFlow, WC300 (2" 3HP 380v.)</v>
          </cell>
          <cell r="D85">
            <v>20</v>
          </cell>
        </row>
        <row r="86">
          <cell r="B86" t="str">
            <v>AJ0012</v>
          </cell>
          <cell r="C86" t="str">
            <v>ปั๊มน้ำ VENZ, VS100 (2" 1HP 380v.)</v>
          </cell>
          <cell r="D86">
            <v>60</v>
          </cell>
        </row>
        <row r="87">
          <cell r="B87" t="str">
            <v>AJ0014</v>
          </cell>
          <cell r="C87" t="str">
            <v>ปั๊มน้ำ VENZ, VS200/2 380v.</v>
          </cell>
          <cell r="D87">
            <v>30</v>
          </cell>
        </row>
        <row r="88">
          <cell r="B88" t="str">
            <v>AJ0016</v>
          </cell>
          <cell r="C88" t="str">
            <v>ปั๊มน้ำ VENZ, VS200/3 380v.</v>
          </cell>
          <cell r="D88">
            <v>10</v>
          </cell>
        </row>
        <row r="89">
          <cell r="B89" t="str">
            <v>AJ0018</v>
          </cell>
          <cell r="C89" t="str">
            <v>ปั๊มน้ำ VENZ, VS300/3 380v.</v>
          </cell>
          <cell r="D89">
            <v>40</v>
          </cell>
        </row>
        <row r="90">
          <cell r="B90" t="str">
            <v>AJ0115</v>
          </cell>
          <cell r="C90" t="str">
            <v>ปั๊มน้ำ VENZ, VS550/4 (5.5HP 2P 380V.)</v>
          </cell>
          <cell r="D90">
            <v>20</v>
          </cell>
        </row>
        <row r="91">
          <cell r="B91" t="str">
            <v>AJ0021</v>
          </cell>
          <cell r="C91" t="str">
            <v>ปั๊มน้ำ EP-2 2" 2HP 3 สาย</v>
          </cell>
          <cell r="D91">
            <v>50</v>
          </cell>
        </row>
        <row r="92">
          <cell r="B92" t="str">
            <v>AJ0047</v>
          </cell>
          <cell r="C92" t="str">
            <v>ปั๊มน้ำ VENZ, VX200 (2" 2HP 380v.)</v>
          </cell>
          <cell r="D92">
            <v>20</v>
          </cell>
        </row>
        <row r="93">
          <cell r="B93" t="str">
            <v>AJ0010</v>
          </cell>
          <cell r="C93" t="str">
            <v>ปั๊มน้ำ VENZ, VR100 (1.5" 1HP 380v.)</v>
          </cell>
          <cell r="D93">
            <v>100</v>
          </cell>
        </row>
        <row r="94">
          <cell r="B94" t="str">
            <v>AJ0010-1</v>
          </cell>
          <cell r="C94" t="str">
            <v>ปั๊มน้ำ EuroFlow, WR100 (1.5" 1HP 380v.)</v>
          </cell>
          <cell r="D94">
            <v>30</v>
          </cell>
        </row>
        <row r="95">
          <cell r="B95" t="str">
            <v>AJ0079</v>
          </cell>
          <cell r="C95" t="str">
            <v>ปั๊มน้ำ VENZ, VB200 (2" 2HP 380v.)</v>
          </cell>
          <cell r="D95">
            <v>20</v>
          </cell>
        </row>
        <row r="96">
          <cell r="B96" t="str">
            <v>AJ0061</v>
          </cell>
          <cell r="C96" t="str">
            <v>ปั๊มน้ำ VENZ, VB300 (2" 3HP 380v.)</v>
          </cell>
          <cell r="D96">
            <v>20</v>
          </cell>
        </row>
        <row r="97">
          <cell r="B97" t="str">
            <v>AJ0061-1</v>
          </cell>
          <cell r="C97" t="str">
            <v>ปั๊มน้ำ EuroFlow, WB300 (2" 3HP 380v.)</v>
          </cell>
          <cell r="D97">
            <v>10</v>
          </cell>
        </row>
        <row r="98">
          <cell r="B98" t="str">
            <v>AJ0055</v>
          </cell>
          <cell r="C98" t="str">
            <v>ปั๊มน้ำ VENZ, VCB-550T 380v.</v>
          </cell>
          <cell r="D98">
            <v>20</v>
          </cell>
        </row>
        <row r="99">
          <cell r="B99" t="str">
            <v>AJ0049</v>
          </cell>
          <cell r="C99" t="str">
            <v>ปั๊มน้ำ VENZ, VM32-160C 380v.</v>
          </cell>
          <cell r="D99">
            <v>20</v>
          </cell>
        </row>
        <row r="100">
          <cell r="B100" t="str">
            <v>AJ0029</v>
          </cell>
          <cell r="C100" t="str">
            <v>ปั๊มน้ำ VENZ, VM32-160B 380v.</v>
          </cell>
          <cell r="D100">
            <v>60</v>
          </cell>
        </row>
        <row r="101">
          <cell r="B101" t="str">
            <v>AJ0029-1</v>
          </cell>
          <cell r="C101" t="str">
            <v>ปั๊มน้ำ EuroFlow, WM32-160B 380v.</v>
          </cell>
          <cell r="D101">
            <v>30</v>
          </cell>
        </row>
        <row r="102">
          <cell r="B102" t="str">
            <v>AJ0099</v>
          </cell>
          <cell r="C102" t="str">
            <v>ปั๊มน้ำ VENZ, VM32-200C 380v.</v>
          </cell>
          <cell r="D102">
            <v>20</v>
          </cell>
        </row>
        <row r="103">
          <cell r="B103" t="str">
            <v>AJ0128</v>
          </cell>
          <cell r="C103" t="str">
            <v>ปั๊มน้ำ VENZ, VM32-200A (10HP 2P 380v.)</v>
          </cell>
          <cell r="D103">
            <v>10</v>
          </cell>
        </row>
        <row r="104">
          <cell r="B104" t="str">
            <v>AJ0058</v>
          </cell>
          <cell r="C104" t="str">
            <v>ปั๊มน้ำ VENZ, VM40-160B 380v.</v>
          </cell>
          <cell r="D104">
            <v>20</v>
          </cell>
        </row>
        <row r="105">
          <cell r="B105" t="str">
            <v>AJ0056</v>
          </cell>
          <cell r="C105" t="str">
            <v>ปั๊มน้ำ VENZ, VM40-160A 380v.</v>
          </cell>
          <cell r="D105">
            <v>50</v>
          </cell>
        </row>
        <row r="106">
          <cell r="B106" t="str">
            <v>AJ0056-1</v>
          </cell>
          <cell r="C106" t="str">
            <v>ปั๊มน้ำ EuroFlow, WM40-160A 380v.</v>
          </cell>
          <cell r="D106">
            <v>20</v>
          </cell>
        </row>
        <row r="107">
          <cell r="B107" t="str">
            <v>AJ0091</v>
          </cell>
          <cell r="C107" t="str">
            <v>ปั๊มน้ำ VENZ, VM40-200B 380v.</v>
          </cell>
          <cell r="D107">
            <v>10</v>
          </cell>
        </row>
        <row r="108">
          <cell r="B108" t="str">
            <v>AJ0089</v>
          </cell>
          <cell r="C108" t="str">
            <v>ปั๊มน้ำ VENZ, VM40-200A 380V.</v>
          </cell>
          <cell r="D108">
            <v>10</v>
          </cell>
        </row>
        <row r="109">
          <cell r="B109" t="str">
            <v>AJ0113</v>
          </cell>
          <cell r="C109" t="str">
            <v>ปั๊มน้ำ VENZ, VM40-250B 380v.</v>
          </cell>
          <cell r="D109">
            <v>5</v>
          </cell>
        </row>
        <row r="110">
          <cell r="B110" t="str">
            <v>AJ0066</v>
          </cell>
          <cell r="C110" t="str">
            <v>ปั๊มน้ำ VENZ, VM50-125B 380v.</v>
          </cell>
          <cell r="D110">
            <v>10</v>
          </cell>
        </row>
        <row r="111">
          <cell r="B111" t="str">
            <v>AJ0069</v>
          </cell>
          <cell r="C111" t="str">
            <v>ปั๊มน้ำ VENZ, VM50-125A 380v.</v>
          </cell>
          <cell r="D111">
            <v>25</v>
          </cell>
        </row>
        <row r="112">
          <cell r="B112" t="str">
            <v>AJ0069-1</v>
          </cell>
          <cell r="C112" t="str">
            <v>ปั๊มน้ำ EuroFlow, WM50-125A 380v.</v>
          </cell>
          <cell r="D112">
            <v>10</v>
          </cell>
        </row>
        <row r="113">
          <cell r="B113" t="str">
            <v>AJ0092</v>
          </cell>
          <cell r="C113" t="str">
            <v>ปั๊มน้ำ VENZ, VM50-160B 380v.</v>
          </cell>
          <cell r="D113">
            <v>10</v>
          </cell>
        </row>
        <row r="114">
          <cell r="B114" t="str">
            <v>AJ0092-2</v>
          </cell>
          <cell r="C114" t="str">
            <v>ปั๊มน้ำ EuroFlow, WM50-160B 380v.</v>
          </cell>
          <cell r="D114">
            <v>5</v>
          </cell>
        </row>
        <row r="115">
          <cell r="B115" t="str">
            <v>AJ0093</v>
          </cell>
          <cell r="C115" t="str">
            <v>ปั๊มน้ำ VENZ, VM50-160A 380v.</v>
          </cell>
          <cell r="D115">
            <v>10</v>
          </cell>
        </row>
        <row r="116">
          <cell r="B116" t="str">
            <v>AJ0080</v>
          </cell>
          <cell r="C116" t="str">
            <v>ปั๊มน้ำ VENZ, VM65-125B 380v.</v>
          </cell>
          <cell r="D116">
            <v>5</v>
          </cell>
        </row>
        <row r="117">
          <cell r="B117" t="str">
            <v>AJ0081</v>
          </cell>
          <cell r="C117" t="str">
            <v>ปั๊มน้ำ VENZ, VM65-125A 380v.</v>
          </cell>
          <cell r="D117">
            <v>10</v>
          </cell>
        </row>
        <row r="118">
          <cell r="B118" t="str">
            <v>AJ0112</v>
          </cell>
          <cell r="C118" t="str">
            <v>ปั๊มน้ำ VENZ, VM65-160B (15HP 2P 380V.)</v>
          </cell>
          <cell r="D118">
            <v>5</v>
          </cell>
        </row>
        <row r="119">
          <cell r="B119" t="str">
            <v>AJ0097</v>
          </cell>
          <cell r="C119" t="str">
            <v>ปั๊มน้ำ VENZ, VM80-160D 380v.</v>
          </cell>
          <cell r="D119">
            <v>10</v>
          </cell>
        </row>
        <row r="120">
          <cell r="B120" t="str">
            <v>AJ0087</v>
          </cell>
          <cell r="C120" t="str">
            <v>ปั๊มน้ำ VENZ, VMS32-160B 380v.(หัวสแตนเลส)</v>
          </cell>
          <cell r="D120">
            <v>10</v>
          </cell>
        </row>
        <row r="121">
          <cell r="B121" t="str">
            <v>AJ0109</v>
          </cell>
          <cell r="C121" t="str">
            <v>ปั๊มน้ำ VENZ, VSF300/3 (3HP 2P 380V.)</v>
          </cell>
          <cell r="D121">
            <v>10</v>
          </cell>
        </row>
        <row r="122">
          <cell r="B122" t="str">
            <v>BA0008</v>
          </cell>
          <cell r="C122" t="str">
            <v>เป่าเตา SB-20 2 สาย</v>
          </cell>
          <cell r="D122">
            <v>50</v>
          </cell>
        </row>
        <row r="123">
          <cell r="B123" t="str">
            <v>BA0011</v>
          </cell>
          <cell r="C123" t="str">
            <v>เป่าเตา SB-25 ปาก 2 1/2" 2สาย</v>
          </cell>
          <cell r="D123">
            <v>100</v>
          </cell>
        </row>
        <row r="124">
          <cell r="B124" t="str">
            <v>BA0015</v>
          </cell>
          <cell r="C124" t="str">
            <v>เป่าเตา SB-30 A 2สาย</v>
          </cell>
          <cell r="D124">
            <v>50</v>
          </cell>
        </row>
        <row r="125">
          <cell r="B125" t="str">
            <v>BA0017</v>
          </cell>
          <cell r="C125" t="str">
            <v>เป่าเตา SB-30 B 2สาย</v>
          </cell>
          <cell r="D125">
            <v>50</v>
          </cell>
        </row>
        <row r="126">
          <cell r="B126" t="str">
            <v>BA0180</v>
          </cell>
          <cell r="C126" t="str">
            <v>โบล์เวอร์ SIROCCO เล็ก ซ้าย 2สาย</v>
          </cell>
          <cell r="D126">
            <v>30</v>
          </cell>
        </row>
        <row r="127">
          <cell r="B127" t="str">
            <v>BA0181</v>
          </cell>
          <cell r="C127" t="str">
            <v>โบล์เวอร์ SIROCCO เล็ก ขวา 2สาย</v>
          </cell>
          <cell r="D127">
            <v>50</v>
          </cell>
        </row>
        <row r="128">
          <cell r="B128" t="str">
            <v>BA0184</v>
          </cell>
          <cell r="C128" t="str">
            <v>โบล์เวอร์ SIROCCO ใหญ่ ซ้าย 2สาย</v>
          </cell>
          <cell r="D128">
            <v>50</v>
          </cell>
        </row>
        <row r="129">
          <cell r="B129" t="str">
            <v>BA0185</v>
          </cell>
          <cell r="C129" t="str">
            <v>โบล์เวอร์ SIROCCO ใหญ่ ขวา 2สาย</v>
          </cell>
          <cell r="D129">
            <v>30</v>
          </cell>
        </row>
        <row r="130">
          <cell r="B130" t="str">
            <v>AA3092</v>
          </cell>
          <cell r="C130" t="str">
            <v>มอเตอร์ 1/2 HP มีขา 220 V AL</v>
          </cell>
          <cell r="D130">
            <v>50</v>
          </cell>
        </row>
        <row r="131">
          <cell r="B131" t="str">
            <v>AA3090</v>
          </cell>
          <cell r="C131" t="str">
            <v>มอเตอร์ 1/2 HP มีขา 380 V AL</v>
          </cell>
          <cell r="D131">
            <v>100</v>
          </cell>
        </row>
        <row r="132">
          <cell r="B132" t="str">
            <v>AA2153</v>
          </cell>
          <cell r="C132" t="str">
            <v>มอเตอร์ 3/4 HP มีขา 220 V AL</v>
          </cell>
          <cell r="D132">
            <v>50</v>
          </cell>
        </row>
        <row r="133">
          <cell r="B133" t="str">
            <v>AA2152</v>
          </cell>
          <cell r="C133" t="str">
            <v>มอเตอร์ 3/4 HP มีขา 380 V AL</v>
          </cell>
          <cell r="D133">
            <v>100</v>
          </cell>
        </row>
        <row r="134">
          <cell r="B134" t="str">
            <v>AA3058</v>
          </cell>
          <cell r="C134" t="str">
            <v>มอเตอร์  1  HP  มีขา 380 V AL</v>
          </cell>
          <cell r="D134">
            <v>150</v>
          </cell>
        </row>
        <row r="135">
          <cell r="B135" t="str">
            <v>AA3079</v>
          </cell>
          <cell r="C135" t="str">
            <v>มอเตอร์ 1.5 HP  มีขา380 V AL</v>
          </cell>
          <cell r="D135">
            <v>150</v>
          </cell>
        </row>
        <row r="136">
          <cell r="B136" t="str">
            <v>AA2129</v>
          </cell>
          <cell r="C136" t="str">
            <v>Venz SC-R 1HP ALU คอนคู่</v>
          </cell>
          <cell r="D136">
            <v>10</v>
          </cell>
        </row>
        <row r="137">
          <cell r="B137" t="str">
            <v>AA9401</v>
          </cell>
          <cell r="C137" t="str">
            <v>Venz SC-R 1.5 HP ALU คอนคู่</v>
          </cell>
          <cell r="D137">
            <v>10</v>
          </cell>
        </row>
        <row r="138">
          <cell r="B138" t="str">
            <v>AA9342</v>
          </cell>
          <cell r="C138" t="str">
            <v>Venz SC 144 (80 watt) 220V</v>
          </cell>
          <cell r="D138">
            <v>30</v>
          </cell>
        </row>
        <row r="139">
          <cell r="B139" t="str">
            <v>AA9343</v>
          </cell>
          <cell r="C139" t="str">
            <v>Venz SC 154 (120 watt) 220V</v>
          </cell>
          <cell r="D139">
            <v>30</v>
          </cell>
        </row>
        <row r="140">
          <cell r="B140" t="str">
            <v>AA1003-4</v>
          </cell>
          <cell r="C140" t="str">
            <v>Venz CRH 1/3 HP (4P FOOT FR.71 220V)</v>
          </cell>
          <cell r="D140">
            <v>100</v>
          </cell>
        </row>
        <row r="141">
          <cell r="B141" t="str">
            <v>AA1004-2</v>
          </cell>
          <cell r="C141" t="str">
            <v>Venz CRH 1/2 HP (4P FR.71 240v.)</v>
          </cell>
          <cell r="D141">
            <v>100</v>
          </cell>
        </row>
        <row r="142">
          <cell r="B142" t="str">
            <v>AA3021</v>
          </cell>
          <cell r="C142" t="str">
            <v>Venz 1 HP (2P FOOT CI 220/380v.)</v>
          </cell>
          <cell r="D142">
            <v>50</v>
          </cell>
        </row>
        <row r="143">
          <cell r="B143" t="str">
            <v>AA3029</v>
          </cell>
          <cell r="C143" t="str">
            <v>Venz 2 HP (2P FOOT CI 220/380v.)</v>
          </cell>
          <cell r="D143">
            <v>30</v>
          </cell>
        </row>
        <row r="144">
          <cell r="B144" t="str">
            <v>AA9001</v>
          </cell>
          <cell r="C144" t="str">
            <v>SC-R1/2HP 4P 220V FT AL (ท่าไม้)</v>
          </cell>
          <cell r="D144">
            <v>5</v>
          </cell>
        </row>
        <row r="145">
          <cell r="B145" t="str">
            <v>AA1001</v>
          </cell>
          <cell r="C145" t="str">
            <v>CR 1/8 HP (4P 220V)</v>
          </cell>
          <cell r="D145">
            <v>600</v>
          </cell>
        </row>
        <row r="146">
          <cell r="B146" t="str">
            <v>AA1001-1</v>
          </cell>
          <cell r="C146" t="str">
            <v>CR 1/8 HP (4P 220V) หมุนซ้าย</v>
          </cell>
          <cell r="D146">
            <v>100</v>
          </cell>
        </row>
        <row r="147">
          <cell r="B147" t="str">
            <v>AA3008</v>
          </cell>
          <cell r="C147" t="str">
            <v>1/4 HP (4P FOOT CI 220/380V) แกน14มิล</v>
          </cell>
          <cell r="D147">
            <v>30</v>
          </cell>
        </row>
        <row r="148">
          <cell r="B148" t="str">
            <v>AA7001</v>
          </cell>
          <cell r="C148" t="str">
            <v>150 WATT (4P 220V) .ใส่พัดลมรุ่น F3A</v>
          </cell>
          <cell r="D148">
            <v>100</v>
          </cell>
        </row>
        <row r="149">
          <cell r="B149" t="str">
            <v>AA7003</v>
          </cell>
          <cell r="C149" t="str">
            <v>200 WATT (4P 220V) .ใส่พัดลมรุ่น F2A</v>
          </cell>
          <cell r="D149">
            <v>200</v>
          </cell>
        </row>
        <row r="150">
          <cell r="B150" t="str">
            <v>AA7028</v>
          </cell>
          <cell r="C150" t="str">
            <v>300 WATT(6P 220V.) F1A (VENZ) ฝาเหล็ก</v>
          </cell>
          <cell r="D150">
            <v>1100</v>
          </cell>
        </row>
        <row r="151">
          <cell r="B151" t="str">
            <v>AA7029</v>
          </cell>
          <cell r="C151" t="str">
            <v>300 WATT(6P 220V.) F1C (VENZ) ฝาเหล็ก</v>
          </cell>
          <cell r="D151">
            <v>500</v>
          </cell>
        </row>
        <row r="152">
          <cell r="B152" t="str">
            <v>AA7030</v>
          </cell>
          <cell r="C152" t="str">
            <v>300 WATT(6P 220V) F1A  Knock down</v>
          </cell>
          <cell r="D152">
            <v>300</v>
          </cell>
        </row>
        <row r="153">
          <cell r="B153" t="str">
            <v>AA9203</v>
          </cell>
          <cell r="C153" t="str">
            <v>1/2 HP (2P FLANGE 220V.) MB-5</v>
          </cell>
          <cell r="D153">
            <v>20</v>
          </cell>
        </row>
        <row r="154">
          <cell r="B154" t="str">
            <v>AA9206</v>
          </cell>
          <cell r="C154" t="str">
            <v>1 HP (2 P FLANGE 220V.) HSB-30</v>
          </cell>
          <cell r="D154">
            <v>30</v>
          </cell>
        </row>
        <row r="155">
          <cell r="B155" t="str">
            <v>AA9208</v>
          </cell>
          <cell r="C155" t="str">
            <v>2 HP (2P FLANGE 220V.) HSB-40</v>
          </cell>
          <cell r="D155">
            <v>20</v>
          </cell>
        </row>
        <row r="156">
          <cell r="B156" t="str">
            <v>AA9220</v>
          </cell>
          <cell r="C156" t="str">
            <v>CR 1/4 HP (220V.) VENZ</v>
          </cell>
          <cell r="D156">
            <v>1000</v>
          </cell>
        </row>
        <row r="157">
          <cell r="B157" t="str">
            <v>AA9221-1</v>
          </cell>
          <cell r="C157" t="str">
            <v>CR 1/3 HP (220V.) VENZ 36 Slot</v>
          </cell>
          <cell r="D157">
            <v>500</v>
          </cell>
        </row>
        <row r="158">
          <cell r="B158" t="str">
            <v>AA9222-1</v>
          </cell>
          <cell r="C158" t="str">
            <v>CR 1/2 HP (220V.) VENZ 36 Slot สีเทา</v>
          </cell>
          <cell r="D158">
            <v>1000</v>
          </cell>
        </row>
        <row r="159">
          <cell r="B159" t="str">
            <v>AA3016</v>
          </cell>
          <cell r="C159" t="str">
            <v>1/2 HP (4P FOOT CI 220/380V)</v>
          </cell>
          <cell r="D159">
            <v>100</v>
          </cell>
        </row>
        <row r="160">
          <cell r="B160">
            <v>0</v>
          </cell>
          <cell r="C160">
            <v>0</v>
          </cell>
          <cell r="D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24E1-D61C-4538-A2E3-F76AE554BCBB}">
  <sheetPr>
    <tabColor rgb="FFFFC000"/>
    <pageSetUpPr fitToPage="1"/>
  </sheetPr>
  <dimension ref="A1:R35"/>
  <sheetViews>
    <sheetView showGridLines="0" topLeftCell="B1" zoomScale="84" zoomScaleNormal="84" zoomScaleSheetLayoutView="100" workbookViewId="0">
      <selection activeCell="I14" sqref="I14"/>
    </sheetView>
  </sheetViews>
  <sheetFormatPr defaultColWidth="10.28515625" defaultRowHeight="21"/>
  <cols>
    <col min="1" max="1" width="13.140625" style="8" customWidth="1"/>
    <col min="2" max="2" width="55.85546875" style="8" bestFit="1" customWidth="1"/>
    <col min="3" max="11" width="16" style="90" customWidth="1"/>
    <col min="12" max="13" width="16.140625" style="91" customWidth="1"/>
    <col min="14" max="15" width="16.140625" style="90" customWidth="1"/>
    <col min="16" max="16" width="12" style="90" customWidth="1"/>
    <col min="17" max="17" width="10.85546875" style="90" customWidth="1"/>
    <col min="18" max="18" width="1.7109375" style="92" customWidth="1"/>
    <col min="19" max="16384" width="10.28515625" style="8"/>
  </cols>
  <sheetData>
    <row r="1" spans="1:18" s="3" customFormat="1" ht="21.75" customHeight="1" thickBot="1">
      <c r="A1" s="1"/>
      <c r="B1" s="2"/>
      <c r="C1" s="241" t="s">
        <v>3</v>
      </c>
      <c r="D1" s="242"/>
      <c r="E1" s="242"/>
      <c r="F1" s="242"/>
      <c r="G1" s="242"/>
      <c r="H1" s="242"/>
      <c r="I1" s="242"/>
      <c r="J1" s="242"/>
      <c r="K1" s="243"/>
      <c r="L1" s="250" t="s">
        <v>4</v>
      </c>
      <c r="M1" s="251"/>
      <c r="N1" s="250" t="s">
        <v>5</v>
      </c>
      <c r="O1" s="251"/>
      <c r="P1" s="250" t="s">
        <v>6</v>
      </c>
      <c r="Q1" s="252"/>
      <c r="R1" s="251"/>
    </row>
    <row r="2" spans="1:18" s="3" customFormat="1" ht="21.75" customHeight="1">
      <c r="A2" s="4"/>
      <c r="C2" s="244"/>
      <c r="D2" s="245"/>
      <c r="E2" s="245"/>
      <c r="F2" s="245"/>
      <c r="G2" s="245"/>
      <c r="H2" s="245"/>
      <c r="I2" s="245"/>
      <c r="J2" s="245"/>
      <c r="K2" s="246"/>
      <c r="L2" s="253"/>
      <c r="M2" s="254"/>
      <c r="N2" s="253"/>
      <c r="O2" s="254"/>
      <c r="P2" s="253"/>
      <c r="Q2" s="257"/>
      <c r="R2" s="254"/>
    </row>
    <row r="3" spans="1:18" ht="47.45" customHeight="1" thickBot="1">
      <c r="A3" s="5"/>
      <c r="B3" s="6"/>
      <c r="C3" s="247"/>
      <c r="D3" s="248"/>
      <c r="E3" s="248"/>
      <c r="F3" s="248"/>
      <c r="G3" s="248"/>
      <c r="H3" s="248"/>
      <c r="I3" s="248"/>
      <c r="J3" s="248"/>
      <c r="K3" s="249"/>
      <c r="L3" s="255"/>
      <c r="M3" s="256"/>
      <c r="N3" s="255"/>
      <c r="O3" s="256"/>
      <c r="P3" s="255"/>
      <c r="Q3" s="258"/>
      <c r="R3" s="256"/>
    </row>
    <row r="4" spans="1:18" ht="9.9499999999999993" customHeight="1">
      <c r="A4" s="9"/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  <c r="M4" s="225"/>
      <c r="N4" s="225"/>
      <c r="O4" s="225"/>
      <c r="P4" s="13"/>
      <c r="Q4" s="13"/>
      <c r="R4" s="14"/>
    </row>
    <row r="5" spans="1:18" s="22" customFormat="1" ht="24">
      <c r="A5" s="15" t="s">
        <v>36</v>
      </c>
      <c r="B5" s="16"/>
      <c r="C5" s="17"/>
      <c r="D5" s="18"/>
      <c r="E5" s="16" t="s">
        <v>35</v>
      </c>
      <c r="F5" s="16"/>
      <c r="G5" s="16"/>
      <c r="H5" s="17"/>
      <c r="I5" s="17"/>
      <c r="J5" s="17"/>
      <c r="K5" s="17"/>
      <c r="L5" s="19"/>
      <c r="M5" s="226"/>
      <c r="N5" s="226"/>
      <c r="O5" s="226"/>
      <c r="P5" s="228" t="s">
        <v>46</v>
      </c>
      <c r="Q5" s="228"/>
      <c r="R5" s="21"/>
    </row>
    <row r="6" spans="1:18" ht="9.9499999999999993" customHeight="1" thickBot="1">
      <c r="A6" s="23"/>
      <c r="B6" s="24"/>
      <c r="C6" s="25"/>
      <c r="D6" s="25"/>
      <c r="E6" s="25"/>
      <c r="F6" s="25"/>
      <c r="G6" s="25"/>
      <c r="H6" s="25"/>
      <c r="I6" s="25"/>
      <c r="J6" s="25"/>
      <c r="K6" s="25"/>
      <c r="L6" s="26"/>
      <c r="M6" s="227"/>
      <c r="N6" s="227"/>
      <c r="O6" s="227"/>
      <c r="P6" s="27"/>
      <c r="Q6" s="27"/>
      <c r="R6" s="7"/>
    </row>
    <row r="7" spans="1:18" s="32" customFormat="1" ht="24">
      <c r="A7" s="15" t="s">
        <v>43</v>
      </c>
      <c r="B7" s="94"/>
      <c r="C7" s="29"/>
      <c r="D7" s="30"/>
      <c r="E7" s="30"/>
      <c r="F7" s="30"/>
      <c r="G7" s="29" t="s">
        <v>8</v>
      </c>
      <c r="H7" s="93">
        <v>0.9</v>
      </c>
      <c r="I7" s="28"/>
      <c r="J7" s="28"/>
      <c r="K7" s="28"/>
      <c r="L7" s="31"/>
      <c r="M7" s="31"/>
      <c r="N7" s="28"/>
      <c r="O7" s="29" t="s">
        <v>9</v>
      </c>
      <c r="R7" s="33"/>
    </row>
    <row r="8" spans="1:18" s="38" customFormat="1" ht="23.25">
      <c r="A8" s="229" t="s">
        <v>10</v>
      </c>
      <c r="B8" s="230"/>
      <c r="C8" s="34" t="s">
        <v>11</v>
      </c>
      <c r="D8" s="34" t="s">
        <v>12</v>
      </c>
      <c r="E8" s="34" t="s">
        <v>13</v>
      </c>
      <c r="F8" s="34" t="s">
        <v>14</v>
      </c>
      <c r="G8" s="34" t="s">
        <v>15</v>
      </c>
      <c r="H8" s="34" t="s">
        <v>16</v>
      </c>
      <c r="I8" s="34" t="s">
        <v>17</v>
      </c>
      <c r="J8" s="34" t="s">
        <v>18</v>
      </c>
      <c r="K8" s="34" t="s">
        <v>19</v>
      </c>
      <c r="L8" s="35" t="s">
        <v>20</v>
      </c>
      <c r="M8" s="35" t="s">
        <v>21</v>
      </c>
      <c r="N8" s="36" t="s">
        <v>22</v>
      </c>
      <c r="O8" s="37" t="s">
        <v>0</v>
      </c>
      <c r="P8" s="231" t="s">
        <v>23</v>
      </c>
      <c r="Q8" s="232"/>
      <c r="R8" s="233"/>
    </row>
    <row r="9" spans="1:18" s="22" customFormat="1" ht="29.1" customHeight="1">
      <c r="A9" s="234" t="s">
        <v>1</v>
      </c>
      <c r="B9" s="235"/>
      <c r="C9" s="97">
        <v>531</v>
      </c>
      <c r="D9" s="97">
        <v>797</v>
      </c>
      <c r="E9" s="97">
        <v>712</v>
      </c>
      <c r="F9" s="97">
        <v>322</v>
      </c>
      <c r="G9" s="97">
        <v>422</v>
      </c>
      <c r="H9" s="97">
        <v>258</v>
      </c>
      <c r="I9" s="97">
        <v>520</v>
      </c>
      <c r="J9" s="95"/>
      <c r="K9" s="95"/>
      <c r="L9" s="95"/>
      <c r="M9" s="95"/>
      <c r="N9" s="98"/>
      <c r="O9" s="104">
        <f>SUM(C9:N9)</f>
        <v>3562</v>
      </c>
      <c r="P9" s="236"/>
      <c r="Q9" s="237"/>
      <c r="R9" s="238"/>
    </row>
    <row r="10" spans="1:18" s="22" customFormat="1" ht="29.1" customHeight="1">
      <c r="A10" s="44" t="s">
        <v>2</v>
      </c>
      <c r="B10" s="39"/>
      <c r="C10" s="97">
        <v>495</v>
      </c>
      <c r="D10" s="97">
        <v>718</v>
      </c>
      <c r="E10" s="97">
        <v>643</v>
      </c>
      <c r="F10" s="97">
        <v>298</v>
      </c>
      <c r="G10" s="97">
        <v>409</v>
      </c>
      <c r="H10" s="97">
        <v>248</v>
      </c>
      <c r="I10" s="97">
        <v>488</v>
      </c>
      <c r="J10" s="95"/>
      <c r="K10" s="95"/>
      <c r="L10" s="95"/>
      <c r="M10" s="95"/>
      <c r="N10" s="98"/>
      <c r="O10" s="104">
        <f t="shared" ref="O10" si="0">SUM(C10:N10)</f>
        <v>3299</v>
      </c>
      <c r="P10" s="41"/>
      <c r="Q10" s="42"/>
      <c r="R10" s="43"/>
    </row>
    <row r="11" spans="1:18" s="22" customFormat="1" ht="23.25">
      <c r="A11" s="234" t="s">
        <v>42</v>
      </c>
      <c r="B11" s="235"/>
      <c r="C11" s="97">
        <f>C10*100/C9</f>
        <v>93.220338983050851</v>
      </c>
      <c r="D11" s="97">
        <v>90.087829360100372</v>
      </c>
      <c r="E11" s="97">
        <f>E10*100/E9</f>
        <v>90.30898876404494</v>
      </c>
      <c r="F11" s="97">
        <f t="shared" ref="F11:N11" si="1">F10*100/F9</f>
        <v>92.546583850931682</v>
      </c>
      <c r="G11" s="97">
        <f t="shared" si="1"/>
        <v>96.919431279620852</v>
      </c>
      <c r="H11" s="97">
        <f t="shared" si="1"/>
        <v>96.124031007751938</v>
      </c>
      <c r="I11" s="97">
        <f t="shared" si="1"/>
        <v>93.84615384615384</v>
      </c>
      <c r="J11" s="97" t="e">
        <f t="shared" si="1"/>
        <v>#DIV/0!</v>
      </c>
      <c r="K11" s="97" t="e">
        <f t="shared" si="1"/>
        <v>#DIV/0!</v>
      </c>
      <c r="L11" s="97" t="e">
        <f t="shared" si="1"/>
        <v>#DIV/0!</v>
      </c>
      <c r="M11" s="97" t="e">
        <f t="shared" si="1"/>
        <v>#DIV/0!</v>
      </c>
      <c r="N11" s="97" t="e">
        <f t="shared" si="1"/>
        <v>#DIV/0!</v>
      </c>
      <c r="O11" s="104">
        <f>O10*100/O9</f>
        <v>92.616507580011231</v>
      </c>
      <c r="P11" s="236"/>
      <c r="Q11" s="237"/>
      <c r="R11" s="238"/>
    </row>
    <row r="12" spans="1:18" s="22" customFormat="1" ht="23.25">
      <c r="A12" s="239"/>
      <c r="B12" s="240"/>
      <c r="C12" s="40"/>
      <c r="D12" s="40"/>
      <c r="E12" s="40"/>
      <c r="F12" s="40"/>
      <c r="G12" s="40"/>
      <c r="H12" s="40"/>
      <c r="I12" s="40"/>
      <c r="J12" s="40"/>
      <c r="K12" s="45"/>
      <c r="L12" s="46"/>
      <c r="M12" s="46"/>
      <c r="N12" s="47"/>
      <c r="O12" s="107"/>
      <c r="P12" s="236"/>
      <c r="Q12" s="237"/>
      <c r="R12" s="238"/>
    </row>
    <row r="13" spans="1:18" s="51" customFormat="1" ht="30" customHeight="1">
      <c r="A13" s="48"/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105"/>
      <c r="P13" s="236"/>
      <c r="Q13" s="237"/>
      <c r="R13" s="238"/>
    </row>
    <row r="14" spans="1:18" s="54" customFormat="1" ht="23.25">
      <c r="A14" s="52" t="s">
        <v>24</v>
      </c>
      <c r="B14" s="53"/>
      <c r="C14" s="101">
        <v>0.93220000000000003</v>
      </c>
      <c r="D14" s="101">
        <v>0.90090000000000003</v>
      </c>
      <c r="E14" s="101">
        <v>0.90310000000000001</v>
      </c>
      <c r="F14" s="101">
        <v>0.92549999999999999</v>
      </c>
      <c r="G14" s="101">
        <v>0.96919999999999995</v>
      </c>
      <c r="H14" s="101">
        <v>0.96120000000000005</v>
      </c>
      <c r="I14" s="101">
        <v>0.9385</v>
      </c>
      <c r="J14" s="101"/>
      <c r="K14" s="101"/>
      <c r="L14" s="101"/>
      <c r="M14" s="101"/>
      <c r="N14" s="101"/>
      <c r="O14" s="106"/>
      <c r="P14" s="222"/>
      <c r="Q14" s="223"/>
      <c r="R14" s="224"/>
    </row>
    <row r="15" spans="1:18" s="59" customFormat="1" ht="23.25">
      <c r="A15" s="55"/>
      <c r="B15" s="56"/>
      <c r="C15" s="100" t="s">
        <v>44</v>
      </c>
      <c r="D15" s="100" t="s">
        <v>44</v>
      </c>
      <c r="E15" s="100" t="s">
        <v>44</v>
      </c>
      <c r="F15" s="100" t="s">
        <v>44</v>
      </c>
      <c r="G15" s="100" t="s">
        <v>44</v>
      </c>
      <c r="H15" s="100" t="s">
        <v>44</v>
      </c>
      <c r="I15" s="100" t="s">
        <v>44</v>
      </c>
      <c r="J15" s="100"/>
      <c r="K15" s="100"/>
      <c r="L15" s="100"/>
      <c r="M15" s="100"/>
      <c r="N15" s="100"/>
      <c r="O15" s="100"/>
      <c r="P15" s="57"/>
      <c r="Q15" s="57"/>
      <c r="R15" s="58"/>
    </row>
    <row r="16" spans="1:18" s="54" customFormat="1" ht="24">
      <c r="A16" s="60"/>
      <c r="B16" s="61"/>
      <c r="C16" s="62"/>
      <c r="D16" s="63"/>
      <c r="E16" s="63"/>
      <c r="F16" s="63"/>
      <c r="G16" s="62"/>
      <c r="H16" s="62"/>
      <c r="I16" s="62"/>
      <c r="J16" s="63"/>
      <c r="K16" s="63"/>
      <c r="L16" s="63"/>
      <c r="M16" s="64"/>
      <c r="N16" s="63"/>
      <c r="O16" s="63"/>
      <c r="P16" s="65"/>
      <c r="Q16" s="65"/>
      <c r="R16" s="66"/>
    </row>
    <row r="17" spans="1:18" ht="23.25">
      <c r="A17" s="67"/>
      <c r="B17" s="54"/>
      <c r="C17" s="20"/>
      <c r="D17" s="20"/>
      <c r="E17" s="20"/>
      <c r="F17" s="20"/>
      <c r="G17" s="20"/>
      <c r="H17" s="20"/>
      <c r="I17" s="20"/>
      <c r="J17" s="20"/>
      <c r="K17" s="20"/>
      <c r="L17" s="68"/>
      <c r="M17" s="68"/>
      <c r="N17" s="20"/>
      <c r="O17" s="20"/>
      <c r="P17" s="20"/>
      <c r="Q17" s="20"/>
      <c r="R17" s="69"/>
    </row>
    <row r="18" spans="1:18" ht="23.25">
      <c r="A18" s="70"/>
      <c r="B18" s="22"/>
      <c r="C18" s="20"/>
      <c r="D18" s="20"/>
      <c r="E18" s="20"/>
      <c r="F18" s="20"/>
      <c r="G18" s="20"/>
      <c r="H18" s="20"/>
      <c r="I18" s="20"/>
      <c r="J18" s="20"/>
      <c r="K18" s="20"/>
      <c r="L18" s="68"/>
      <c r="M18" s="68"/>
      <c r="N18" s="20"/>
      <c r="O18" s="20"/>
      <c r="P18" s="20"/>
      <c r="Q18" s="20"/>
      <c r="R18" s="69"/>
    </row>
    <row r="19" spans="1:18" ht="23.25">
      <c r="A19" s="70"/>
      <c r="B19" s="22"/>
      <c r="C19" s="20"/>
      <c r="D19" s="20"/>
      <c r="E19" s="20"/>
      <c r="F19" s="20"/>
      <c r="G19" s="20"/>
      <c r="H19" s="20"/>
      <c r="I19" s="20"/>
      <c r="J19" s="20"/>
      <c r="K19" s="20"/>
      <c r="L19" s="68"/>
      <c r="M19" s="68"/>
      <c r="N19" s="20"/>
      <c r="O19" s="20"/>
      <c r="P19" s="20"/>
      <c r="Q19" s="20"/>
      <c r="R19" s="69"/>
    </row>
    <row r="20" spans="1:18" ht="23.25">
      <c r="A20" s="70"/>
      <c r="B20" s="22"/>
      <c r="C20" s="20"/>
      <c r="D20" s="20"/>
      <c r="E20" s="20"/>
      <c r="F20" s="20"/>
      <c r="G20" s="20"/>
      <c r="H20" s="20"/>
      <c r="I20" s="20"/>
      <c r="J20" s="20"/>
      <c r="K20" s="20"/>
      <c r="L20" s="68"/>
      <c r="M20" s="68"/>
      <c r="N20" s="20"/>
      <c r="O20" s="20"/>
      <c r="P20" s="20"/>
      <c r="Q20" s="20"/>
      <c r="R20" s="69"/>
    </row>
    <row r="21" spans="1:18" ht="23.25">
      <c r="A21" s="70"/>
      <c r="B21" s="22"/>
      <c r="C21" s="20"/>
      <c r="D21" s="20"/>
      <c r="E21" s="20"/>
      <c r="F21" s="20"/>
      <c r="G21" s="20"/>
      <c r="H21" s="20"/>
      <c r="I21" s="20"/>
      <c r="J21" s="20"/>
      <c r="K21" s="20"/>
      <c r="L21" s="68"/>
      <c r="M21" s="68"/>
      <c r="N21" s="20"/>
      <c r="O21" s="20"/>
      <c r="P21" s="20"/>
      <c r="Q21" s="20"/>
      <c r="R21" s="69"/>
    </row>
    <row r="22" spans="1:18" ht="23.25">
      <c r="A22" s="70"/>
      <c r="B22" s="22"/>
      <c r="C22" s="20"/>
      <c r="D22" s="20"/>
      <c r="E22" s="20"/>
      <c r="F22" s="20"/>
      <c r="G22" s="20"/>
      <c r="H22" s="20"/>
      <c r="I22" s="20"/>
      <c r="J22" s="20"/>
      <c r="K22" s="20"/>
      <c r="L22" s="68"/>
      <c r="M22" s="68"/>
      <c r="N22" s="20"/>
      <c r="O22" s="20"/>
      <c r="P22" s="20"/>
      <c r="Q22" s="20"/>
      <c r="R22" s="69"/>
    </row>
    <row r="23" spans="1:18" s="3" customFormat="1" ht="23.25">
      <c r="A23" s="70"/>
      <c r="B23" s="22"/>
      <c r="C23" s="20"/>
      <c r="D23" s="20"/>
      <c r="E23" s="20"/>
      <c r="F23" s="20"/>
      <c r="G23" s="20"/>
      <c r="H23" s="20"/>
      <c r="I23" s="20"/>
      <c r="J23" s="20"/>
      <c r="K23" s="20"/>
      <c r="L23" s="68"/>
      <c r="M23" s="68"/>
      <c r="N23" s="20"/>
      <c r="O23" s="20"/>
      <c r="P23" s="20"/>
      <c r="Q23" s="20"/>
      <c r="R23" s="69"/>
    </row>
    <row r="24" spans="1:18" ht="15" customHeight="1">
      <c r="A24" s="70"/>
      <c r="B24" s="22"/>
      <c r="C24" s="20"/>
      <c r="D24" s="20"/>
      <c r="E24" s="20"/>
      <c r="F24" s="20"/>
      <c r="G24" s="20"/>
      <c r="H24" s="20"/>
      <c r="I24" s="20"/>
      <c r="J24" s="20"/>
      <c r="K24" s="20"/>
      <c r="L24" s="68"/>
      <c r="M24" s="68"/>
      <c r="N24" s="20"/>
      <c r="O24" s="20"/>
      <c r="P24" s="20"/>
      <c r="Q24" s="20"/>
      <c r="R24" s="69"/>
    </row>
    <row r="25" spans="1:18" ht="15" customHeight="1">
      <c r="A25" s="70"/>
      <c r="B25" s="22"/>
      <c r="C25" s="20"/>
      <c r="D25" s="20"/>
      <c r="E25" s="20"/>
      <c r="F25" s="20"/>
      <c r="G25" s="20"/>
      <c r="H25" s="20"/>
      <c r="I25" s="20"/>
      <c r="J25" s="20"/>
      <c r="K25" s="20"/>
      <c r="L25" s="68"/>
      <c r="M25" s="68"/>
      <c r="N25" s="20"/>
      <c r="O25" s="20"/>
      <c r="P25" s="20"/>
      <c r="Q25" s="20"/>
      <c r="R25" s="69"/>
    </row>
    <row r="26" spans="1:18" ht="15" customHeight="1">
      <c r="A26" s="70"/>
      <c r="B26" s="22"/>
      <c r="C26" s="20"/>
      <c r="D26" s="20"/>
      <c r="E26" s="20"/>
      <c r="F26" s="20"/>
      <c r="G26" s="20"/>
      <c r="H26" s="20"/>
      <c r="I26" s="20"/>
      <c r="J26" s="20"/>
      <c r="K26" s="20"/>
      <c r="L26" s="68"/>
      <c r="M26" s="68"/>
      <c r="N26" s="20"/>
      <c r="O26" s="20"/>
      <c r="P26" s="20"/>
      <c r="Q26" s="20"/>
      <c r="R26" s="69"/>
    </row>
    <row r="27" spans="1:18" ht="15" customHeight="1">
      <c r="A27" s="70"/>
      <c r="B27" s="22"/>
      <c r="C27" s="20"/>
      <c r="D27" s="20"/>
      <c r="E27" s="20"/>
      <c r="F27" s="20"/>
      <c r="G27" s="20"/>
      <c r="H27" s="20"/>
      <c r="I27" s="20"/>
      <c r="J27" s="20"/>
      <c r="K27" s="20"/>
      <c r="L27" s="68"/>
      <c r="M27" s="68"/>
      <c r="N27" s="20"/>
      <c r="O27" s="20"/>
      <c r="P27" s="20"/>
      <c r="Q27" s="20"/>
      <c r="R27" s="69"/>
    </row>
    <row r="28" spans="1:18" ht="15" customHeight="1">
      <c r="A28" s="70"/>
      <c r="B28" s="22"/>
      <c r="C28" s="20"/>
      <c r="D28" s="20"/>
      <c r="E28" s="20"/>
      <c r="F28" s="20"/>
      <c r="G28" s="20"/>
      <c r="H28" s="20"/>
      <c r="I28" s="20"/>
      <c r="J28" s="20"/>
      <c r="K28" s="20"/>
      <c r="L28" s="68"/>
      <c r="M28" s="68"/>
      <c r="N28" s="20"/>
      <c r="O28" s="20"/>
      <c r="P28" s="20"/>
      <c r="Q28" s="20"/>
      <c r="R28" s="69"/>
    </row>
    <row r="29" spans="1:18" ht="24" thickBot="1">
      <c r="A29" s="71" t="s">
        <v>25</v>
      </c>
      <c r="B29" s="22"/>
      <c r="C29" s="20"/>
      <c r="D29" s="20"/>
      <c r="E29" s="20"/>
      <c r="F29" s="20"/>
      <c r="G29" s="20"/>
      <c r="H29" s="20"/>
      <c r="I29" s="20"/>
      <c r="J29" s="20"/>
      <c r="K29" s="20"/>
      <c r="L29" s="68"/>
      <c r="M29" s="68"/>
      <c r="N29" s="20"/>
      <c r="O29" s="20"/>
      <c r="P29" s="20"/>
      <c r="Q29" s="20"/>
      <c r="R29" s="69"/>
    </row>
    <row r="30" spans="1:18" ht="24" customHeight="1" thickBot="1">
      <c r="A30" s="72" t="s">
        <v>26</v>
      </c>
      <c r="B30" s="206" t="s">
        <v>27</v>
      </c>
      <c r="C30" s="207"/>
      <c r="D30" s="208"/>
      <c r="E30" s="209" t="s">
        <v>28</v>
      </c>
      <c r="F30" s="210"/>
      <c r="G30" s="210"/>
      <c r="H30" s="211"/>
      <c r="I30" s="206" t="s">
        <v>29</v>
      </c>
      <c r="J30" s="207"/>
      <c r="K30" s="207"/>
      <c r="L30" s="208"/>
      <c r="M30" s="206" t="s">
        <v>30</v>
      </c>
      <c r="N30" s="208"/>
      <c r="O30" s="206" t="s">
        <v>31</v>
      </c>
      <c r="P30" s="208"/>
      <c r="Q30" s="206" t="s">
        <v>32</v>
      </c>
      <c r="R30" s="212"/>
    </row>
    <row r="31" spans="1:18" s="74" customFormat="1" ht="93.75" customHeight="1">
      <c r="A31" s="73">
        <v>1</v>
      </c>
      <c r="B31" s="213"/>
      <c r="C31" s="214"/>
      <c r="D31" s="215"/>
      <c r="E31" s="216"/>
      <c r="F31" s="216"/>
      <c r="G31" s="216"/>
      <c r="H31" s="216"/>
      <c r="I31" s="213"/>
      <c r="J31" s="217"/>
      <c r="K31" s="217"/>
      <c r="L31" s="218"/>
      <c r="M31" s="219"/>
      <c r="N31" s="220"/>
      <c r="O31" s="221"/>
      <c r="P31" s="221"/>
      <c r="Q31" s="204"/>
      <c r="R31" s="205"/>
    </row>
    <row r="32" spans="1:18" s="74" customFormat="1" ht="93.75" customHeight="1" thickBot="1">
      <c r="A32" s="75"/>
      <c r="B32" s="76"/>
      <c r="C32" s="77"/>
      <c r="D32" s="78"/>
      <c r="E32" s="76"/>
      <c r="F32" s="77"/>
      <c r="G32" s="77"/>
      <c r="H32" s="78"/>
      <c r="I32" s="76"/>
      <c r="J32" s="79"/>
      <c r="K32" s="79"/>
      <c r="L32" s="80"/>
      <c r="M32" s="81"/>
      <c r="N32" s="81"/>
      <c r="O32" s="82"/>
      <c r="P32" s="83"/>
      <c r="Q32" s="84"/>
      <c r="R32" s="85"/>
    </row>
    <row r="33" spans="1:18" ht="26.25" customHeight="1">
      <c r="A33" s="70" t="s">
        <v>33</v>
      </c>
      <c r="B33" s="22"/>
      <c r="C33" s="20"/>
      <c r="D33" s="20"/>
      <c r="E33" s="20"/>
      <c r="F33" s="20"/>
      <c r="G33" s="20"/>
      <c r="H33" s="20"/>
      <c r="I33" s="20"/>
      <c r="J33" s="20"/>
      <c r="K33" s="20"/>
      <c r="L33" s="68"/>
      <c r="M33" s="68"/>
      <c r="N33" s="20"/>
      <c r="O33" s="20"/>
      <c r="P33" s="20"/>
      <c r="Q33" s="20"/>
      <c r="R33" s="69"/>
    </row>
    <row r="34" spans="1:18" ht="26.25" customHeight="1">
      <c r="A34" s="67" t="s">
        <v>34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68"/>
      <c r="M34" s="68"/>
      <c r="N34" s="20"/>
      <c r="O34" s="20"/>
      <c r="P34" s="20"/>
      <c r="Q34" s="20"/>
      <c r="R34" s="69"/>
    </row>
    <row r="35" spans="1:18" ht="24" thickBot="1">
      <c r="A35" s="86"/>
      <c r="B35" s="87"/>
      <c r="C35" s="87"/>
      <c r="D35" s="87"/>
      <c r="E35" s="87"/>
      <c r="F35" s="87"/>
      <c r="G35" s="87"/>
      <c r="H35" s="87"/>
      <c r="I35" s="88"/>
      <c r="J35" s="88"/>
      <c r="K35" s="88"/>
      <c r="L35" s="89"/>
      <c r="M35" s="89"/>
      <c r="N35" s="88"/>
      <c r="O35" s="88"/>
      <c r="P35" s="88"/>
      <c r="Q35" s="88"/>
      <c r="R35" s="7"/>
    </row>
  </sheetData>
  <mergeCells count="31">
    <mergeCell ref="C1:K3"/>
    <mergeCell ref="L1:M1"/>
    <mergeCell ref="N1:O1"/>
    <mergeCell ref="P1:R1"/>
    <mergeCell ref="L2:M3"/>
    <mergeCell ref="N2:O3"/>
    <mergeCell ref="P2:R3"/>
    <mergeCell ref="P14:R14"/>
    <mergeCell ref="M4:O6"/>
    <mergeCell ref="P5:Q5"/>
    <mergeCell ref="A8:B8"/>
    <mergeCell ref="P8:R8"/>
    <mergeCell ref="A9:B9"/>
    <mergeCell ref="P9:R9"/>
    <mergeCell ref="A11:B11"/>
    <mergeCell ref="P11:R11"/>
    <mergeCell ref="A12:B12"/>
    <mergeCell ref="P12:R12"/>
    <mergeCell ref="P13:R13"/>
    <mergeCell ref="Q31:R31"/>
    <mergeCell ref="B30:D30"/>
    <mergeCell ref="E30:H30"/>
    <mergeCell ref="I30:L30"/>
    <mergeCell ref="M30:N30"/>
    <mergeCell ref="O30:P30"/>
    <mergeCell ref="Q30:R30"/>
    <mergeCell ref="B31:D31"/>
    <mergeCell ref="E31:H31"/>
    <mergeCell ref="I31:L31"/>
    <mergeCell ref="M31:N31"/>
    <mergeCell ref="O31:P3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orientation="landscape" r:id="rId1"/>
  <headerFooter>
    <oddFooter>&amp;RFM-QMR-08 Rev.00 15/08/2566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AC1D-4740-4BD1-8166-803B39635119}">
  <sheetPr>
    <tabColor rgb="FFFFC000"/>
    <pageSetUpPr fitToPage="1"/>
  </sheetPr>
  <dimension ref="A1:S35"/>
  <sheetViews>
    <sheetView showGridLines="0" topLeftCell="B1" zoomScale="85" zoomScaleNormal="85" zoomScaleSheetLayoutView="100" workbookViewId="0">
      <selection activeCell="J9" sqref="J9"/>
    </sheetView>
  </sheetViews>
  <sheetFormatPr defaultColWidth="10.28515625" defaultRowHeight="21"/>
  <cols>
    <col min="1" max="1" width="13.140625" style="8" customWidth="1"/>
    <col min="2" max="2" width="55.85546875" style="8" bestFit="1" customWidth="1"/>
    <col min="3" max="11" width="16" style="90" customWidth="1"/>
    <col min="12" max="13" width="16.140625" style="91" customWidth="1"/>
    <col min="14" max="15" width="16.140625" style="90" customWidth="1"/>
    <col min="16" max="16" width="12" style="90" customWidth="1"/>
    <col min="17" max="17" width="10.85546875" style="90" customWidth="1"/>
    <col min="18" max="18" width="1.7109375" style="92" customWidth="1"/>
    <col min="19" max="16384" width="10.28515625" style="8"/>
  </cols>
  <sheetData>
    <row r="1" spans="1:19" s="3" customFormat="1" ht="21.75" customHeight="1" thickBot="1">
      <c r="A1" s="1"/>
      <c r="B1" s="2"/>
      <c r="C1" s="241" t="s">
        <v>3</v>
      </c>
      <c r="D1" s="242"/>
      <c r="E1" s="242"/>
      <c r="F1" s="242"/>
      <c r="G1" s="242"/>
      <c r="H1" s="242"/>
      <c r="I1" s="242"/>
      <c r="J1" s="242"/>
      <c r="K1" s="243"/>
      <c r="L1" s="250" t="s">
        <v>4</v>
      </c>
      <c r="M1" s="251"/>
      <c r="N1" s="250" t="s">
        <v>5</v>
      </c>
      <c r="O1" s="251"/>
      <c r="P1" s="250" t="s">
        <v>6</v>
      </c>
      <c r="Q1" s="252"/>
      <c r="R1" s="251"/>
    </row>
    <row r="2" spans="1:19" s="3" customFormat="1" ht="21.75" customHeight="1">
      <c r="A2" s="4"/>
      <c r="C2" s="244"/>
      <c r="D2" s="245"/>
      <c r="E2" s="245"/>
      <c r="F2" s="245"/>
      <c r="G2" s="245"/>
      <c r="H2" s="245"/>
      <c r="I2" s="245"/>
      <c r="J2" s="245"/>
      <c r="K2" s="246"/>
      <c r="L2" s="253"/>
      <c r="M2" s="254"/>
      <c r="N2" s="253"/>
      <c r="O2" s="254"/>
      <c r="P2" s="253"/>
      <c r="Q2" s="257"/>
      <c r="R2" s="254"/>
    </row>
    <row r="3" spans="1:19" ht="47.45" customHeight="1" thickBot="1">
      <c r="A3" s="5"/>
      <c r="B3" s="6"/>
      <c r="C3" s="247"/>
      <c r="D3" s="248"/>
      <c r="E3" s="248"/>
      <c r="F3" s="248"/>
      <c r="G3" s="248"/>
      <c r="H3" s="248"/>
      <c r="I3" s="248"/>
      <c r="J3" s="248"/>
      <c r="K3" s="249"/>
      <c r="L3" s="255"/>
      <c r="M3" s="256"/>
      <c r="N3" s="255"/>
      <c r="O3" s="256"/>
      <c r="P3" s="255"/>
      <c r="Q3" s="258"/>
      <c r="R3" s="256"/>
    </row>
    <row r="4" spans="1:19" ht="9.9499999999999993" customHeight="1">
      <c r="A4" s="9"/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  <c r="M4" s="225"/>
      <c r="N4" s="225"/>
      <c r="O4" s="225"/>
      <c r="P4" s="13"/>
      <c r="Q4" s="13"/>
      <c r="R4" s="14"/>
    </row>
    <row r="5" spans="1:19" s="22" customFormat="1" ht="24">
      <c r="A5" s="15" t="s">
        <v>37</v>
      </c>
      <c r="B5" s="16"/>
      <c r="C5" s="17"/>
      <c r="D5" s="18"/>
      <c r="E5" s="16" t="s">
        <v>35</v>
      </c>
      <c r="F5" s="16"/>
      <c r="G5" s="16"/>
      <c r="H5" s="17"/>
      <c r="I5" s="17"/>
      <c r="J5" s="17"/>
      <c r="K5" s="17"/>
      <c r="L5" s="19"/>
      <c r="M5" s="226"/>
      <c r="N5" s="226"/>
      <c r="O5" s="226"/>
      <c r="P5" s="228" t="s">
        <v>46</v>
      </c>
      <c r="Q5" s="228"/>
      <c r="R5" s="21"/>
    </row>
    <row r="6" spans="1:19" ht="9.9499999999999993" customHeight="1" thickBot="1">
      <c r="A6" s="23"/>
      <c r="B6" s="24"/>
      <c r="C6" s="25"/>
      <c r="D6" s="25"/>
      <c r="E6" s="25"/>
      <c r="F6" s="25"/>
      <c r="G6" s="25"/>
      <c r="H6" s="25"/>
      <c r="I6" s="25"/>
      <c r="J6" s="25"/>
      <c r="K6" s="25"/>
      <c r="L6" s="26"/>
      <c r="M6" s="227"/>
      <c r="N6" s="227"/>
      <c r="O6" s="227"/>
      <c r="P6" s="27"/>
      <c r="Q6" s="27"/>
      <c r="R6" s="7"/>
    </row>
    <row r="7" spans="1:19" s="32" customFormat="1" ht="24">
      <c r="A7" s="15" t="s">
        <v>7</v>
      </c>
      <c r="B7" s="94" t="s">
        <v>45</v>
      </c>
      <c r="C7" s="29"/>
      <c r="D7" s="30"/>
      <c r="E7" s="30"/>
      <c r="F7" s="30"/>
      <c r="G7" s="29" t="s">
        <v>8</v>
      </c>
      <c r="H7" s="93">
        <v>0.05</v>
      </c>
      <c r="I7" s="28"/>
      <c r="J7" s="28"/>
      <c r="K7" s="28"/>
      <c r="L7" s="31"/>
      <c r="M7" s="31"/>
      <c r="N7" s="28"/>
      <c r="O7" s="29" t="s">
        <v>9</v>
      </c>
      <c r="R7" s="33"/>
    </row>
    <row r="8" spans="1:19" s="38" customFormat="1" ht="23.25">
      <c r="A8" s="229" t="s">
        <v>10</v>
      </c>
      <c r="B8" s="230"/>
      <c r="C8" s="34" t="s">
        <v>11</v>
      </c>
      <c r="D8" s="34" t="s">
        <v>12</v>
      </c>
      <c r="E8" s="34" t="s">
        <v>13</v>
      </c>
      <c r="F8" s="34" t="s">
        <v>14</v>
      </c>
      <c r="G8" s="34" t="s">
        <v>15</v>
      </c>
      <c r="H8" s="34" t="s">
        <v>16</v>
      </c>
      <c r="I8" s="34" t="s">
        <v>17</v>
      </c>
      <c r="J8" s="34" t="s">
        <v>18</v>
      </c>
      <c r="K8" s="34" t="s">
        <v>19</v>
      </c>
      <c r="L8" s="35" t="s">
        <v>20</v>
      </c>
      <c r="M8" s="35" t="s">
        <v>21</v>
      </c>
      <c r="N8" s="36" t="s">
        <v>22</v>
      </c>
      <c r="O8" s="37" t="s">
        <v>0</v>
      </c>
      <c r="P8" s="231" t="s">
        <v>23</v>
      </c>
      <c r="Q8" s="232"/>
      <c r="R8" s="233"/>
    </row>
    <row r="9" spans="1:19" s="22" customFormat="1" ht="29.1" customHeight="1">
      <c r="A9" s="234" t="s">
        <v>39</v>
      </c>
      <c r="B9" s="235"/>
      <c r="C9" s="97">
        <v>77604.5</v>
      </c>
      <c r="D9" s="97">
        <v>222967.70999999996</v>
      </c>
      <c r="E9" s="97">
        <v>55742.3</v>
      </c>
      <c r="F9" s="97">
        <v>4507.6000000000004</v>
      </c>
      <c r="G9" s="97">
        <v>10189.75</v>
      </c>
      <c r="H9" s="97">
        <v>41781.4</v>
      </c>
      <c r="I9" s="97">
        <v>82736.810000000012</v>
      </c>
      <c r="J9" s="95"/>
      <c r="K9" s="95"/>
      <c r="L9" s="95"/>
      <c r="M9" s="95"/>
      <c r="N9" s="98"/>
      <c r="O9" s="104">
        <f>SUM(C9:N9)</f>
        <v>495530.06999999995</v>
      </c>
      <c r="P9" s="236"/>
      <c r="Q9" s="237"/>
      <c r="R9" s="238"/>
    </row>
    <row r="10" spans="1:19" s="22" customFormat="1" ht="29.1" customHeight="1">
      <c r="A10" s="234" t="s">
        <v>38</v>
      </c>
      <c r="B10" s="235"/>
      <c r="C10" s="97">
        <v>72691.549999999988</v>
      </c>
      <c r="D10" s="97">
        <v>207942.69999999998</v>
      </c>
      <c r="E10" s="97">
        <v>50247.4</v>
      </c>
      <c r="F10" s="97">
        <v>4507.6000000000004</v>
      </c>
      <c r="G10" s="97">
        <v>8571.9</v>
      </c>
      <c r="H10" s="97">
        <v>38707.4</v>
      </c>
      <c r="I10" s="97">
        <v>72479.02</v>
      </c>
      <c r="J10" s="95"/>
      <c r="K10" s="95"/>
      <c r="L10" s="95"/>
      <c r="M10" s="95"/>
      <c r="N10" s="98"/>
      <c r="O10" s="104">
        <f>SUM(C10:N10)</f>
        <v>455147.57000000007</v>
      </c>
      <c r="P10" s="41"/>
      <c r="Q10" s="42"/>
      <c r="R10" s="43"/>
    </row>
    <row r="11" spans="1:19" s="22" customFormat="1" ht="23.25">
      <c r="A11" s="261" t="s">
        <v>40</v>
      </c>
      <c r="B11" s="262"/>
      <c r="C11" s="97">
        <v>4912.9500000000016</v>
      </c>
      <c r="D11" s="97">
        <v>15025.009999999998</v>
      </c>
      <c r="E11" s="97">
        <v>5494.9</v>
      </c>
      <c r="F11" s="97">
        <v>2348.5</v>
      </c>
      <c r="G11" s="97">
        <v>1617.85</v>
      </c>
      <c r="H11" s="97">
        <v>3074</v>
      </c>
      <c r="I11" s="97">
        <v>10257.790000000001</v>
      </c>
      <c r="J11" s="96"/>
      <c r="K11" s="96"/>
      <c r="L11" s="96"/>
      <c r="M11" s="96"/>
      <c r="N11" s="99"/>
      <c r="O11" s="104">
        <f>SUM(C11:N11)</f>
        <v>42731</v>
      </c>
      <c r="P11" s="236"/>
      <c r="Q11" s="237"/>
      <c r="R11" s="238"/>
    </row>
    <row r="12" spans="1:19" s="22" customFormat="1" ht="23.25">
      <c r="A12" s="261" t="s">
        <v>41</v>
      </c>
      <c r="B12" s="262"/>
      <c r="C12" s="97">
        <f t="shared" ref="C12:J12" si="0">C11/C9*100</f>
        <v>6.3307540155532234</v>
      </c>
      <c r="D12" s="97">
        <f t="shared" si="0"/>
        <v>6.7386483899395122</v>
      </c>
      <c r="E12" s="97">
        <f t="shared" si="0"/>
        <v>9.8576843797259883</v>
      </c>
      <c r="F12" s="97">
        <f t="shared" si="0"/>
        <v>52.100896264087318</v>
      </c>
      <c r="G12" s="97">
        <f t="shared" si="0"/>
        <v>15.877229568929559</v>
      </c>
      <c r="H12" s="97">
        <f t="shared" si="0"/>
        <v>7.3573408263006987</v>
      </c>
      <c r="I12" s="97">
        <f t="shared" si="0"/>
        <v>12.398097050152163</v>
      </c>
      <c r="J12" s="97" t="e">
        <f t="shared" si="0"/>
        <v>#DIV/0!</v>
      </c>
      <c r="K12" s="97" t="e">
        <f>K11/K9*100</f>
        <v>#DIV/0!</v>
      </c>
      <c r="L12" s="97" t="e">
        <f>L11/L9*100</f>
        <v>#DIV/0!</v>
      </c>
      <c r="M12" s="97" t="e">
        <f>M11/M9*100</f>
        <v>#DIV/0!</v>
      </c>
      <c r="N12" s="97" t="e">
        <f>N11/N9*100</f>
        <v>#DIV/0!</v>
      </c>
      <c r="O12" s="104">
        <f>O11*100/O9</f>
        <v>8.6232910144080677</v>
      </c>
      <c r="P12" s="236"/>
      <c r="Q12" s="237"/>
      <c r="R12" s="238"/>
    </row>
    <row r="13" spans="1:19" s="51" customFormat="1" ht="30" customHeight="1">
      <c r="A13" s="48"/>
      <c r="B13" s="49"/>
      <c r="C13" s="50"/>
      <c r="D13" s="50"/>
      <c r="E13" s="50"/>
      <c r="F13" s="50"/>
      <c r="G13" s="50"/>
      <c r="H13" s="50"/>
      <c r="I13" s="50"/>
      <c r="J13" s="50"/>
      <c r="K13" s="50"/>
      <c r="M13" s="50"/>
      <c r="N13" s="50"/>
      <c r="O13" s="105"/>
      <c r="P13" s="236"/>
      <c r="Q13" s="237"/>
      <c r="R13" s="238"/>
      <c r="S13" s="194"/>
    </row>
    <row r="14" spans="1:19" s="54" customFormat="1" ht="23.25">
      <c r="A14" s="52" t="s">
        <v>24</v>
      </c>
      <c r="B14" s="53"/>
      <c r="C14" s="102">
        <v>6.3299999999999995E-2</v>
      </c>
      <c r="D14" s="102">
        <v>6.7400000000000002E-2</v>
      </c>
      <c r="E14" s="102">
        <v>9.8599999999999993E-2</v>
      </c>
      <c r="F14" s="102">
        <v>0.52100000000000002</v>
      </c>
      <c r="G14" s="102">
        <v>0.1588</v>
      </c>
      <c r="H14" s="102">
        <v>7.3599999999999999E-2</v>
      </c>
      <c r="I14" s="102">
        <v>0.124</v>
      </c>
      <c r="J14" s="102"/>
      <c r="K14" s="102"/>
      <c r="L14" s="103"/>
      <c r="M14" s="102"/>
      <c r="N14" s="102"/>
      <c r="O14" s="104">
        <f>O11*100/O9</f>
        <v>8.6232910144080677</v>
      </c>
      <c r="P14" s="222"/>
      <c r="Q14" s="223"/>
      <c r="R14" s="224"/>
    </row>
    <row r="15" spans="1:19" s="59" customFormat="1" ht="23.25">
      <c r="A15" s="55"/>
      <c r="B15" s="56"/>
      <c r="C15" s="100" t="s">
        <v>44</v>
      </c>
      <c r="D15" s="100" t="s">
        <v>44</v>
      </c>
      <c r="E15" s="100" t="s">
        <v>44</v>
      </c>
      <c r="F15" s="100" t="s">
        <v>44</v>
      </c>
      <c r="G15" s="100" t="s">
        <v>44</v>
      </c>
      <c r="H15" s="100" t="s">
        <v>44</v>
      </c>
      <c r="I15" s="100" t="s">
        <v>44</v>
      </c>
      <c r="J15" s="100" t="s">
        <v>44</v>
      </c>
      <c r="K15" s="100" t="s">
        <v>44</v>
      </c>
      <c r="L15" s="100" t="s">
        <v>44</v>
      </c>
      <c r="M15" s="100" t="s">
        <v>44</v>
      </c>
      <c r="N15" s="100" t="s">
        <v>44</v>
      </c>
      <c r="O15" s="100" t="s">
        <v>44</v>
      </c>
      <c r="P15" s="57"/>
      <c r="Q15" s="57"/>
      <c r="R15" s="58"/>
    </row>
    <row r="16" spans="1:19" s="54" customFormat="1" ht="24">
      <c r="A16" s="60"/>
      <c r="B16" s="61"/>
      <c r="C16" s="62"/>
      <c r="D16" s="63"/>
      <c r="E16" s="63"/>
      <c r="F16" s="63"/>
      <c r="G16" s="62"/>
      <c r="H16" s="62"/>
      <c r="I16" s="62"/>
      <c r="J16" s="63"/>
      <c r="K16" s="63"/>
      <c r="L16" s="63"/>
      <c r="M16" s="64"/>
      <c r="N16" s="63"/>
      <c r="O16" s="63"/>
      <c r="P16" s="65"/>
      <c r="Q16" s="65"/>
      <c r="R16" s="66"/>
    </row>
    <row r="17" spans="1:18" ht="23.25">
      <c r="A17" s="67"/>
      <c r="B17" s="54"/>
      <c r="C17" s="20"/>
      <c r="D17" s="20"/>
      <c r="E17" s="20"/>
      <c r="F17" s="20"/>
      <c r="G17" s="20"/>
      <c r="H17" s="20"/>
      <c r="I17" s="20"/>
      <c r="J17" s="20"/>
      <c r="K17" s="20"/>
      <c r="L17" s="68"/>
      <c r="M17" s="68"/>
      <c r="N17" s="20"/>
      <c r="O17" s="20"/>
      <c r="P17" s="20"/>
      <c r="Q17" s="20"/>
      <c r="R17" s="69"/>
    </row>
    <row r="18" spans="1:18" ht="23.25">
      <c r="A18" s="70"/>
      <c r="B18" s="22"/>
      <c r="C18" s="20"/>
      <c r="D18" s="20"/>
      <c r="E18" s="20"/>
      <c r="F18" s="20"/>
      <c r="G18" s="20"/>
      <c r="H18" s="20"/>
      <c r="I18" s="20"/>
      <c r="J18" s="20"/>
      <c r="K18" s="20"/>
      <c r="L18" s="68"/>
      <c r="M18" s="68"/>
      <c r="N18" s="20"/>
      <c r="O18" s="20"/>
      <c r="P18" s="20"/>
      <c r="Q18" s="20"/>
      <c r="R18" s="69"/>
    </row>
    <row r="19" spans="1:18" ht="23.25">
      <c r="A19" s="70"/>
      <c r="B19" s="22"/>
      <c r="C19" s="20"/>
      <c r="D19" s="20"/>
      <c r="E19" s="20"/>
      <c r="F19" s="20"/>
      <c r="G19" s="20"/>
      <c r="H19" s="20"/>
      <c r="I19" s="20"/>
      <c r="J19" s="20"/>
      <c r="K19" s="20"/>
      <c r="L19" s="68"/>
      <c r="M19" s="68"/>
      <c r="N19" s="20"/>
      <c r="O19" s="20"/>
      <c r="P19" s="20"/>
      <c r="Q19" s="20"/>
      <c r="R19" s="69"/>
    </row>
    <row r="20" spans="1:18" ht="23.25">
      <c r="A20" s="70"/>
      <c r="B20" s="22"/>
      <c r="C20" s="20"/>
      <c r="D20" s="20"/>
      <c r="E20" s="20"/>
      <c r="F20" s="20"/>
      <c r="G20" s="20"/>
      <c r="H20" s="20"/>
      <c r="I20" s="20"/>
      <c r="J20" s="20"/>
      <c r="K20" s="20"/>
      <c r="L20" s="68"/>
      <c r="M20" s="68"/>
      <c r="N20" s="20"/>
      <c r="O20" s="20"/>
      <c r="P20" s="20"/>
      <c r="Q20" s="20"/>
      <c r="R20" s="69"/>
    </row>
    <row r="21" spans="1:18" ht="23.25">
      <c r="A21" s="70"/>
      <c r="B21" s="22"/>
      <c r="C21" s="20"/>
      <c r="D21" s="20"/>
      <c r="E21" s="20"/>
      <c r="F21" s="20"/>
      <c r="G21" s="20"/>
      <c r="H21" s="20"/>
      <c r="I21" s="20"/>
      <c r="J21" s="20"/>
      <c r="K21" s="20"/>
      <c r="L21" s="68"/>
      <c r="M21" s="68"/>
      <c r="N21" s="20"/>
      <c r="O21" s="20"/>
      <c r="P21" s="20"/>
      <c r="Q21" s="20"/>
      <c r="R21" s="69"/>
    </row>
    <row r="22" spans="1:18" ht="23.25">
      <c r="A22" s="70"/>
      <c r="B22" s="22"/>
      <c r="C22" s="20"/>
      <c r="D22" s="20"/>
      <c r="E22" s="20"/>
      <c r="F22" s="20"/>
      <c r="G22" s="20"/>
      <c r="H22" s="20"/>
      <c r="I22" s="20"/>
      <c r="J22" s="20"/>
      <c r="K22" s="20"/>
      <c r="L22" s="68"/>
      <c r="M22" s="68"/>
      <c r="N22" s="20"/>
      <c r="O22" s="20"/>
      <c r="P22" s="20"/>
      <c r="Q22" s="20"/>
      <c r="R22" s="69"/>
    </row>
    <row r="23" spans="1:18" s="3" customFormat="1" ht="23.25">
      <c r="A23" s="70"/>
      <c r="B23" s="22"/>
      <c r="C23" s="20"/>
      <c r="D23" s="20"/>
      <c r="E23" s="20"/>
      <c r="F23" s="20"/>
      <c r="G23" s="20"/>
      <c r="H23" s="20"/>
      <c r="I23" s="20"/>
      <c r="J23" s="20"/>
      <c r="K23" s="20"/>
      <c r="L23" s="68"/>
      <c r="M23" s="68"/>
      <c r="N23" s="20"/>
      <c r="O23" s="20"/>
      <c r="P23" s="20"/>
      <c r="Q23" s="20"/>
      <c r="R23" s="69"/>
    </row>
    <row r="24" spans="1:18" ht="15" customHeight="1">
      <c r="A24" s="70"/>
      <c r="B24" s="22"/>
      <c r="C24" s="20"/>
      <c r="D24" s="20"/>
      <c r="E24" s="20"/>
      <c r="F24" s="20"/>
      <c r="G24" s="20"/>
      <c r="H24" s="20"/>
      <c r="I24" s="20"/>
      <c r="J24" s="20"/>
      <c r="K24" s="20"/>
      <c r="L24" s="68"/>
      <c r="M24" s="68"/>
      <c r="N24" s="20"/>
      <c r="O24" s="20"/>
      <c r="P24" s="20"/>
      <c r="Q24" s="20"/>
      <c r="R24" s="69"/>
    </row>
    <row r="25" spans="1:18" ht="15" customHeight="1">
      <c r="A25" s="70"/>
      <c r="B25" s="22"/>
      <c r="C25" s="20"/>
      <c r="D25" s="20"/>
      <c r="E25" s="20"/>
      <c r="F25" s="20"/>
      <c r="G25" s="20"/>
      <c r="H25" s="20"/>
      <c r="I25" s="20"/>
      <c r="J25" s="20"/>
      <c r="K25" s="20"/>
      <c r="L25" s="68"/>
      <c r="M25" s="68"/>
      <c r="N25" s="20"/>
      <c r="O25" s="20"/>
      <c r="P25" s="20"/>
      <c r="Q25" s="20"/>
      <c r="R25" s="69"/>
    </row>
    <row r="26" spans="1:18" ht="15" customHeight="1">
      <c r="A26" s="70"/>
      <c r="B26" s="22"/>
      <c r="C26" s="20"/>
      <c r="D26" s="20"/>
      <c r="E26" s="20"/>
      <c r="F26" s="20"/>
      <c r="G26" s="20"/>
      <c r="H26" s="20"/>
      <c r="I26" s="20"/>
      <c r="J26" s="20"/>
      <c r="K26" s="20"/>
      <c r="L26" s="68"/>
      <c r="M26" s="68"/>
      <c r="N26" s="20"/>
      <c r="O26" s="20"/>
      <c r="P26" s="20"/>
      <c r="Q26" s="20"/>
      <c r="R26" s="69"/>
    </row>
    <row r="27" spans="1:18" ht="15" customHeight="1">
      <c r="A27" s="70"/>
      <c r="B27" s="22"/>
      <c r="C27" s="20"/>
      <c r="D27" s="20"/>
      <c r="E27" s="20"/>
      <c r="F27" s="20"/>
      <c r="G27" s="20"/>
      <c r="H27" s="20"/>
      <c r="I27" s="20"/>
      <c r="J27" s="20"/>
      <c r="K27" s="20"/>
      <c r="L27" s="68"/>
      <c r="M27" s="68"/>
      <c r="N27" s="20"/>
      <c r="O27" s="20"/>
      <c r="P27" s="20"/>
      <c r="Q27" s="20"/>
      <c r="R27" s="69"/>
    </row>
    <row r="28" spans="1:18" ht="15" customHeight="1">
      <c r="A28" s="70"/>
      <c r="B28" s="22"/>
      <c r="C28" s="20"/>
      <c r="D28" s="20"/>
      <c r="E28" s="20"/>
      <c r="F28" s="20"/>
      <c r="G28" s="20"/>
      <c r="H28" s="20"/>
      <c r="I28" s="20"/>
      <c r="J28" s="20"/>
      <c r="K28" s="20"/>
      <c r="L28" s="68"/>
      <c r="M28" s="68"/>
      <c r="N28" s="20"/>
      <c r="O28" s="20"/>
      <c r="P28" s="20"/>
      <c r="Q28" s="20"/>
      <c r="R28" s="69"/>
    </row>
    <row r="29" spans="1:18" ht="24" thickBot="1">
      <c r="A29" s="71" t="s">
        <v>25</v>
      </c>
      <c r="B29" s="22"/>
      <c r="C29" s="20"/>
      <c r="D29" s="20"/>
      <c r="E29" s="20"/>
      <c r="F29" s="20"/>
      <c r="G29" s="20"/>
      <c r="H29" s="20"/>
      <c r="I29" s="20"/>
      <c r="J29" s="20"/>
      <c r="K29" s="20"/>
      <c r="L29" s="68"/>
      <c r="M29" s="68"/>
      <c r="N29" s="20"/>
      <c r="O29" s="20"/>
      <c r="P29" s="20"/>
      <c r="Q29" s="20"/>
      <c r="R29" s="69"/>
    </row>
    <row r="30" spans="1:18" ht="24" customHeight="1" thickBot="1">
      <c r="A30" s="72" t="s">
        <v>26</v>
      </c>
      <c r="B30" s="206" t="s">
        <v>27</v>
      </c>
      <c r="C30" s="207"/>
      <c r="D30" s="208"/>
      <c r="E30" s="209" t="s">
        <v>28</v>
      </c>
      <c r="F30" s="210"/>
      <c r="G30" s="210"/>
      <c r="H30" s="211"/>
      <c r="I30" s="206" t="s">
        <v>29</v>
      </c>
      <c r="J30" s="207"/>
      <c r="K30" s="207"/>
      <c r="L30" s="208"/>
      <c r="M30" s="206" t="s">
        <v>30</v>
      </c>
      <c r="N30" s="208"/>
      <c r="O30" s="206" t="s">
        <v>31</v>
      </c>
      <c r="P30" s="208"/>
      <c r="Q30" s="206" t="s">
        <v>32</v>
      </c>
      <c r="R30" s="212"/>
    </row>
    <row r="31" spans="1:18" s="74" customFormat="1" ht="93.75" customHeight="1">
      <c r="A31" s="73">
        <v>1</v>
      </c>
      <c r="B31" s="259"/>
      <c r="C31" s="214"/>
      <c r="D31" s="215"/>
      <c r="E31" s="260"/>
      <c r="F31" s="260"/>
      <c r="G31" s="260"/>
      <c r="H31" s="260"/>
      <c r="I31" s="260"/>
      <c r="J31" s="260"/>
      <c r="K31" s="260"/>
      <c r="L31" s="260"/>
      <c r="M31" s="219"/>
      <c r="N31" s="220"/>
      <c r="O31" s="221"/>
      <c r="P31" s="221"/>
      <c r="Q31" s="204"/>
      <c r="R31" s="205"/>
    </row>
    <row r="32" spans="1:18" s="74" customFormat="1" ht="93.75" customHeight="1" thickBot="1">
      <c r="A32" s="75"/>
      <c r="B32" s="76"/>
      <c r="C32" s="77"/>
      <c r="D32" s="78"/>
      <c r="E32" s="76"/>
      <c r="F32" s="77"/>
      <c r="G32" s="77"/>
      <c r="H32" s="78"/>
      <c r="I32" s="76"/>
      <c r="J32" s="79"/>
      <c r="K32" s="79"/>
      <c r="L32" s="80"/>
      <c r="M32" s="81"/>
      <c r="N32" s="81"/>
      <c r="O32" s="82"/>
      <c r="P32" s="83"/>
      <c r="Q32" s="84"/>
      <c r="R32" s="85"/>
    </row>
    <row r="33" spans="1:18" ht="26.25" customHeight="1">
      <c r="A33" s="70" t="s">
        <v>33</v>
      </c>
      <c r="B33" s="22"/>
      <c r="C33" s="20"/>
      <c r="D33" s="20"/>
      <c r="E33" s="20"/>
      <c r="F33" s="20"/>
      <c r="G33" s="20"/>
      <c r="H33" s="20"/>
      <c r="I33" s="20"/>
      <c r="J33" s="20"/>
      <c r="K33" s="20"/>
      <c r="L33" s="68"/>
      <c r="M33" s="68"/>
      <c r="N33" s="20"/>
      <c r="O33" s="20"/>
      <c r="P33" s="20"/>
      <c r="Q33" s="20"/>
      <c r="R33" s="69"/>
    </row>
    <row r="34" spans="1:18" ht="26.25" customHeight="1">
      <c r="A34" s="67" t="s">
        <v>34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68"/>
      <c r="M34" s="68"/>
      <c r="N34" s="20"/>
      <c r="O34" s="20"/>
      <c r="P34" s="20"/>
      <c r="Q34" s="20"/>
      <c r="R34" s="69"/>
    </row>
    <row r="35" spans="1:18" ht="24" thickBot="1">
      <c r="A35" s="86"/>
      <c r="B35" s="87"/>
      <c r="C35" s="87"/>
      <c r="D35" s="87"/>
      <c r="E35" s="87"/>
      <c r="F35" s="87"/>
      <c r="G35" s="87"/>
      <c r="H35" s="87"/>
      <c r="I35" s="88"/>
      <c r="J35" s="88"/>
      <c r="K35" s="88"/>
      <c r="L35" s="89"/>
      <c r="M35" s="89"/>
      <c r="N35" s="88"/>
      <c r="O35" s="88"/>
      <c r="P35" s="88"/>
      <c r="Q35" s="88"/>
      <c r="R35" s="7"/>
    </row>
  </sheetData>
  <mergeCells count="32">
    <mergeCell ref="C1:K3"/>
    <mergeCell ref="L1:M1"/>
    <mergeCell ref="N1:O1"/>
    <mergeCell ref="P1:R1"/>
    <mergeCell ref="L2:M3"/>
    <mergeCell ref="N2:O3"/>
    <mergeCell ref="P2:R3"/>
    <mergeCell ref="M4:O6"/>
    <mergeCell ref="P5:Q5"/>
    <mergeCell ref="A8:B8"/>
    <mergeCell ref="P8:R8"/>
    <mergeCell ref="A9:B9"/>
    <mergeCell ref="P9:R9"/>
    <mergeCell ref="P11:R11"/>
    <mergeCell ref="A12:B12"/>
    <mergeCell ref="P12:R12"/>
    <mergeCell ref="P13:R13"/>
    <mergeCell ref="P14:R14"/>
    <mergeCell ref="O31:P31"/>
    <mergeCell ref="Q31:R31"/>
    <mergeCell ref="B30:D30"/>
    <mergeCell ref="E30:H30"/>
    <mergeCell ref="I30:L30"/>
    <mergeCell ref="M30:N30"/>
    <mergeCell ref="O30:P30"/>
    <mergeCell ref="Q30:R30"/>
    <mergeCell ref="A10:B10"/>
    <mergeCell ref="B31:D31"/>
    <mergeCell ref="E31:H31"/>
    <mergeCell ref="I31:L31"/>
    <mergeCell ref="M31:N31"/>
    <mergeCell ref="A11:B1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orientation="landscape" r:id="rId1"/>
  <headerFooter>
    <oddFooter>&amp;RFM-QMR-08 Rev.00 15/08/2566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4BBC-897E-4E9E-8A06-9CCDFFBA9BEB}">
  <dimension ref="A1:R525"/>
  <sheetViews>
    <sheetView tabSelected="1" topLeftCell="D21" zoomScale="85" zoomScaleNormal="85" zoomScaleSheetLayoutView="85" workbookViewId="0">
      <selection activeCell="S36" sqref="S36"/>
    </sheetView>
  </sheetViews>
  <sheetFormatPr defaultColWidth="7.7109375" defaultRowHeight="23.25"/>
  <cols>
    <col min="1" max="1" width="7.28515625" style="117" customWidth="1"/>
    <col min="2" max="2" width="45" style="117" customWidth="1"/>
    <col min="3" max="3" width="13.85546875" style="121" customWidth="1"/>
    <col min="4" max="4" width="47.85546875" style="117" customWidth="1"/>
    <col min="5" max="5" width="18.85546875" style="121" customWidth="1"/>
    <col min="6" max="6" width="70.140625" style="117" customWidth="1"/>
    <col min="7" max="7" width="14.140625" style="126" customWidth="1"/>
    <col min="8" max="8" width="10.5703125" style="121" customWidth="1"/>
    <col min="9" max="9" width="18.28515625" style="122" customWidth="1"/>
    <col min="10" max="10" width="15.28515625" style="122" customWidth="1"/>
    <col min="11" max="11" width="15.42578125" style="123" customWidth="1"/>
    <col min="12" max="12" width="16.28515625" style="124" customWidth="1"/>
    <col min="13" max="13" width="17.5703125" style="163" customWidth="1"/>
    <col min="14" max="14" width="19.7109375" style="164" customWidth="1"/>
    <col min="15" max="15" width="17.85546875" style="165" customWidth="1"/>
    <col min="16" max="16" width="12.140625" style="125" customWidth="1"/>
    <col min="17" max="17" width="9.7109375" style="125" customWidth="1"/>
    <col min="18" max="16384" width="7.7109375" style="117"/>
  </cols>
  <sheetData>
    <row r="1" spans="1:18" s="124" customFormat="1" ht="25.15" customHeight="1">
      <c r="A1" s="124" t="s">
        <v>50</v>
      </c>
      <c r="B1" s="113" t="s">
        <v>51</v>
      </c>
      <c r="C1" s="113" t="s">
        <v>128</v>
      </c>
      <c r="D1" s="113" t="s">
        <v>52</v>
      </c>
      <c r="E1" s="113" t="s">
        <v>129</v>
      </c>
      <c r="F1" s="113" t="s">
        <v>47</v>
      </c>
      <c r="G1" s="136" t="s">
        <v>48</v>
      </c>
      <c r="H1" s="113" t="s">
        <v>53</v>
      </c>
      <c r="I1" s="137" t="s">
        <v>54</v>
      </c>
      <c r="J1" s="137" t="s">
        <v>55</v>
      </c>
      <c r="K1" s="137" t="s">
        <v>56</v>
      </c>
      <c r="L1" s="113" t="s">
        <v>57</v>
      </c>
      <c r="M1" s="138" t="s">
        <v>58</v>
      </c>
      <c r="N1" s="139" t="s">
        <v>59</v>
      </c>
      <c r="O1" s="140" t="s">
        <v>60</v>
      </c>
      <c r="P1" s="141" t="s">
        <v>61</v>
      </c>
      <c r="Q1" s="141" t="s">
        <v>62</v>
      </c>
    </row>
    <row r="2" spans="1:18">
      <c r="A2" s="108">
        <v>1</v>
      </c>
      <c r="B2" s="109" t="s">
        <v>130</v>
      </c>
      <c r="C2" s="112"/>
      <c r="D2" s="109" t="s">
        <v>131</v>
      </c>
      <c r="E2" s="112"/>
      <c r="F2" s="110" t="s">
        <v>132</v>
      </c>
      <c r="G2" s="111">
        <v>1</v>
      </c>
      <c r="H2" s="112" t="s">
        <v>133</v>
      </c>
      <c r="I2" s="118">
        <v>26000</v>
      </c>
      <c r="J2" s="119">
        <v>2600</v>
      </c>
      <c r="K2" s="118">
        <v>23400</v>
      </c>
      <c r="L2" s="113" t="s">
        <v>134</v>
      </c>
      <c r="M2" s="142">
        <v>46160</v>
      </c>
      <c r="N2" s="143">
        <v>46167</v>
      </c>
      <c r="O2" s="140">
        <v>46211</v>
      </c>
      <c r="P2" s="116">
        <f t="shared" ref="P2:P65" si="0">O2-M2</f>
        <v>51</v>
      </c>
      <c r="Q2" s="116">
        <f t="shared" ref="Q2:Q65" si="1">N2-O2</f>
        <v>-44</v>
      </c>
      <c r="R2" s="144">
        <v>1</v>
      </c>
    </row>
    <row r="3" spans="1:18">
      <c r="A3" s="108">
        <v>2</v>
      </c>
      <c r="B3" s="109" t="s">
        <v>118</v>
      </c>
      <c r="C3" s="112"/>
      <c r="D3" s="109" t="s">
        <v>117</v>
      </c>
      <c r="E3" s="112"/>
      <c r="F3" s="110" t="s">
        <v>135</v>
      </c>
      <c r="G3" s="111">
        <v>2</v>
      </c>
      <c r="H3" s="112" t="s">
        <v>66</v>
      </c>
      <c r="I3" s="118">
        <v>1090</v>
      </c>
      <c r="J3" s="109"/>
      <c r="K3" s="118">
        <v>2180</v>
      </c>
      <c r="L3" s="113" t="s">
        <v>116</v>
      </c>
      <c r="M3" s="142">
        <v>46181</v>
      </c>
      <c r="N3" s="143">
        <v>46191</v>
      </c>
      <c r="O3" s="140">
        <v>46220</v>
      </c>
      <c r="P3" s="116">
        <f t="shared" si="0"/>
        <v>39</v>
      </c>
      <c r="Q3" s="116">
        <f t="shared" si="1"/>
        <v>-29</v>
      </c>
      <c r="R3" s="144">
        <v>2</v>
      </c>
    </row>
    <row r="4" spans="1:18">
      <c r="A4" s="108">
        <v>3</v>
      </c>
      <c r="B4" s="109" t="s">
        <v>110</v>
      </c>
      <c r="C4" s="112"/>
      <c r="D4" s="109" t="s">
        <v>71</v>
      </c>
      <c r="E4" s="112"/>
      <c r="F4" s="110" t="s">
        <v>136</v>
      </c>
      <c r="G4" s="111">
        <v>1</v>
      </c>
      <c r="H4" s="112" t="s">
        <v>63</v>
      </c>
      <c r="I4" s="118">
        <v>1850</v>
      </c>
      <c r="J4" s="119">
        <v>92.5</v>
      </c>
      <c r="K4" s="118">
        <v>1757.5</v>
      </c>
      <c r="L4" s="113" t="s">
        <v>137</v>
      </c>
      <c r="M4" s="142">
        <v>46178</v>
      </c>
      <c r="N4" s="143">
        <v>46185</v>
      </c>
      <c r="O4" s="140">
        <v>46207</v>
      </c>
      <c r="P4" s="116">
        <f t="shared" si="0"/>
        <v>29</v>
      </c>
      <c r="Q4" s="116">
        <f t="shared" si="1"/>
        <v>-22</v>
      </c>
      <c r="R4" s="144">
        <v>3</v>
      </c>
    </row>
    <row r="5" spans="1:18">
      <c r="A5" s="108">
        <v>4</v>
      </c>
      <c r="B5" s="109" t="s">
        <v>110</v>
      </c>
      <c r="C5" s="112"/>
      <c r="D5" s="109" t="s">
        <v>71</v>
      </c>
      <c r="E5" s="112"/>
      <c r="F5" s="110" t="s">
        <v>138</v>
      </c>
      <c r="G5" s="111">
        <v>1</v>
      </c>
      <c r="H5" s="112" t="s">
        <v>63</v>
      </c>
      <c r="I5" s="118">
        <v>11500</v>
      </c>
      <c r="J5" s="119">
        <v>575</v>
      </c>
      <c r="K5" s="118">
        <v>10925</v>
      </c>
      <c r="L5" s="113" t="s">
        <v>137</v>
      </c>
      <c r="M5" s="142">
        <v>46178</v>
      </c>
      <c r="N5" s="143">
        <v>46185</v>
      </c>
      <c r="O5" s="140">
        <v>46207</v>
      </c>
      <c r="P5" s="116">
        <f t="shared" si="0"/>
        <v>29</v>
      </c>
      <c r="Q5" s="116">
        <f t="shared" si="1"/>
        <v>-22</v>
      </c>
      <c r="R5" s="144">
        <v>4</v>
      </c>
    </row>
    <row r="6" spans="1:18">
      <c r="A6" s="108">
        <v>5</v>
      </c>
      <c r="B6" s="109" t="s">
        <v>139</v>
      </c>
      <c r="C6" s="112"/>
      <c r="D6" s="109" t="s">
        <v>140</v>
      </c>
      <c r="E6" s="112"/>
      <c r="F6" s="110" t="s">
        <v>141</v>
      </c>
      <c r="G6" s="111">
        <v>1</v>
      </c>
      <c r="H6" s="112" t="s">
        <v>142</v>
      </c>
      <c r="I6" s="118">
        <v>8130.84</v>
      </c>
      <c r="J6" s="111"/>
      <c r="K6" s="118">
        <v>8130.84</v>
      </c>
      <c r="L6" s="113" t="s">
        <v>143</v>
      </c>
      <c r="M6" s="142">
        <v>46192</v>
      </c>
      <c r="N6" s="143">
        <v>46198</v>
      </c>
      <c r="O6" s="140">
        <v>46218</v>
      </c>
      <c r="P6" s="116">
        <f t="shared" si="0"/>
        <v>26</v>
      </c>
      <c r="Q6" s="116">
        <f t="shared" si="1"/>
        <v>-20</v>
      </c>
      <c r="R6" s="144">
        <v>5</v>
      </c>
    </row>
    <row r="7" spans="1:18">
      <c r="A7" s="108">
        <v>6</v>
      </c>
      <c r="B7" s="109" t="s">
        <v>144</v>
      </c>
      <c r="C7" s="112"/>
      <c r="D7" s="109" t="s">
        <v>131</v>
      </c>
      <c r="E7" s="112"/>
      <c r="F7" s="110" t="s">
        <v>145</v>
      </c>
      <c r="G7" s="111">
        <v>7.5</v>
      </c>
      <c r="H7" s="112" t="s">
        <v>100</v>
      </c>
      <c r="I7" s="118">
        <v>1500</v>
      </c>
      <c r="J7" s="119">
        <v>1125</v>
      </c>
      <c r="K7" s="118">
        <v>10125</v>
      </c>
      <c r="L7" s="113" t="s">
        <v>146</v>
      </c>
      <c r="M7" s="142">
        <v>46205</v>
      </c>
      <c r="N7" s="143">
        <v>46206</v>
      </c>
      <c r="O7" s="140">
        <v>46225</v>
      </c>
      <c r="P7" s="116">
        <f t="shared" si="0"/>
        <v>20</v>
      </c>
      <c r="Q7" s="116">
        <f t="shared" si="1"/>
        <v>-19</v>
      </c>
      <c r="R7" s="144">
        <v>6</v>
      </c>
    </row>
    <row r="8" spans="1:18">
      <c r="A8" s="108">
        <v>7</v>
      </c>
      <c r="B8" s="109" t="s">
        <v>144</v>
      </c>
      <c r="C8" s="112"/>
      <c r="D8" s="109" t="s">
        <v>131</v>
      </c>
      <c r="E8" s="112"/>
      <c r="F8" s="110" t="s">
        <v>147</v>
      </c>
      <c r="G8" s="111">
        <v>3</v>
      </c>
      <c r="H8" s="112" t="s">
        <v>100</v>
      </c>
      <c r="I8" s="118">
        <v>1000</v>
      </c>
      <c r="J8" s="119">
        <v>300</v>
      </c>
      <c r="K8" s="118">
        <v>2700</v>
      </c>
      <c r="L8" s="113" t="s">
        <v>146</v>
      </c>
      <c r="M8" s="142">
        <v>46205</v>
      </c>
      <c r="N8" s="143">
        <v>46206</v>
      </c>
      <c r="O8" s="140">
        <v>46225</v>
      </c>
      <c r="P8" s="116">
        <f t="shared" si="0"/>
        <v>20</v>
      </c>
      <c r="Q8" s="116">
        <f t="shared" si="1"/>
        <v>-19</v>
      </c>
      <c r="R8" s="144">
        <v>7</v>
      </c>
    </row>
    <row r="9" spans="1:18">
      <c r="A9" s="108">
        <v>8</v>
      </c>
      <c r="B9" s="109" t="s">
        <v>144</v>
      </c>
      <c r="C9" s="112"/>
      <c r="D9" s="109" t="s">
        <v>131</v>
      </c>
      <c r="E9" s="112"/>
      <c r="F9" s="110" t="s">
        <v>148</v>
      </c>
      <c r="G9" s="111">
        <v>120</v>
      </c>
      <c r="H9" s="112" t="s">
        <v>99</v>
      </c>
      <c r="I9" s="118">
        <v>10</v>
      </c>
      <c r="J9" s="119">
        <v>120</v>
      </c>
      <c r="K9" s="118">
        <v>1080</v>
      </c>
      <c r="L9" s="113" t="s">
        <v>146</v>
      </c>
      <c r="M9" s="142">
        <v>46205</v>
      </c>
      <c r="N9" s="143">
        <v>46206</v>
      </c>
      <c r="O9" s="140">
        <v>46225</v>
      </c>
      <c r="P9" s="116">
        <f t="shared" si="0"/>
        <v>20</v>
      </c>
      <c r="Q9" s="116">
        <f t="shared" si="1"/>
        <v>-19</v>
      </c>
      <c r="R9" s="144">
        <v>8</v>
      </c>
    </row>
    <row r="10" spans="1:18">
      <c r="A10" s="108">
        <v>9</v>
      </c>
      <c r="B10" s="109" t="s">
        <v>149</v>
      </c>
      <c r="C10" s="112"/>
      <c r="D10" s="109" t="s">
        <v>131</v>
      </c>
      <c r="E10" s="112"/>
      <c r="F10" s="110" t="s">
        <v>150</v>
      </c>
      <c r="G10" s="111">
        <v>1</v>
      </c>
      <c r="H10" s="112" t="s">
        <v>66</v>
      </c>
      <c r="I10" s="118">
        <v>70000</v>
      </c>
      <c r="J10" s="119">
        <v>7000</v>
      </c>
      <c r="K10" s="118">
        <v>63000</v>
      </c>
      <c r="L10" s="113" t="s">
        <v>151</v>
      </c>
      <c r="M10" s="142">
        <v>46202</v>
      </c>
      <c r="N10" s="143">
        <v>46209</v>
      </c>
      <c r="O10" s="140">
        <v>46218</v>
      </c>
      <c r="P10" s="116">
        <f t="shared" si="0"/>
        <v>16</v>
      </c>
      <c r="Q10" s="116">
        <f t="shared" si="1"/>
        <v>-9</v>
      </c>
      <c r="R10" s="144">
        <v>9</v>
      </c>
    </row>
    <row r="11" spans="1:18">
      <c r="A11" s="108">
        <v>10</v>
      </c>
      <c r="B11" s="109" t="s">
        <v>149</v>
      </c>
      <c r="C11" s="112"/>
      <c r="D11" s="109" t="s">
        <v>131</v>
      </c>
      <c r="E11" s="112"/>
      <c r="F11" s="110" t="s">
        <v>152</v>
      </c>
      <c r="G11" s="111">
        <v>1</v>
      </c>
      <c r="H11" s="112" t="s">
        <v>66</v>
      </c>
      <c r="I11" s="118">
        <v>9900</v>
      </c>
      <c r="J11" s="119">
        <v>990</v>
      </c>
      <c r="K11" s="118">
        <v>8910</v>
      </c>
      <c r="L11" s="113" t="s">
        <v>153</v>
      </c>
      <c r="M11" s="142">
        <v>46202</v>
      </c>
      <c r="N11" s="143">
        <v>46209</v>
      </c>
      <c r="O11" s="140">
        <v>46218</v>
      </c>
      <c r="P11" s="116">
        <f t="shared" si="0"/>
        <v>16</v>
      </c>
      <c r="Q11" s="116">
        <f t="shared" si="1"/>
        <v>-9</v>
      </c>
      <c r="R11" s="144">
        <v>10</v>
      </c>
    </row>
    <row r="12" spans="1:18">
      <c r="A12" s="108">
        <v>11</v>
      </c>
      <c r="B12" s="109" t="s">
        <v>154</v>
      </c>
      <c r="C12" s="112"/>
      <c r="D12" s="109" t="s">
        <v>155</v>
      </c>
      <c r="E12" s="112"/>
      <c r="F12" s="110" t="s">
        <v>156</v>
      </c>
      <c r="G12" s="111">
        <v>1</v>
      </c>
      <c r="H12" s="112" t="s">
        <v>72</v>
      </c>
      <c r="I12" s="118">
        <v>25000</v>
      </c>
      <c r="J12" s="109"/>
      <c r="K12" s="118">
        <v>25000</v>
      </c>
      <c r="L12" s="113" t="s">
        <v>157</v>
      </c>
      <c r="M12" s="142">
        <v>46217</v>
      </c>
      <c r="N12" s="143">
        <v>46219</v>
      </c>
      <c r="O12" s="140">
        <v>46227</v>
      </c>
      <c r="P12" s="116">
        <f t="shared" si="0"/>
        <v>10</v>
      </c>
      <c r="Q12" s="116">
        <f t="shared" si="1"/>
        <v>-8</v>
      </c>
      <c r="R12" s="144">
        <v>11</v>
      </c>
    </row>
    <row r="13" spans="1:18">
      <c r="A13" s="108">
        <v>12</v>
      </c>
      <c r="B13" s="109" t="s">
        <v>154</v>
      </c>
      <c r="C13" s="112"/>
      <c r="D13" s="109" t="s">
        <v>155</v>
      </c>
      <c r="E13" s="112"/>
      <c r="F13" s="110" t="s">
        <v>158</v>
      </c>
      <c r="G13" s="111">
        <v>1</v>
      </c>
      <c r="H13" s="112" t="s">
        <v>90</v>
      </c>
      <c r="I13" s="109"/>
      <c r="J13" s="109"/>
      <c r="K13" s="109"/>
      <c r="L13" s="113" t="s">
        <v>157</v>
      </c>
      <c r="M13" s="142">
        <v>46217</v>
      </c>
      <c r="N13" s="143">
        <v>46219</v>
      </c>
      <c r="O13" s="140">
        <v>46227</v>
      </c>
      <c r="P13" s="116">
        <f t="shared" si="0"/>
        <v>10</v>
      </c>
      <c r="Q13" s="116">
        <f t="shared" si="1"/>
        <v>-8</v>
      </c>
      <c r="R13" s="144">
        <v>12</v>
      </c>
    </row>
    <row r="14" spans="1:18">
      <c r="A14" s="108">
        <v>13</v>
      </c>
      <c r="B14" s="109" t="s">
        <v>159</v>
      </c>
      <c r="C14" s="112"/>
      <c r="D14" s="109" t="s">
        <v>95</v>
      </c>
      <c r="E14" s="112"/>
      <c r="F14" s="110" t="s">
        <v>160</v>
      </c>
      <c r="G14" s="111">
        <v>4</v>
      </c>
      <c r="H14" s="112" t="s">
        <v>63</v>
      </c>
      <c r="I14" s="118">
        <v>448.88</v>
      </c>
      <c r="J14" s="109"/>
      <c r="K14" s="118">
        <v>1795.52</v>
      </c>
      <c r="L14" s="113" t="s">
        <v>161</v>
      </c>
      <c r="M14" s="142">
        <v>46216</v>
      </c>
      <c r="N14" s="143">
        <v>46220</v>
      </c>
      <c r="O14" s="140">
        <v>46227</v>
      </c>
      <c r="P14" s="116">
        <f t="shared" si="0"/>
        <v>11</v>
      </c>
      <c r="Q14" s="116">
        <f t="shared" si="1"/>
        <v>-7</v>
      </c>
      <c r="R14" s="144">
        <v>13</v>
      </c>
    </row>
    <row r="15" spans="1:18">
      <c r="A15" s="108">
        <v>14</v>
      </c>
      <c r="B15" s="109" t="s">
        <v>159</v>
      </c>
      <c r="C15" s="112"/>
      <c r="D15" s="109" t="s">
        <v>95</v>
      </c>
      <c r="E15" s="112"/>
      <c r="F15" s="110" t="s">
        <v>162</v>
      </c>
      <c r="G15" s="111">
        <v>1</v>
      </c>
      <c r="H15" s="112" t="s">
        <v>66</v>
      </c>
      <c r="I15" s="118">
        <v>1054.2</v>
      </c>
      <c r="J15" s="109"/>
      <c r="K15" s="118">
        <v>1054.2</v>
      </c>
      <c r="L15" s="113" t="s">
        <v>161</v>
      </c>
      <c r="M15" s="142">
        <v>46216</v>
      </c>
      <c r="N15" s="143">
        <v>46220</v>
      </c>
      <c r="O15" s="140">
        <v>46227</v>
      </c>
      <c r="P15" s="116">
        <f t="shared" si="0"/>
        <v>11</v>
      </c>
      <c r="Q15" s="116">
        <f t="shared" si="1"/>
        <v>-7</v>
      </c>
      <c r="R15" s="144">
        <v>14</v>
      </c>
    </row>
    <row r="16" spans="1:18">
      <c r="A16" s="108">
        <v>15</v>
      </c>
      <c r="B16" s="109" t="s">
        <v>163</v>
      </c>
      <c r="C16" s="112" t="s">
        <v>164</v>
      </c>
      <c r="D16" s="109" t="s">
        <v>165</v>
      </c>
      <c r="E16" s="112" t="s">
        <v>166</v>
      </c>
      <c r="F16" s="110" t="s">
        <v>167</v>
      </c>
      <c r="G16" s="111">
        <v>2</v>
      </c>
      <c r="H16" s="112" t="s">
        <v>168</v>
      </c>
      <c r="I16" s="118">
        <v>1785</v>
      </c>
      <c r="J16" s="109"/>
      <c r="K16" s="118">
        <v>3570</v>
      </c>
      <c r="L16" s="113" t="s">
        <v>169</v>
      </c>
      <c r="M16" s="142">
        <v>46219</v>
      </c>
      <c r="N16" s="143">
        <v>46226</v>
      </c>
      <c r="O16" s="140">
        <v>46233</v>
      </c>
      <c r="P16" s="116">
        <f t="shared" si="0"/>
        <v>14</v>
      </c>
      <c r="Q16" s="116">
        <f t="shared" si="1"/>
        <v>-7</v>
      </c>
      <c r="R16" s="144">
        <v>15</v>
      </c>
    </row>
    <row r="17" spans="1:18">
      <c r="A17" s="108">
        <v>16</v>
      </c>
      <c r="B17" s="109" t="s">
        <v>170</v>
      </c>
      <c r="C17" s="112"/>
      <c r="D17" s="109" t="s">
        <v>94</v>
      </c>
      <c r="E17" s="112"/>
      <c r="F17" s="110" t="s">
        <v>171</v>
      </c>
      <c r="G17" s="111">
        <v>8</v>
      </c>
      <c r="H17" s="112" t="s">
        <v>66</v>
      </c>
      <c r="I17" s="118">
        <v>37</v>
      </c>
      <c r="J17" s="119">
        <v>29.6</v>
      </c>
      <c r="K17" s="118">
        <v>266.39999999999998</v>
      </c>
      <c r="L17" s="113" t="s">
        <v>172</v>
      </c>
      <c r="M17" s="142">
        <v>46216</v>
      </c>
      <c r="N17" s="143">
        <v>46220</v>
      </c>
      <c r="O17" s="140">
        <v>46226</v>
      </c>
      <c r="P17" s="116">
        <f t="shared" si="0"/>
        <v>10</v>
      </c>
      <c r="Q17" s="116">
        <f t="shared" si="1"/>
        <v>-6</v>
      </c>
      <c r="R17" s="144">
        <v>16</v>
      </c>
    </row>
    <row r="18" spans="1:18">
      <c r="A18" s="108">
        <v>17</v>
      </c>
      <c r="B18" s="109" t="s">
        <v>170</v>
      </c>
      <c r="C18" s="112"/>
      <c r="D18" s="109" t="s">
        <v>94</v>
      </c>
      <c r="E18" s="112"/>
      <c r="F18" s="110" t="s">
        <v>173</v>
      </c>
      <c r="G18" s="111">
        <v>16</v>
      </c>
      <c r="H18" s="112" t="s">
        <v>66</v>
      </c>
      <c r="I18" s="118">
        <v>2.25</v>
      </c>
      <c r="J18" s="119">
        <v>3.6</v>
      </c>
      <c r="K18" s="118">
        <v>32.4</v>
      </c>
      <c r="L18" s="113" t="s">
        <v>172</v>
      </c>
      <c r="M18" s="142">
        <v>46216</v>
      </c>
      <c r="N18" s="143">
        <v>46220</v>
      </c>
      <c r="O18" s="140">
        <v>46226</v>
      </c>
      <c r="P18" s="116">
        <f t="shared" si="0"/>
        <v>10</v>
      </c>
      <c r="Q18" s="116">
        <f t="shared" si="1"/>
        <v>-6</v>
      </c>
      <c r="R18" s="144">
        <v>17</v>
      </c>
    </row>
    <row r="19" spans="1:18">
      <c r="A19" s="108">
        <v>18</v>
      </c>
      <c r="B19" s="109" t="s">
        <v>170</v>
      </c>
      <c r="C19" s="112"/>
      <c r="D19" s="109" t="s">
        <v>94</v>
      </c>
      <c r="E19" s="112"/>
      <c r="F19" s="110" t="s">
        <v>174</v>
      </c>
      <c r="G19" s="111">
        <v>2</v>
      </c>
      <c r="H19" s="112" t="s">
        <v>66</v>
      </c>
      <c r="I19" s="118">
        <v>6</v>
      </c>
      <c r="J19" s="119">
        <v>1.2</v>
      </c>
      <c r="K19" s="118">
        <v>10.8</v>
      </c>
      <c r="L19" s="113" t="s">
        <v>172</v>
      </c>
      <c r="M19" s="142">
        <v>46216</v>
      </c>
      <c r="N19" s="143">
        <v>46220</v>
      </c>
      <c r="O19" s="140">
        <v>46226</v>
      </c>
      <c r="P19" s="116">
        <f t="shared" si="0"/>
        <v>10</v>
      </c>
      <c r="Q19" s="116">
        <f t="shared" si="1"/>
        <v>-6</v>
      </c>
      <c r="R19" s="144">
        <v>18</v>
      </c>
    </row>
    <row r="20" spans="1:18">
      <c r="A20" s="108">
        <v>19</v>
      </c>
      <c r="B20" s="109" t="s">
        <v>170</v>
      </c>
      <c r="C20" s="112"/>
      <c r="D20" s="109" t="s">
        <v>94</v>
      </c>
      <c r="E20" s="112"/>
      <c r="F20" s="110" t="s">
        <v>175</v>
      </c>
      <c r="G20" s="111">
        <v>8</v>
      </c>
      <c r="H20" s="112" t="s">
        <v>66</v>
      </c>
      <c r="I20" s="118">
        <v>42.5</v>
      </c>
      <c r="J20" s="119">
        <v>34</v>
      </c>
      <c r="K20" s="118">
        <v>306</v>
      </c>
      <c r="L20" s="113" t="s">
        <v>172</v>
      </c>
      <c r="M20" s="142">
        <v>46216</v>
      </c>
      <c r="N20" s="143">
        <v>46220</v>
      </c>
      <c r="O20" s="140">
        <v>46226</v>
      </c>
      <c r="P20" s="116">
        <f t="shared" si="0"/>
        <v>10</v>
      </c>
      <c r="Q20" s="116">
        <f t="shared" si="1"/>
        <v>-6</v>
      </c>
      <c r="R20" s="144">
        <v>19</v>
      </c>
    </row>
    <row r="21" spans="1:18">
      <c r="A21" s="108">
        <v>20</v>
      </c>
      <c r="B21" s="109" t="s">
        <v>170</v>
      </c>
      <c r="C21" s="112"/>
      <c r="D21" s="109" t="s">
        <v>94</v>
      </c>
      <c r="E21" s="112"/>
      <c r="F21" s="110" t="s">
        <v>176</v>
      </c>
      <c r="G21" s="111">
        <v>8</v>
      </c>
      <c r="H21" s="112" t="s">
        <v>66</v>
      </c>
      <c r="I21" s="118">
        <v>100</v>
      </c>
      <c r="J21" s="119">
        <v>80</v>
      </c>
      <c r="K21" s="118">
        <v>720</v>
      </c>
      <c r="L21" s="113" t="s">
        <v>172</v>
      </c>
      <c r="M21" s="142">
        <v>46216</v>
      </c>
      <c r="N21" s="143">
        <v>46220</v>
      </c>
      <c r="O21" s="140">
        <v>46226</v>
      </c>
      <c r="P21" s="116">
        <f t="shared" si="0"/>
        <v>10</v>
      </c>
      <c r="Q21" s="116">
        <f t="shared" si="1"/>
        <v>-6</v>
      </c>
      <c r="R21" s="144">
        <v>20</v>
      </c>
    </row>
    <row r="22" spans="1:18">
      <c r="A22" s="108">
        <v>21</v>
      </c>
      <c r="B22" s="109" t="s">
        <v>170</v>
      </c>
      <c r="C22" s="112"/>
      <c r="D22" s="109" t="s">
        <v>94</v>
      </c>
      <c r="E22" s="112"/>
      <c r="F22" s="110" t="s">
        <v>177</v>
      </c>
      <c r="G22" s="111">
        <v>8</v>
      </c>
      <c r="H22" s="112" t="s">
        <v>66</v>
      </c>
      <c r="I22" s="118">
        <v>2</v>
      </c>
      <c r="J22" s="119">
        <v>1.6</v>
      </c>
      <c r="K22" s="118">
        <v>14.4</v>
      </c>
      <c r="L22" s="113" t="s">
        <v>172</v>
      </c>
      <c r="M22" s="142">
        <v>46216</v>
      </c>
      <c r="N22" s="143">
        <v>46220</v>
      </c>
      <c r="O22" s="140">
        <v>46226</v>
      </c>
      <c r="P22" s="116">
        <f t="shared" si="0"/>
        <v>10</v>
      </c>
      <c r="Q22" s="116">
        <f t="shared" si="1"/>
        <v>-6</v>
      </c>
      <c r="R22" s="144">
        <v>21</v>
      </c>
    </row>
    <row r="23" spans="1:18">
      <c r="A23" s="108">
        <v>22</v>
      </c>
      <c r="B23" s="109" t="s">
        <v>170</v>
      </c>
      <c r="C23" s="112"/>
      <c r="D23" s="109" t="s">
        <v>94</v>
      </c>
      <c r="E23" s="112"/>
      <c r="F23" s="110" t="s">
        <v>178</v>
      </c>
      <c r="G23" s="111">
        <v>8</v>
      </c>
      <c r="H23" s="112" t="s">
        <v>66</v>
      </c>
      <c r="I23" s="118">
        <v>4</v>
      </c>
      <c r="J23" s="119">
        <v>3.2</v>
      </c>
      <c r="K23" s="118">
        <v>28.8</v>
      </c>
      <c r="L23" s="113" t="s">
        <v>172</v>
      </c>
      <c r="M23" s="142">
        <v>46216</v>
      </c>
      <c r="N23" s="143">
        <v>46220</v>
      </c>
      <c r="O23" s="140">
        <v>46226</v>
      </c>
      <c r="P23" s="116">
        <f t="shared" si="0"/>
        <v>10</v>
      </c>
      <c r="Q23" s="116">
        <f t="shared" si="1"/>
        <v>-6</v>
      </c>
      <c r="R23" s="144">
        <v>22</v>
      </c>
    </row>
    <row r="24" spans="1:18">
      <c r="A24" s="108">
        <v>23</v>
      </c>
      <c r="B24" s="109" t="s">
        <v>159</v>
      </c>
      <c r="C24" s="112"/>
      <c r="D24" s="109" t="s">
        <v>95</v>
      </c>
      <c r="E24" s="112"/>
      <c r="F24" s="110" t="s">
        <v>179</v>
      </c>
      <c r="G24" s="111">
        <v>2</v>
      </c>
      <c r="H24" s="112" t="s">
        <v>66</v>
      </c>
      <c r="I24" s="118">
        <v>168.93</v>
      </c>
      <c r="J24" s="109"/>
      <c r="K24" s="118">
        <v>337.86</v>
      </c>
      <c r="L24" s="113" t="s">
        <v>161</v>
      </c>
      <c r="M24" s="142">
        <v>46216</v>
      </c>
      <c r="N24" s="143">
        <v>46220</v>
      </c>
      <c r="O24" s="140">
        <v>46226</v>
      </c>
      <c r="P24" s="116">
        <f t="shared" si="0"/>
        <v>10</v>
      </c>
      <c r="Q24" s="116">
        <f t="shared" si="1"/>
        <v>-6</v>
      </c>
      <c r="R24" s="144">
        <v>23</v>
      </c>
    </row>
    <row r="25" spans="1:18">
      <c r="A25" s="108">
        <v>24</v>
      </c>
      <c r="B25" s="109" t="s">
        <v>159</v>
      </c>
      <c r="C25" s="112"/>
      <c r="D25" s="109" t="s">
        <v>95</v>
      </c>
      <c r="E25" s="112"/>
      <c r="F25" s="110" t="s">
        <v>180</v>
      </c>
      <c r="G25" s="111">
        <v>1</v>
      </c>
      <c r="H25" s="112" t="s">
        <v>66</v>
      </c>
      <c r="I25" s="118">
        <v>371.28</v>
      </c>
      <c r="J25" s="109"/>
      <c r="K25" s="118">
        <f>G25*I25</f>
        <v>371.28</v>
      </c>
      <c r="L25" s="113" t="s">
        <v>161</v>
      </c>
      <c r="M25" s="142">
        <v>46216</v>
      </c>
      <c r="N25" s="143">
        <v>46220</v>
      </c>
      <c r="O25" s="140">
        <v>46226</v>
      </c>
      <c r="P25" s="116">
        <f t="shared" si="0"/>
        <v>10</v>
      </c>
      <c r="Q25" s="116">
        <f t="shared" si="1"/>
        <v>-6</v>
      </c>
      <c r="R25" s="144">
        <v>24</v>
      </c>
    </row>
    <row r="26" spans="1:18">
      <c r="A26" s="108">
        <v>25</v>
      </c>
      <c r="B26" s="109" t="s">
        <v>159</v>
      </c>
      <c r="C26" s="112"/>
      <c r="D26" s="109" t="s">
        <v>95</v>
      </c>
      <c r="E26" s="112"/>
      <c r="F26" s="110" t="s">
        <v>181</v>
      </c>
      <c r="G26" s="111">
        <v>4</v>
      </c>
      <c r="H26" s="112" t="s">
        <v>66</v>
      </c>
      <c r="I26" s="118">
        <v>347.43</v>
      </c>
      <c r="J26" s="109"/>
      <c r="K26" s="118">
        <v>1389.72</v>
      </c>
      <c r="L26" s="113" t="s">
        <v>161</v>
      </c>
      <c r="M26" s="142">
        <v>46216</v>
      </c>
      <c r="N26" s="143">
        <v>46220</v>
      </c>
      <c r="O26" s="140">
        <v>46226</v>
      </c>
      <c r="P26" s="116">
        <f t="shared" si="0"/>
        <v>10</v>
      </c>
      <c r="Q26" s="116">
        <f t="shared" si="1"/>
        <v>-6</v>
      </c>
      <c r="R26" s="144">
        <v>25</v>
      </c>
    </row>
    <row r="27" spans="1:18">
      <c r="A27" s="108">
        <v>26</v>
      </c>
      <c r="B27" s="109" t="s">
        <v>159</v>
      </c>
      <c r="C27" s="112"/>
      <c r="D27" s="109" t="s">
        <v>95</v>
      </c>
      <c r="E27" s="112"/>
      <c r="F27" s="110" t="s">
        <v>182</v>
      </c>
      <c r="G27" s="111">
        <v>20</v>
      </c>
      <c r="H27" s="112" t="s">
        <v>66</v>
      </c>
      <c r="I27" s="118">
        <v>329.15</v>
      </c>
      <c r="J27" s="109"/>
      <c r="K27" s="118">
        <v>6583</v>
      </c>
      <c r="L27" s="113" t="s">
        <v>161</v>
      </c>
      <c r="M27" s="142">
        <v>46216</v>
      </c>
      <c r="N27" s="143">
        <v>46220</v>
      </c>
      <c r="O27" s="140">
        <v>46226</v>
      </c>
      <c r="P27" s="116">
        <f t="shared" si="0"/>
        <v>10</v>
      </c>
      <c r="Q27" s="116">
        <f t="shared" si="1"/>
        <v>-6</v>
      </c>
      <c r="R27" s="144">
        <v>26</v>
      </c>
    </row>
    <row r="28" spans="1:18">
      <c r="A28" s="108">
        <v>27</v>
      </c>
      <c r="B28" s="109" t="s">
        <v>159</v>
      </c>
      <c r="C28" s="112"/>
      <c r="D28" s="109" t="s">
        <v>95</v>
      </c>
      <c r="E28" s="112"/>
      <c r="F28" s="110" t="s">
        <v>183</v>
      </c>
      <c r="G28" s="111">
        <v>1</v>
      </c>
      <c r="H28" s="112" t="s">
        <v>66</v>
      </c>
      <c r="I28" s="118">
        <v>3169.83</v>
      </c>
      <c r="J28" s="109"/>
      <c r="K28" s="118">
        <v>3169.83</v>
      </c>
      <c r="L28" s="113" t="s">
        <v>161</v>
      </c>
      <c r="M28" s="142">
        <v>46216</v>
      </c>
      <c r="N28" s="143">
        <v>46220</v>
      </c>
      <c r="O28" s="140">
        <v>46226</v>
      </c>
      <c r="P28" s="116">
        <f t="shared" si="0"/>
        <v>10</v>
      </c>
      <c r="Q28" s="116">
        <f t="shared" si="1"/>
        <v>-6</v>
      </c>
      <c r="R28" s="144">
        <v>27</v>
      </c>
    </row>
    <row r="29" spans="1:18">
      <c r="A29" s="108">
        <v>28</v>
      </c>
      <c r="B29" s="109" t="s">
        <v>159</v>
      </c>
      <c r="C29" s="112"/>
      <c r="D29" s="109" t="s">
        <v>95</v>
      </c>
      <c r="E29" s="112"/>
      <c r="F29" s="110" t="s">
        <v>184</v>
      </c>
      <c r="G29" s="111">
        <v>2</v>
      </c>
      <c r="H29" s="112" t="s">
        <v>66</v>
      </c>
      <c r="I29" s="118">
        <v>386.75</v>
      </c>
      <c r="J29" s="109"/>
      <c r="K29" s="118">
        <v>773.5</v>
      </c>
      <c r="L29" s="113" t="s">
        <v>161</v>
      </c>
      <c r="M29" s="142">
        <v>46216</v>
      </c>
      <c r="N29" s="143">
        <v>46220</v>
      </c>
      <c r="O29" s="140">
        <v>46226</v>
      </c>
      <c r="P29" s="116">
        <f t="shared" si="0"/>
        <v>10</v>
      </c>
      <c r="Q29" s="116">
        <f t="shared" si="1"/>
        <v>-6</v>
      </c>
      <c r="R29" s="144">
        <v>28</v>
      </c>
    </row>
    <row r="30" spans="1:18">
      <c r="A30" s="108">
        <v>29</v>
      </c>
      <c r="B30" s="109" t="s">
        <v>185</v>
      </c>
      <c r="C30" s="112"/>
      <c r="D30" s="109" t="s">
        <v>114</v>
      </c>
      <c r="E30" s="112"/>
      <c r="F30" s="110" t="s">
        <v>186</v>
      </c>
      <c r="G30" s="111">
        <v>3</v>
      </c>
      <c r="H30" s="112" t="s">
        <v>72</v>
      </c>
      <c r="I30" s="118">
        <v>6540</v>
      </c>
      <c r="J30" s="109"/>
      <c r="K30" s="118">
        <v>19620</v>
      </c>
      <c r="L30" s="113" t="s">
        <v>187</v>
      </c>
      <c r="M30" s="142">
        <v>46213</v>
      </c>
      <c r="N30" s="143">
        <v>46218</v>
      </c>
      <c r="O30" s="140">
        <v>46223</v>
      </c>
      <c r="P30" s="116">
        <f t="shared" si="0"/>
        <v>10</v>
      </c>
      <c r="Q30" s="116">
        <f t="shared" si="1"/>
        <v>-5</v>
      </c>
      <c r="R30" s="144">
        <v>29</v>
      </c>
    </row>
    <row r="31" spans="1:18">
      <c r="A31" s="108">
        <v>30</v>
      </c>
      <c r="B31" s="109" t="s">
        <v>188</v>
      </c>
      <c r="C31" s="112"/>
      <c r="D31" s="109" t="s">
        <v>189</v>
      </c>
      <c r="E31" s="112"/>
      <c r="F31" s="110" t="s">
        <v>190</v>
      </c>
      <c r="G31" s="111">
        <v>1</v>
      </c>
      <c r="H31" s="112" t="s">
        <v>66</v>
      </c>
      <c r="I31" s="118">
        <v>4500</v>
      </c>
      <c r="J31" s="109"/>
      <c r="K31" s="118">
        <v>4500</v>
      </c>
      <c r="L31" s="113" t="s">
        <v>191</v>
      </c>
      <c r="M31" s="142">
        <v>46213</v>
      </c>
      <c r="N31" s="143">
        <v>46219</v>
      </c>
      <c r="O31" s="140">
        <v>46224</v>
      </c>
      <c r="P31" s="116">
        <f t="shared" si="0"/>
        <v>11</v>
      </c>
      <c r="Q31" s="116">
        <f t="shared" si="1"/>
        <v>-5</v>
      </c>
      <c r="R31" s="144">
        <v>30</v>
      </c>
    </row>
    <row r="32" spans="1:18">
      <c r="A32" s="108">
        <v>31</v>
      </c>
      <c r="B32" s="109" t="s">
        <v>188</v>
      </c>
      <c r="C32" s="112"/>
      <c r="D32" s="109" t="s">
        <v>189</v>
      </c>
      <c r="E32" s="112"/>
      <c r="F32" s="110" t="s">
        <v>192</v>
      </c>
      <c r="G32" s="111">
        <v>4</v>
      </c>
      <c r="H32" s="112" t="s">
        <v>66</v>
      </c>
      <c r="I32" s="118">
        <v>2250</v>
      </c>
      <c r="J32" s="109"/>
      <c r="K32" s="118">
        <v>9000</v>
      </c>
      <c r="L32" s="113" t="s">
        <v>191</v>
      </c>
      <c r="M32" s="142">
        <v>46213</v>
      </c>
      <c r="N32" s="143">
        <v>46219</v>
      </c>
      <c r="O32" s="140">
        <v>46224</v>
      </c>
      <c r="P32" s="116">
        <f t="shared" si="0"/>
        <v>11</v>
      </c>
      <c r="Q32" s="116">
        <f t="shared" si="1"/>
        <v>-5</v>
      </c>
      <c r="R32" s="144">
        <v>31</v>
      </c>
    </row>
    <row r="33" spans="1:18">
      <c r="A33" s="108">
        <v>32</v>
      </c>
      <c r="B33" s="109" t="s">
        <v>159</v>
      </c>
      <c r="C33" s="112"/>
      <c r="D33" s="109" t="s">
        <v>95</v>
      </c>
      <c r="E33" s="112"/>
      <c r="F33" s="110" t="s">
        <v>193</v>
      </c>
      <c r="G33" s="111">
        <v>6</v>
      </c>
      <c r="H33" s="112" t="s">
        <v>63</v>
      </c>
      <c r="I33" s="118">
        <v>87.7</v>
      </c>
      <c r="J33" s="109"/>
      <c r="K33" s="118">
        <v>526.20000000000005</v>
      </c>
      <c r="L33" s="113" t="s">
        <v>161</v>
      </c>
      <c r="M33" s="142">
        <v>46216</v>
      </c>
      <c r="N33" s="143">
        <v>46220</v>
      </c>
      <c r="O33" s="140">
        <v>46225</v>
      </c>
      <c r="P33" s="116">
        <f t="shared" si="0"/>
        <v>9</v>
      </c>
      <c r="Q33" s="116">
        <f t="shared" si="1"/>
        <v>-5</v>
      </c>
      <c r="R33" s="144">
        <v>32</v>
      </c>
    </row>
    <row r="34" spans="1:18">
      <c r="A34" s="108">
        <v>33</v>
      </c>
      <c r="B34" s="109" t="s">
        <v>194</v>
      </c>
      <c r="C34" s="112"/>
      <c r="D34" s="109" t="s">
        <v>73</v>
      </c>
      <c r="E34" s="112"/>
      <c r="F34" s="110" t="s">
        <v>195</v>
      </c>
      <c r="G34" s="111">
        <v>1</v>
      </c>
      <c r="H34" s="112" t="s">
        <v>66</v>
      </c>
      <c r="I34" s="118">
        <v>440</v>
      </c>
      <c r="J34" s="109"/>
      <c r="K34" s="118">
        <v>440</v>
      </c>
      <c r="L34" s="113" t="s">
        <v>196</v>
      </c>
      <c r="M34" s="142">
        <v>46203</v>
      </c>
      <c r="N34" s="143">
        <v>46209</v>
      </c>
      <c r="O34" s="140">
        <v>46209</v>
      </c>
      <c r="P34" s="116">
        <f t="shared" si="0"/>
        <v>6</v>
      </c>
      <c r="Q34" s="116">
        <f t="shared" si="1"/>
        <v>0</v>
      </c>
      <c r="R34" s="144"/>
    </row>
    <row r="35" spans="1:18">
      <c r="A35" s="108">
        <v>34</v>
      </c>
      <c r="B35" s="109" t="s">
        <v>197</v>
      </c>
      <c r="C35" s="112"/>
      <c r="D35" s="109" t="s">
        <v>70</v>
      </c>
      <c r="E35" s="112"/>
      <c r="F35" s="110" t="s">
        <v>198</v>
      </c>
      <c r="G35" s="111">
        <v>1</v>
      </c>
      <c r="H35" s="112" t="s">
        <v>168</v>
      </c>
      <c r="I35" s="118">
        <v>4720</v>
      </c>
      <c r="J35" s="109"/>
      <c r="K35" s="118">
        <v>4720</v>
      </c>
      <c r="L35" s="113" t="s">
        <v>199</v>
      </c>
      <c r="M35" s="142">
        <v>46205</v>
      </c>
      <c r="N35" s="143">
        <v>46209</v>
      </c>
      <c r="O35" s="140">
        <v>46209</v>
      </c>
      <c r="P35" s="116">
        <f t="shared" si="0"/>
        <v>4</v>
      </c>
      <c r="Q35" s="116">
        <f t="shared" si="1"/>
        <v>0</v>
      </c>
      <c r="R35" s="144"/>
    </row>
    <row r="36" spans="1:18">
      <c r="A36" s="108">
        <v>35</v>
      </c>
      <c r="B36" s="109" t="s">
        <v>101</v>
      </c>
      <c r="C36" s="112"/>
      <c r="D36" s="109" t="s">
        <v>82</v>
      </c>
      <c r="E36" s="112"/>
      <c r="F36" s="110" t="s">
        <v>200</v>
      </c>
      <c r="G36" s="111">
        <v>1</v>
      </c>
      <c r="H36" s="112" t="s">
        <v>66</v>
      </c>
      <c r="I36" s="118">
        <v>9500</v>
      </c>
      <c r="J36" s="111">
        <v>475</v>
      </c>
      <c r="K36" s="118">
        <v>9025</v>
      </c>
      <c r="L36" s="113" t="s">
        <v>201</v>
      </c>
      <c r="M36" s="142">
        <v>46196</v>
      </c>
      <c r="N36" s="143">
        <v>46213</v>
      </c>
      <c r="O36" s="140">
        <v>46213</v>
      </c>
      <c r="P36" s="116">
        <f t="shared" si="0"/>
        <v>17</v>
      </c>
      <c r="Q36" s="116">
        <f t="shared" si="1"/>
        <v>0</v>
      </c>
      <c r="R36" s="144"/>
    </row>
    <row r="37" spans="1:18">
      <c r="A37" s="108">
        <v>36</v>
      </c>
      <c r="B37" s="109" t="s">
        <v>101</v>
      </c>
      <c r="C37" s="112"/>
      <c r="D37" s="109" t="s">
        <v>82</v>
      </c>
      <c r="E37" s="112"/>
      <c r="F37" s="110" t="s">
        <v>202</v>
      </c>
      <c r="G37" s="111">
        <v>1</v>
      </c>
      <c r="H37" s="112" t="s">
        <v>66</v>
      </c>
      <c r="I37" s="118">
        <v>3500</v>
      </c>
      <c r="J37" s="111">
        <v>175</v>
      </c>
      <c r="K37" s="118">
        <v>3325</v>
      </c>
      <c r="L37" s="113" t="s">
        <v>201</v>
      </c>
      <c r="M37" s="142">
        <v>46196</v>
      </c>
      <c r="N37" s="143">
        <v>46213</v>
      </c>
      <c r="O37" s="140">
        <v>46213</v>
      </c>
      <c r="P37" s="116">
        <f t="shared" si="0"/>
        <v>17</v>
      </c>
      <c r="Q37" s="116">
        <f t="shared" si="1"/>
        <v>0</v>
      </c>
      <c r="R37" s="144"/>
    </row>
    <row r="38" spans="1:18">
      <c r="A38" s="108">
        <v>37</v>
      </c>
      <c r="B38" s="109" t="s">
        <v>203</v>
      </c>
      <c r="C38" s="112"/>
      <c r="D38" s="109" t="s">
        <v>68</v>
      </c>
      <c r="E38" s="112"/>
      <c r="F38" s="110" t="s">
        <v>204</v>
      </c>
      <c r="G38" s="111">
        <v>4</v>
      </c>
      <c r="H38" s="112" t="s">
        <v>66</v>
      </c>
      <c r="I38" s="118">
        <v>6195</v>
      </c>
      <c r="J38" s="119">
        <v>4956</v>
      </c>
      <c r="K38" s="118">
        <v>19824</v>
      </c>
      <c r="L38" s="113" t="s">
        <v>205</v>
      </c>
      <c r="M38" s="142">
        <v>46204</v>
      </c>
      <c r="N38" s="143">
        <v>46216</v>
      </c>
      <c r="O38" s="140">
        <v>46216</v>
      </c>
      <c r="P38" s="116">
        <f t="shared" si="0"/>
        <v>12</v>
      </c>
      <c r="Q38" s="116">
        <f t="shared" si="1"/>
        <v>0</v>
      </c>
      <c r="R38" s="144"/>
    </row>
    <row r="39" spans="1:18">
      <c r="A39" s="108">
        <v>38</v>
      </c>
      <c r="B39" s="109" t="s">
        <v>159</v>
      </c>
      <c r="C39" s="112"/>
      <c r="D39" s="109" t="s">
        <v>95</v>
      </c>
      <c r="E39" s="112"/>
      <c r="F39" s="110" t="s">
        <v>206</v>
      </c>
      <c r="G39" s="111">
        <v>49</v>
      </c>
      <c r="H39" s="112" t="s">
        <v>66</v>
      </c>
      <c r="I39" s="118">
        <v>51.6</v>
      </c>
      <c r="J39" s="109"/>
      <c r="K39" s="118">
        <v>2528.4</v>
      </c>
      <c r="L39" s="113" t="s">
        <v>161</v>
      </c>
      <c r="M39" s="142">
        <v>46216</v>
      </c>
      <c r="N39" s="143">
        <v>46223</v>
      </c>
      <c r="O39" s="140">
        <v>46223</v>
      </c>
      <c r="P39" s="116">
        <f t="shared" si="0"/>
        <v>7</v>
      </c>
      <c r="Q39" s="116">
        <f t="shared" si="1"/>
        <v>0</v>
      </c>
      <c r="R39" s="144"/>
    </row>
    <row r="40" spans="1:18">
      <c r="A40" s="108">
        <v>39</v>
      </c>
      <c r="B40" s="109" t="s">
        <v>159</v>
      </c>
      <c r="C40" s="112"/>
      <c r="D40" s="109" t="s">
        <v>95</v>
      </c>
      <c r="E40" s="112"/>
      <c r="F40" s="110" t="s">
        <v>207</v>
      </c>
      <c r="G40" s="111">
        <v>1</v>
      </c>
      <c r="H40" s="112" t="s">
        <v>66</v>
      </c>
      <c r="I40" s="118">
        <v>515.97</v>
      </c>
      <c r="J40" s="109"/>
      <c r="K40" s="118">
        <v>515.97</v>
      </c>
      <c r="L40" s="113" t="s">
        <v>161</v>
      </c>
      <c r="M40" s="142">
        <v>46216</v>
      </c>
      <c r="N40" s="143">
        <v>46223</v>
      </c>
      <c r="O40" s="140">
        <v>46223</v>
      </c>
      <c r="P40" s="116">
        <f t="shared" si="0"/>
        <v>7</v>
      </c>
      <c r="Q40" s="116">
        <f t="shared" si="1"/>
        <v>0</v>
      </c>
      <c r="R40" s="144"/>
    </row>
    <row r="41" spans="1:18">
      <c r="A41" s="108">
        <v>40</v>
      </c>
      <c r="B41" s="109" t="s">
        <v>159</v>
      </c>
      <c r="C41" s="112"/>
      <c r="D41" s="109" t="s">
        <v>95</v>
      </c>
      <c r="E41" s="112"/>
      <c r="F41" s="110" t="s">
        <v>208</v>
      </c>
      <c r="G41" s="111">
        <v>4</v>
      </c>
      <c r="H41" s="112" t="s">
        <v>66</v>
      </c>
      <c r="I41" s="118">
        <v>30</v>
      </c>
      <c r="J41" s="109"/>
      <c r="K41" s="118">
        <v>120</v>
      </c>
      <c r="L41" s="113" t="s">
        <v>161</v>
      </c>
      <c r="M41" s="142">
        <v>46216</v>
      </c>
      <c r="N41" s="143">
        <v>46223</v>
      </c>
      <c r="O41" s="140">
        <v>46223</v>
      </c>
      <c r="P41" s="116">
        <f t="shared" si="0"/>
        <v>7</v>
      </c>
      <c r="Q41" s="116">
        <f t="shared" si="1"/>
        <v>0</v>
      </c>
      <c r="R41" s="144"/>
    </row>
    <row r="42" spans="1:18">
      <c r="A42" s="108">
        <v>41</v>
      </c>
      <c r="B42" s="109" t="s">
        <v>159</v>
      </c>
      <c r="C42" s="112"/>
      <c r="D42" s="109" t="s">
        <v>95</v>
      </c>
      <c r="E42" s="112"/>
      <c r="F42" s="110" t="s">
        <v>209</v>
      </c>
      <c r="G42" s="111">
        <v>24</v>
      </c>
      <c r="H42" s="112" t="s">
        <v>66</v>
      </c>
      <c r="I42" s="118">
        <v>46.7</v>
      </c>
      <c r="J42" s="109"/>
      <c r="K42" s="118">
        <v>1120.8</v>
      </c>
      <c r="L42" s="113" t="s">
        <v>161</v>
      </c>
      <c r="M42" s="142">
        <v>46216</v>
      </c>
      <c r="N42" s="143">
        <v>46223</v>
      </c>
      <c r="O42" s="140">
        <v>46223</v>
      </c>
      <c r="P42" s="116">
        <f t="shared" si="0"/>
        <v>7</v>
      </c>
      <c r="Q42" s="116">
        <f t="shared" si="1"/>
        <v>0</v>
      </c>
      <c r="R42" s="144"/>
    </row>
    <row r="43" spans="1:18">
      <c r="A43" s="108">
        <v>42</v>
      </c>
      <c r="B43" s="109" t="s">
        <v>159</v>
      </c>
      <c r="C43" s="112"/>
      <c r="D43" s="109" t="s">
        <v>95</v>
      </c>
      <c r="E43" s="112"/>
      <c r="F43" s="110" t="s">
        <v>210</v>
      </c>
      <c r="G43" s="111">
        <v>1</v>
      </c>
      <c r="H43" s="112" t="s">
        <v>66</v>
      </c>
      <c r="I43" s="118">
        <v>110.01</v>
      </c>
      <c r="J43" s="109"/>
      <c r="K43" s="118">
        <v>110.01</v>
      </c>
      <c r="L43" s="113" t="s">
        <v>161</v>
      </c>
      <c r="M43" s="142">
        <v>46216</v>
      </c>
      <c r="N43" s="143">
        <v>46223</v>
      </c>
      <c r="O43" s="140">
        <v>46223</v>
      </c>
      <c r="P43" s="116">
        <f t="shared" si="0"/>
        <v>7</v>
      </c>
      <c r="Q43" s="116">
        <f t="shared" si="1"/>
        <v>0</v>
      </c>
      <c r="R43" s="144"/>
    </row>
    <row r="44" spans="1:18">
      <c r="A44" s="108">
        <v>43</v>
      </c>
      <c r="B44" s="109" t="s">
        <v>159</v>
      </c>
      <c r="C44" s="112"/>
      <c r="D44" s="109" t="s">
        <v>95</v>
      </c>
      <c r="E44" s="112"/>
      <c r="F44" s="110" t="s">
        <v>180</v>
      </c>
      <c r="G44" s="111">
        <v>3</v>
      </c>
      <c r="H44" s="112" t="s">
        <v>66</v>
      </c>
      <c r="I44" s="118">
        <v>371.28</v>
      </c>
      <c r="J44" s="109"/>
      <c r="K44" s="118">
        <f>G44*I44</f>
        <v>1113.8399999999999</v>
      </c>
      <c r="L44" s="113" t="s">
        <v>161</v>
      </c>
      <c r="M44" s="142">
        <v>46216</v>
      </c>
      <c r="N44" s="143">
        <v>46223</v>
      </c>
      <c r="O44" s="140">
        <v>46223</v>
      </c>
      <c r="P44" s="116">
        <f t="shared" si="0"/>
        <v>7</v>
      </c>
      <c r="Q44" s="116">
        <f t="shared" si="1"/>
        <v>0</v>
      </c>
      <c r="R44" s="144"/>
    </row>
    <row r="45" spans="1:18">
      <c r="A45" s="108">
        <v>44</v>
      </c>
      <c r="B45" s="109" t="s">
        <v>211</v>
      </c>
      <c r="C45" s="112"/>
      <c r="D45" s="109" t="s">
        <v>95</v>
      </c>
      <c r="E45" s="112"/>
      <c r="F45" s="110" t="s">
        <v>212</v>
      </c>
      <c r="G45" s="111">
        <v>2</v>
      </c>
      <c r="H45" s="112" t="s">
        <v>63</v>
      </c>
      <c r="I45" s="118">
        <v>1104.72</v>
      </c>
      <c r="J45" s="109"/>
      <c r="K45" s="118">
        <v>2209.44</v>
      </c>
      <c r="L45" s="113" t="s">
        <v>213</v>
      </c>
      <c r="M45" s="142">
        <v>46218</v>
      </c>
      <c r="N45" s="143">
        <v>46227</v>
      </c>
      <c r="O45" s="140">
        <v>46227</v>
      </c>
      <c r="P45" s="116">
        <f t="shared" si="0"/>
        <v>9</v>
      </c>
      <c r="Q45" s="116">
        <f t="shared" si="1"/>
        <v>0</v>
      </c>
      <c r="R45" s="144"/>
    </row>
    <row r="46" spans="1:18">
      <c r="A46" s="108">
        <v>45</v>
      </c>
      <c r="B46" s="109" t="s">
        <v>211</v>
      </c>
      <c r="C46" s="112"/>
      <c r="D46" s="109" t="s">
        <v>95</v>
      </c>
      <c r="E46" s="112"/>
      <c r="F46" s="110" t="s">
        <v>214</v>
      </c>
      <c r="G46" s="111">
        <v>2</v>
      </c>
      <c r="H46" s="112" t="s">
        <v>63</v>
      </c>
      <c r="I46" s="118">
        <v>970.36</v>
      </c>
      <c r="J46" s="109"/>
      <c r="K46" s="118">
        <v>1940.72</v>
      </c>
      <c r="L46" s="113" t="s">
        <v>213</v>
      </c>
      <c r="M46" s="142">
        <v>46218</v>
      </c>
      <c r="N46" s="143">
        <v>46227</v>
      </c>
      <c r="O46" s="140">
        <v>46227</v>
      </c>
      <c r="P46" s="116">
        <f t="shared" si="0"/>
        <v>9</v>
      </c>
      <c r="Q46" s="116">
        <f t="shared" si="1"/>
        <v>0</v>
      </c>
      <c r="R46" s="144"/>
    </row>
    <row r="47" spans="1:18">
      <c r="A47" s="108">
        <v>46</v>
      </c>
      <c r="B47" s="109" t="s">
        <v>211</v>
      </c>
      <c r="C47" s="112"/>
      <c r="D47" s="109" t="s">
        <v>95</v>
      </c>
      <c r="E47" s="112"/>
      <c r="F47" s="110" t="s">
        <v>215</v>
      </c>
      <c r="G47" s="111">
        <v>1</v>
      </c>
      <c r="H47" s="112" t="s">
        <v>66</v>
      </c>
      <c r="I47" s="118">
        <v>4810.25</v>
      </c>
      <c r="J47" s="109"/>
      <c r="K47" s="118">
        <v>4810.25</v>
      </c>
      <c r="L47" s="113" t="s">
        <v>213</v>
      </c>
      <c r="M47" s="142">
        <v>46218</v>
      </c>
      <c r="N47" s="143">
        <v>46227</v>
      </c>
      <c r="O47" s="140">
        <v>46227</v>
      </c>
      <c r="P47" s="116">
        <f t="shared" si="0"/>
        <v>9</v>
      </c>
      <c r="Q47" s="116">
        <f t="shared" si="1"/>
        <v>0</v>
      </c>
      <c r="R47" s="144"/>
    </row>
    <row r="48" spans="1:18">
      <c r="A48" s="108">
        <v>47</v>
      </c>
      <c r="B48" s="109" t="s">
        <v>216</v>
      </c>
      <c r="C48" s="112"/>
      <c r="D48" s="109" t="s">
        <v>95</v>
      </c>
      <c r="E48" s="112"/>
      <c r="F48" s="110" t="s">
        <v>217</v>
      </c>
      <c r="G48" s="111">
        <v>2</v>
      </c>
      <c r="H48" s="112" t="s">
        <v>66</v>
      </c>
      <c r="I48" s="118">
        <v>582.66999999999996</v>
      </c>
      <c r="J48" s="109"/>
      <c r="K48" s="118">
        <v>1165.3399999999999</v>
      </c>
      <c r="L48" s="113" t="s">
        <v>218</v>
      </c>
      <c r="M48" s="142">
        <v>46219</v>
      </c>
      <c r="N48" s="143">
        <v>46227</v>
      </c>
      <c r="O48" s="140">
        <v>46227</v>
      </c>
      <c r="P48" s="116">
        <f t="shared" si="0"/>
        <v>8</v>
      </c>
      <c r="Q48" s="116">
        <f t="shared" si="1"/>
        <v>0</v>
      </c>
      <c r="R48" s="144"/>
    </row>
    <row r="49" spans="1:18">
      <c r="A49" s="108">
        <v>48</v>
      </c>
      <c r="B49" s="109" t="s">
        <v>216</v>
      </c>
      <c r="C49" s="112"/>
      <c r="D49" s="109" t="s">
        <v>95</v>
      </c>
      <c r="E49" s="112"/>
      <c r="F49" s="110" t="s">
        <v>219</v>
      </c>
      <c r="G49" s="111">
        <v>1</v>
      </c>
      <c r="H49" s="112" t="s">
        <v>66</v>
      </c>
      <c r="I49" s="118">
        <v>2811.05</v>
      </c>
      <c r="J49" s="109"/>
      <c r="K49" s="118">
        <v>2811.05</v>
      </c>
      <c r="L49" s="113" t="s">
        <v>218</v>
      </c>
      <c r="M49" s="142">
        <v>46219</v>
      </c>
      <c r="N49" s="143">
        <v>46227</v>
      </c>
      <c r="O49" s="140">
        <v>46227</v>
      </c>
      <c r="P49" s="116">
        <f t="shared" si="0"/>
        <v>8</v>
      </c>
      <c r="Q49" s="116">
        <f t="shared" si="1"/>
        <v>0</v>
      </c>
      <c r="R49" s="144"/>
    </row>
    <row r="50" spans="1:18">
      <c r="A50" s="108">
        <v>49</v>
      </c>
      <c r="B50" s="109" t="s">
        <v>216</v>
      </c>
      <c r="C50" s="112"/>
      <c r="D50" s="109" t="s">
        <v>95</v>
      </c>
      <c r="E50" s="112"/>
      <c r="F50" s="110" t="s">
        <v>220</v>
      </c>
      <c r="G50" s="111">
        <v>9</v>
      </c>
      <c r="H50" s="112" t="s">
        <v>66</v>
      </c>
      <c r="I50" s="118">
        <v>119.09</v>
      </c>
      <c r="J50" s="109"/>
      <c r="K50" s="118">
        <v>1071.81</v>
      </c>
      <c r="L50" s="113" t="s">
        <v>218</v>
      </c>
      <c r="M50" s="142">
        <v>46219</v>
      </c>
      <c r="N50" s="143">
        <v>46227</v>
      </c>
      <c r="O50" s="140">
        <v>46227</v>
      </c>
      <c r="P50" s="116">
        <f t="shared" si="0"/>
        <v>8</v>
      </c>
      <c r="Q50" s="116">
        <f t="shared" si="1"/>
        <v>0</v>
      </c>
      <c r="R50" s="144"/>
    </row>
    <row r="51" spans="1:18" s="145" customFormat="1">
      <c r="A51" s="108">
        <v>50</v>
      </c>
      <c r="B51" s="109" t="s">
        <v>216</v>
      </c>
      <c r="C51" s="112"/>
      <c r="D51" s="109" t="s">
        <v>95</v>
      </c>
      <c r="E51" s="112"/>
      <c r="F51" s="110" t="s">
        <v>221</v>
      </c>
      <c r="G51" s="111">
        <v>2</v>
      </c>
      <c r="H51" s="112" t="s">
        <v>66</v>
      </c>
      <c r="I51" s="118">
        <v>119.29</v>
      </c>
      <c r="J51" s="109"/>
      <c r="K51" s="118">
        <v>238.58</v>
      </c>
      <c r="L51" s="113" t="s">
        <v>218</v>
      </c>
      <c r="M51" s="142">
        <v>46219</v>
      </c>
      <c r="N51" s="143">
        <v>46227</v>
      </c>
      <c r="O51" s="140">
        <v>46227</v>
      </c>
      <c r="P51" s="116">
        <f t="shared" si="0"/>
        <v>8</v>
      </c>
      <c r="Q51" s="116">
        <f t="shared" si="1"/>
        <v>0</v>
      </c>
      <c r="R51" s="144"/>
    </row>
    <row r="52" spans="1:18">
      <c r="A52" s="108">
        <v>51</v>
      </c>
      <c r="B52" s="109" t="s">
        <v>222</v>
      </c>
      <c r="C52" s="112"/>
      <c r="D52" s="109" t="s">
        <v>103</v>
      </c>
      <c r="E52" s="112"/>
      <c r="F52" s="110" t="s">
        <v>223</v>
      </c>
      <c r="G52" s="111">
        <v>1</v>
      </c>
      <c r="H52" s="112" t="s">
        <v>66</v>
      </c>
      <c r="I52" s="118">
        <v>16740</v>
      </c>
      <c r="J52" s="109"/>
      <c r="K52" s="118">
        <v>16740</v>
      </c>
      <c r="L52" s="113" t="s">
        <v>224</v>
      </c>
      <c r="M52" s="142">
        <v>46218</v>
      </c>
      <c r="N52" s="143">
        <v>46227</v>
      </c>
      <c r="O52" s="140">
        <v>46227</v>
      </c>
      <c r="P52" s="116">
        <f t="shared" si="0"/>
        <v>9</v>
      </c>
      <c r="Q52" s="116">
        <f t="shared" si="1"/>
        <v>0</v>
      </c>
      <c r="R52" s="144"/>
    </row>
    <row r="53" spans="1:18">
      <c r="A53" s="108">
        <v>52</v>
      </c>
      <c r="B53" s="109" t="s">
        <v>222</v>
      </c>
      <c r="C53" s="112"/>
      <c r="D53" s="109" t="s">
        <v>103</v>
      </c>
      <c r="E53" s="112"/>
      <c r="F53" s="110" t="s">
        <v>225</v>
      </c>
      <c r="G53" s="111">
        <v>1</v>
      </c>
      <c r="H53" s="112" t="s">
        <v>66</v>
      </c>
      <c r="I53" s="118">
        <v>4880</v>
      </c>
      <c r="J53" s="109"/>
      <c r="K53" s="118">
        <v>4880</v>
      </c>
      <c r="L53" s="113" t="s">
        <v>224</v>
      </c>
      <c r="M53" s="142">
        <v>46218</v>
      </c>
      <c r="N53" s="143">
        <v>46227</v>
      </c>
      <c r="O53" s="140">
        <v>46227</v>
      </c>
      <c r="P53" s="116">
        <f t="shared" si="0"/>
        <v>9</v>
      </c>
      <c r="Q53" s="116">
        <f t="shared" si="1"/>
        <v>0</v>
      </c>
      <c r="R53" s="144"/>
    </row>
    <row r="54" spans="1:18">
      <c r="A54" s="108">
        <v>53</v>
      </c>
      <c r="B54" s="109" t="s">
        <v>222</v>
      </c>
      <c r="C54" s="112"/>
      <c r="D54" s="109" t="s">
        <v>103</v>
      </c>
      <c r="E54" s="112"/>
      <c r="F54" s="110" t="s">
        <v>226</v>
      </c>
      <c r="G54" s="111">
        <v>1</v>
      </c>
      <c r="H54" s="112" t="s">
        <v>66</v>
      </c>
      <c r="I54" s="118">
        <v>2950</v>
      </c>
      <c r="J54" s="109"/>
      <c r="K54" s="118">
        <v>2950</v>
      </c>
      <c r="L54" s="113" t="s">
        <v>224</v>
      </c>
      <c r="M54" s="142">
        <v>46218</v>
      </c>
      <c r="N54" s="143">
        <v>46227</v>
      </c>
      <c r="O54" s="140">
        <v>46227</v>
      </c>
      <c r="P54" s="116">
        <f t="shared" si="0"/>
        <v>9</v>
      </c>
      <c r="Q54" s="116">
        <f t="shared" si="1"/>
        <v>0</v>
      </c>
      <c r="R54" s="144"/>
    </row>
    <row r="55" spans="1:18">
      <c r="A55" s="108">
        <v>54</v>
      </c>
      <c r="B55" s="109" t="s">
        <v>222</v>
      </c>
      <c r="C55" s="112"/>
      <c r="D55" s="109" t="s">
        <v>103</v>
      </c>
      <c r="E55" s="112"/>
      <c r="F55" s="110" t="s">
        <v>227</v>
      </c>
      <c r="G55" s="111">
        <v>1</v>
      </c>
      <c r="H55" s="112" t="s">
        <v>66</v>
      </c>
      <c r="I55" s="118">
        <v>2830</v>
      </c>
      <c r="J55" s="109"/>
      <c r="K55" s="118">
        <v>2830</v>
      </c>
      <c r="L55" s="113" t="s">
        <v>224</v>
      </c>
      <c r="M55" s="142">
        <v>46218</v>
      </c>
      <c r="N55" s="143">
        <v>46227</v>
      </c>
      <c r="O55" s="140">
        <v>46227</v>
      </c>
      <c r="P55" s="116">
        <f t="shared" si="0"/>
        <v>9</v>
      </c>
      <c r="Q55" s="116">
        <f t="shared" si="1"/>
        <v>0</v>
      </c>
      <c r="R55" s="144"/>
    </row>
    <row r="56" spans="1:18">
      <c r="A56" s="108">
        <v>55</v>
      </c>
      <c r="B56" s="109" t="s">
        <v>222</v>
      </c>
      <c r="C56" s="112"/>
      <c r="D56" s="109" t="s">
        <v>103</v>
      </c>
      <c r="E56" s="112"/>
      <c r="F56" s="110" t="s">
        <v>228</v>
      </c>
      <c r="G56" s="111">
        <v>2</v>
      </c>
      <c r="H56" s="112" t="s">
        <v>66</v>
      </c>
      <c r="I56" s="118">
        <v>7440</v>
      </c>
      <c r="J56" s="109"/>
      <c r="K56" s="118">
        <v>14880</v>
      </c>
      <c r="L56" s="113" t="s">
        <v>224</v>
      </c>
      <c r="M56" s="142">
        <v>46218</v>
      </c>
      <c r="N56" s="143">
        <v>46227</v>
      </c>
      <c r="O56" s="140">
        <v>46227</v>
      </c>
      <c r="P56" s="116">
        <f t="shared" si="0"/>
        <v>9</v>
      </c>
      <c r="Q56" s="116">
        <f t="shared" si="1"/>
        <v>0</v>
      </c>
      <c r="R56" s="144"/>
    </row>
    <row r="57" spans="1:18">
      <c r="A57" s="108">
        <v>56</v>
      </c>
      <c r="B57" s="109" t="s">
        <v>222</v>
      </c>
      <c r="C57" s="112"/>
      <c r="D57" s="109" t="s">
        <v>103</v>
      </c>
      <c r="E57" s="112"/>
      <c r="F57" s="110" t="s">
        <v>229</v>
      </c>
      <c r="G57" s="111">
        <v>4</v>
      </c>
      <c r="H57" s="112" t="s">
        <v>66</v>
      </c>
      <c r="I57" s="118">
        <v>880</v>
      </c>
      <c r="J57" s="109"/>
      <c r="K57" s="118">
        <v>3520</v>
      </c>
      <c r="L57" s="113" t="s">
        <v>224</v>
      </c>
      <c r="M57" s="142">
        <v>46218</v>
      </c>
      <c r="N57" s="143">
        <v>46227</v>
      </c>
      <c r="O57" s="140">
        <v>46227</v>
      </c>
      <c r="P57" s="116">
        <f t="shared" si="0"/>
        <v>9</v>
      </c>
      <c r="Q57" s="116">
        <f t="shared" si="1"/>
        <v>0</v>
      </c>
      <c r="R57" s="144"/>
    </row>
    <row r="58" spans="1:18">
      <c r="A58" s="108">
        <v>57</v>
      </c>
      <c r="B58" s="109" t="s">
        <v>222</v>
      </c>
      <c r="C58" s="112"/>
      <c r="D58" s="109" t="s">
        <v>103</v>
      </c>
      <c r="E58" s="112"/>
      <c r="F58" s="110" t="s">
        <v>230</v>
      </c>
      <c r="G58" s="111">
        <v>2</v>
      </c>
      <c r="H58" s="112" t="s">
        <v>66</v>
      </c>
      <c r="I58" s="118">
        <v>6250</v>
      </c>
      <c r="J58" s="109"/>
      <c r="K58" s="118">
        <v>12500</v>
      </c>
      <c r="L58" s="113" t="s">
        <v>224</v>
      </c>
      <c r="M58" s="142">
        <v>46218</v>
      </c>
      <c r="N58" s="143">
        <v>46227</v>
      </c>
      <c r="O58" s="140">
        <v>46227</v>
      </c>
      <c r="P58" s="116">
        <f t="shared" si="0"/>
        <v>9</v>
      </c>
      <c r="Q58" s="116">
        <f t="shared" si="1"/>
        <v>0</v>
      </c>
      <c r="R58" s="144"/>
    </row>
    <row r="59" spans="1:18">
      <c r="A59" s="108">
        <v>58</v>
      </c>
      <c r="B59" s="109" t="s">
        <v>211</v>
      </c>
      <c r="C59" s="112"/>
      <c r="D59" s="109" t="s">
        <v>103</v>
      </c>
      <c r="E59" s="112"/>
      <c r="F59" s="110" t="s">
        <v>231</v>
      </c>
      <c r="G59" s="111">
        <v>3</v>
      </c>
      <c r="H59" s="112" t="s">
        <v>66</v>
      </c>
      <c r="I59" s="118">
        <v>4000</v>
      </c>
      <c r="J59" s="109"/>
      <c r="K59" s="118">
        <v>12000</v>
      </c>
      <c r="L59" s="113" t="s">
        <v>224</v>
      </c>
      <c r="M59" s="142">
        <v>46218</v>
      </c>
      <c r="N59" s="143">
        <v>46227</v>
      </c>
      <c r="O59" s="140">
        <v>46227</v>
      </c>
      <c r="P59" s="116">
        <f t="shared" si="0"/>
        <v>9</v>
      </c>
      <c r="Q59" s="116">
        <f t="shared" si="1"/>
        <v>0</v>
      </c>
      <c r="R59" s="144"/>
    </row>
    <row r="60" spans="1:18">
      <c r="A60" s="108">
        <v>59</v>
      </c>
      <c r="B60" s="109" t="s">
        <v>232</v>
      </c>
      <c r="C60" s="112"/>
      <c r="D60" s="109" t="s">
        <v>233</v>
      </c>
      <c r="E60" s="112"/>
      <c r="F60" s="110" t="s">
        <v>234</v>
      </c>
      <c r="G60" s="111">
        <v>1</v>
      </c>
      <c r="H60" s="112" t="s">
        <v>72</v>
      </c>
      <c r="I60" s="118">
        <v>34170</v>
      </c>
      <c r="J60" s="109"/>
      <c r="K60" s="118">
        <v>34170</v>
      </c>
      <c r="L60" s="113" t="s">
        <v>235</v>
      </c>
      <c r="M60" s="142">
        <v>46212</v>
      </c>
      <c r="N60" s="143">
        <v>46227</v>
      </c>
      <c r="O60" s="140">
        <v>46227</v>
      </c>
      <c r="P60" s="116">
        <f t="shared" si="0"/>
        <v>15</v>
      </c>
      <c r="Q60" s="116">
        <f t="shared" si="1"/>
        <v>0</v>
      </c>
      <c r="R60" s="144"/>
    </row>
    <row r="61" spans="1:18">
      <c r="A61" s="108">
        <v>60</v>
      </c>
      <c r="B61" s="109" t="s">
        <v>222</v>
      </c>
      <c r="C61" s="112"/>
      <c r="D61" s="109" t="s">
        <v>236</v>
      </c>
      <c r="E61" s="112"/>
      <c r="F61" s="110" t="s">
        <v>237</v>
      </c>
      <c r="G61" s="111">
        <v>100</v>
      </c>
      <c r="H61" s="112" t="s">
        <v>69</v>
      </c>
      <c r="I61" s="118">
        <v>18.96</v>
      </c>
      <c r="J61" s="109"/>
      <c r="K61" s="118">
        <v>1896</v>
      </c>
      <c r="L61" s="113" t="s">
        <v>238</v>
      </c>
      <c r="M61" s="142">
        <v>46218</v>
      </c>
      <c r="N61" s="143">
        <v>46227</v>
      </c>
      <c r="O61" s="140">
        <v>46227</v>
      </c>
      <c r="P61" s="116">
        <f t="shared" si="0"/>
        <v>9</v>
      </c>
      <c r="Q61" s="116">
        <f t="shared" si="1"/>
        <v>0</v>
      </c>
      <c r="R61" s="144"/>
    </row>
    <row r="62" spans="1:18">
      <c r="A62" s="108">
        <v>61</v>
      </c>
      <c r="B62" s="109" t="s">
        <v>222</v>
      </c>
      <c r="C62" s="112"/>
      <c r="D62" s="109" t="s">
        <v>236</v>
      </c>
      <c r="E62" s="112"/>
      <c r="F62" s="110" t="s">
        <v>239</v>
      </c>
      <c r="G62" s="111">
        <v>50</v>
      </c>
      <c r="H62" s="112" t="s">
        <v>240</v>
      </c>
      <c r="I62" s="118">
        <v>43.76</v>
      </c>
      <c r="J62" s="109"/>
      <c r="K62" s="118">
        <v>2188</v>
      </c>
      <c r="L62" s="113" t="s">
        <v>238</v>
      </c>
      <c r="M62" s="142">
        <v>46218</v>
      </c>
      <c r="N62" s="143">
        <v>46227</v>
      </c>
      <c r="O62" s="140">
        <v>46227</v>
      </c>
      <c r="P62" s="116">
        <f t="shared" si="0"/>
        <v>9</v>
      </c>
      <c r="Q62" s="116">
        <f t="shared" si="1"/>
        <v>0</v>
      </c>
      <c r="R62" s="144"/>
    </row>
    <row r="63" spans="1:18">
      <c r="A63" s="108">
        <v>62</v>
      </c>
      <c r="B63" s="109" t="s">
        <v>222</v>
      </c>
      <c r="C63" s="112"/>
      <c r="D63" s="109" t="s">
        <v>236</v>
      </c>
      <c r="E63" s="112"/>
      <c r="F63" s="110" t="s">
        <v>241</v>
      </c>
      <c r="G63" s="111">
        <v>40</v>
      </c>
      <c r="H63" s="112" t="s">
        <v>69</v>
      </c>
      <c r="I63" s="118">
        <v>91.3</v>
      </c>
      <c r="J63" s="109"/>
      <c r="K63" s="118">
        <v>3652</v>
      </c>
      <c r="L63" s="113" t="s">
        <v>238</v>
      </c>
      <c r="M63" s="142">
        <v>46218</v>
      </c>
      <c r="N63" s="143">
        <v>46227</v>
      </c>
      <c r="O63" s="140">
        <v>46227</v>
      </c>
      <c r="P63" s="116">
        <f t="shared" si="0"/>
        <v>9</v>
      </c>
      <c r="Q63" s="116">
        <f t="shared" si="1"/>
        <v>0</v>
      </c>
      <c r="R63" s="144"/>
    </row>
    <row r="64" spans="1:18">
      <c r="A64" s="108">
        <v>63</v>
      </c>
      <c r="B64" s="109" t="s">
        <v>222</v>
      </c>
      <c r="C64" s="112"/>
      <c r="D64" s="109" t="s">
        <v>236</v>
      </c>
      <c r="E64" s="112"/>
      <c r="F64" s="110" t="s">
        <v>242</v>
      </c>
      <c r="G64" s="111">
        <v>100</v>
      </c>
      <c r="H64" s="112" t="s">
        <v>69</v>
      </c>
      <c r="I64" s="118">
        <v>16.82</v>
      </c>
      <c r="J64" s="109"/>
      <c r="K64" s="118">
        <v>1682</v>
      </c>
      <c r="L64" s="113" t="s">
        <v>238</v>
      </c>
      <c r="M64" s="142">
        <v>46218</v>
      </c>
      <c r="N64" s="143">
        <v>46227</v>
      </c>
      <c r="O64" s="140">
        <v>46227</v>
      </c>
      <c r="P64" s="116">
        <f t="shared" si="0"/>
        <v>9</v>
      </c>
      <c r="Q64" s="116">
        <f t="shared" si="1"/>
        <v>0</v>
      </c>
      <c r="R64" s="144"/>
    </row>
    <row r="65" spans="1:18">
      <c r="A65" s="108">
        <v>64</v>
      </c>
      <c r="B65" s="109" t="s">
        <v>222</v>
      </c>
      <c r="C65" s="112"/>
      <c r="D65" s="109" t="s">
        <v>236</v>
      </c>
      <c r="E65" s="112"/>
      <c r="F65" s="110" t="s">
        <v>243</v>
      </c>
      <c r="G65" s="111">
        <v>100</v>
      </c>
      <c r="H65" s="112" t="s">
        <v>69</v>
      </c>
      <c r="I65" s="118">
        <v>16.82</v>
      </c>
      <c r="J65" s="109"/>
      <c r="K65" s="118">
        <v>1682</v>
      </c>
      <c r="L65" s="113" t="s">
        <v>238</v>
      </c>
      <c r="M65" s="142">
        <v>46218</v>
      </c>
      <c r="N65" s="143">
        <v>46227</v>
      </c>
      <c r="O65" s="140">
        <v>46227</v>
      </c>
      <c r="P65" s="116">
        <f t="shared" si="0"/>
        <v>9</v>
      </c>
      <c r="Q65" s="116">
        <f t="shared" si="1"/>
        <v>0</v>
      </c>
      <c r="R65" s="144"/>
    </row>
    <row r="66" spans="1:18">
      <c r="A66" s="108">
        <v>65</v>
      </c>
      <c r="B66" s="109" t="s">
        <v>222</v>
      </c>
      <c r="C66" s="112"/>
      <c r="D66" s="109" t="s">
        <v>236</v>
      </c>
      <c r="E66" s="112"/>
      <c r="F66" s="110" t="s">
        <v>244</v>
      </c>
      <c r="G66" s="111">
        <v>100</v>
      </c>
      <c r="H66" s="112" t="s">
        <v>240</v>
      </c>
      <c r="I66" s="118">
        <v>39.24</v>
      </c>
      <c r="J66" s="109"/>
      <c r="K66" s="118">
        <v>3924</v>
      </c>
      <c r="L66" s="113" t="s">
        <v>238</v>
      </c>
      <c r="M66" s="142">
        <v>46218</v>
      </c>
      <c r="N66" s="143">
        <v>46227</v>
      </c>
      <c r="O66" s="140">
        <v>46227</v>
      </c>
      <c r="P66" s="116">
        <f t="shared" ref="P66:P129" si="2">O66-M66</f>
        <v>9</v>
      </c>
      <c r="Q66" s="116">
        <f t="shared" ref="Q66:Q129" si="3">N66-O66</f>
        <v>0</v>
      </c>
      <c r="R66" s="144"/>
    </row>
    <row r="67" spans="1:18">
      <c r="A67" s="108">
        <v>66</v>
      </c>
      <c r="B67" s="109" t="s">
        <v>216</v>
      </c>
      <c r="C67" s="112"/>
      <c r="D67" s="109" t="s">
        <v>245</v>
      </c>
      <c r="E67" s="112"/>
      <c r="F67" s="110" t="s">
        <v>246</v>
      </c>
      <c r="G67" s="111">
        <v>3</v>
      </c>
      <c r="H67" s="112" t="s">
        <v>66</v>
      </c>
      <c r="I67" s="118">
        <v>2450</v>
      </c>
      <c r="J67" s="119">
        <v>3528</v>
      </c>
      <c r="K67" s="118">
        <v>3822</v>
      </c>
      <c r="L67" s="113" t="s">
        <v>247</v>
      </c>
      <c r="M67" s="142">
        <v>46219</v>
      </c>
      <c r="N67" s="143">
        <v>46227</v>
      </c>
      <c r="O67" s="140">
        <v>46227</v>
      </c>
      <c r="P67" s="116">
        <f t="shared" si="2"/>
        <v>8</v>
      </c>
      <c r="Q67" s="116">
        <f t="shared" si="3"/>
        <v>0</v>
      </c>
      <c r="R67" s="144"/>
    </row>
    <row r="68" spans="1:18">
      <c r="A68" s="108">
        <v>67</v>
      </c>
      <c r="B68" s="109" t="s">
        <v>216</v>
      </c>
      <c r="C68" s="112"/>
      <c r="D68" s="109" t="s">
        <v>245</v>
      </c>
      <c r="E68" s="112"/>
      <c r="F68" s="110" t="s">
        <v>248</v>
      </c>
      <c r="G68" s="111">
        <v>3</v>
      </c>
      <c r="H68" s="112" t="s">
        <v>66</v>
      </c>
      <c r="I68" s="118">
        <v>843</v>
      </c>
      <c r="J68" s="119">
        <v>1517.4</v>
      </c>
      <c r="K68" s="118">
        <v>1011.6</v>
      </c>
      <c r="L68" s="113" t="s">
        <v>247</v>
      </c>
      <c r="M68" s="142">
        <v>46219</v>
      </c>
      <c r="N68" s="143">
        <v>46227</v>
      </c>
      <c r="O68" s="140">
        <v>46227</v>
      </c>
      <c r="P68" s="116">
        <f t="shared" si="2"/>
        <v>8</v>
      </c>
      <c r="Q68" s="116">
        <f t="shared" si="3"/>
        <v>0</v>
      </c>
      <c r="R68" s="144"/>
    </row>
    <row r="69" spans="1:18">
      <c r="A69" s="108">
        <v>68</v>
      </c>
      <c r="B69" s="109" t="s">
        <v>216</v>
      </c>
      <c r="C69" s="112"/>
      <c r="D69" s="109" t="s">
        <v>245</v>
      </c>
      <c r="E69" s="112"/>
      <c r="F69" s="110" t="s">
        <v>249</v>
      </c>
      <c r="G69" s="111">
        <v>1</v>
      </c>
      <c r="H69" s="112" t="s">
        <v>66</v>
      </c>
      <c r="I69" s="118">
        <v>843</v>
      </c>
      <c r="J69" s="119">
        <v>505.8</v>
      </c>
      <c r="K69" s="118">
        <v>337.2</v>
      </c>
      <c r="L69" s="113" t="s">
        <v>247</v>
      </c>
      <c r="M69" s="142">
        <v>46219</v>
      </c>
      <c r="N69" s="143">
        <v>46227</v>
      </c>
      <c r="O69" s="140">
        <v>46227</v>
      </c>
      <c r="P69" s="116">
        <f t="shared" si="2"/>
        <v>8</v>
      </c>
      <c r="Q69" s="116">
        <f t="shared" si="3"/>
        <v>0</v>
      </c>
      <c r="R69" s="144"/>
    </row>
    <row r="70" spans="1:18">
      <c r="A70" s="108">
        <v>69</v>
      </c>
      <c r="B70" s="109" t="s">
        <v>216</v>
      </c>
      <c r="C70" s="112"/>
      <c r="D70" s="109" t="s">
        <v>245</v>
      </c>
      <c r="E70" s="112"/>
      <c r="F70" s="110" t="s">
        <v>250</v>
      </c>
      <c r="G70" s="111">
        <v>1</v>
      </c>
      <c r="H70" s="112" t="s">
        <v>66</v>
      </c>
      <c r="I70" s="118">
        <v>2411</v>
      </c>
      <c r="J70" s="119">
        <v>1446.6</v>
      </c>
      <c r="K70" s="118">
        <v>964.4</v>
      </c>
      <c r="L70" s="113" t="s">
        <v>247</v>
      </c>
      <c r="M70" s="142">
        <v>46219</v>
      </c>
      <c r="N70" s="143">
        <v>46227</v>
      </c>
      <c r="O70" s="140">
        <v>46227</v>
      </c>
      <c r="P70" s="116">
        <f t="shared" si="2"/>
        <v>8</v>
      </c>
      <c r="Q70" s="116">
        <f t="shared" si="3"/>
        <v>0</v>
      </c>
      <c r="R70" s="144"/>
    </row>
    <row r="71" spans="1:18">
      <c r="A71" s="108">
        <v>70</v>
      </c>
      <c r="B71" s="109" t="s">
        <v>216</v>
      </c>
      <c r="C71" s="112"/>
      <c r="D71" s="109" t="s">
        <v>245</v>
      </c>
      <c r="E71" s="112"/>
      <c r="F71" s="110" t="s">
        <v>251</v>
      </c>
      <c r="G71" s="111">
        <v>6</v>
      </c>
      <c r="H71" s="112" t="s">
        <v>66</v>
      </c>
      <c r="I71" s="118">
        <v>787</v>
      </c>
      <c r="J71" s="119">
        <v>1180.5</v>
      </c>
      <c r="K71" s="118">
        <v>3541.5</v>
      </c>
      <c r="L71" s="113" t="s">
        <v>247</v>
      </c>
      <c r="M71" s="142">
        <v>46219</v>
      </c>
      <c r="N71" s="143">
        <v>46227</v>
      </c>
      <c r="O71" s="140">
        <v>46227</v>
      </c>
      <c r="P71" s="116">
        <f t="shared" si="2"/>
        <v>8</v>
      </c>
      <c r="Q71" s="116">
        <f t="shared" si="3"/>
        <v>0</v>
      </c>
      <c r="R71" s="144"/>
    </row>
    <row r="72" spans="1:18">
      <c r="A72" s="108">
        <v>71</v>
      </c>
      <c r="B72" s="109" t="s">
        <v>216</v>
      </c>
      <c r="C72" s="112"/>
      <c r="D72" s="109" t="s">
        <v>245</v>
      </c>
      <c r="E72" s="112"/>
      <c r="F72" s="110" t="s">
        <v>252</v>
      </c>
      <c r="G72" s="111">
        <v>4</v>
      </c>
      <c r="H72" s="112" t="s">
        <v>66</v>
      </c>
      <c r="I72" s="118">
        <v>418</v>
      </c>
      <c r="J72" s="119">
        <v>418</v>
      </c>
      <c r="K72" s="118">
        <v>1254</v>
      </c>
      <c r="L72" s="113" t="s">
        <v>247</v>
      </c>
      <c r="M72" s="142">
        <v>46219</v>
      </c>
      <c r="N72" s="143">
        <v>46227</v>
      </c>
      <c r="O72" s="140">
        <v>46227</v>
      </c>
      <c r="P72" s="116">
        <f t="shared" si="2"/>
        <v>8</v>
      </c>
      <c r="Q72" s="116">
        <f t="shared" si="3"/>
        <v>0</v>
      </c>
      <c r="R72" s="144"/>
    </row>
    <row r="73" spans="1:18">
      <c r="A73" s="108">
        <v>72</v>
      </c>
      <c r="B73" s="109" t="s">
        <v>216</v>
      </c>
      <c r="C73" s="112"/>
      <c r="D73" s="109" t="s">
        <v>245</v>
      </c>
      <c r="E73" s="112"/>
      <c r="F73" s="110" t="s">
        <v>253</v>
      </c>
      <c r="G73" s="111">
        <v>10</v>
      </c>
      <c r="H73" s="112" t="s">
        <v>66</v>
      </c>
      <c r="I73" s="118">
        <v>72</v>
      </c>
      <c r="J73" s="119">
        <v>432</v>
      </c>
      <c r="K73" s="118">
        <v>288</v>
      </c>
      <c r="L73" s="113" t="s">
        <v>247</v>
      </c>
      <c r="M73" s="142">
        <v>46219</v>
      </c>
      <c r="N73" s="143">
        <v>46227</v>
      </c>
      <c r="O73" s="140">
        <v>46227</v>
      </c>
      <c r="P73" s="116">
        <f t="shared" si="2"/>
        <v>8</v>
      </c>
      <c r="Q73" s="116">
        <f t="shared" si="3"/>
        <v>0</v>
      </c>
      <c r="R73" s="144"/>
    </row>
    <row r="74" spans="1:18">
      <c r="A74" s="108">
        <v>73</v>
      </c>
      <c r="B74" s="109" t="s">
        <v>216</v>
      </c>
      <c r="C74" s="112"/>
      <c r="D74" s="109" t="s">
        <v>245</v>
      </c>
      <c r="E74" s="112"/>
      <c r="F74" s="110" t="s">
        <v>254</v>
      </c>
      <c r="G74" s="111">
        <v>40</v>
      </c>
      <c r="H74" s="112" t="s">
        <v>69</v>
      </c>
      <c r="I74" s="118">
        <v>182.99</v>
      </c>
      <c r="J74" s="119">
        <v>3147.43</v>
      </c>
      <c r="K74" s="118">
        <v>4172.17</v>
      </c>
      <c r="L74" s="113" t="s">
        <v>247</v>
      </c>
      <c r="M74" s="142">
        <v>46219</v>
      </c>
      <c r="N74" s="143">
        <v>46227</v>
      </c>
      <c r="O74" s="140">
        <v>46227</v>
      </c>
      <c r="P74" s="116">
        <f t="shared" si="2"/>
        <v>8</v>
      </c>
      <c r="Q74" s="116">
        <f t="shared" si="3"/>
        <v>0</v>
      </c>
      <c r="R74" s="144"/>
    </row>
    <row r="75" spans="1:18">
      <c r="A75" s="108">
        <v>74</v>
      </c>
      <c r="B75" s="109" t="s">
        <v>216</v>
      </c>
      <c r="C75" s="112"/>
      <c r="D75" s="109" t="s">
        <v>245</v>
      </c>
      <c r="E75" s="112"/>
      <c r="F75" s="110" t="s">
        <v>255</v>
      </c>
      <c r="G75" s="111">
        <v>50</v>
      </c>
      <c r="H75" s="112" t="s">
        <v>66</v>
      </c>
      <c r="I75" s="118">
        <v>50</v>
      </c>
      <c r="J75" s="119">
        <v>1250</v>
      </c>
      <c r="K75" s="118">
        <v>1250</v>
      </c>
      <c r="L75" s="113" t="s">
        <v>247</v>
      </c>
      <c r="M75" s="142">
        <v>46219</v>
      </c>
      <c r="N75" s="143">
        <v>46227</v>
      </c>
      <c r="O75" s="140">
        <v>46227</v>
      </c>
      <c r="P75" s="116">
        <f t="shared" si="2"/>
        <v>8</v>
      </c>
      <c r="Q75" s="116">
        <f t="shared" si="3"/>
        <v>0</v>
      </c>
      <c r="R75" s="144"/>
    </row>
    <row r="76" spans="1:18">
      <c r="A76" s="108">
        <v>75</v>
      </c>
      <c r="B76" s="109" t="s">
        <v>216</v>
      </c>
      <c r="C76" s="112"/>
      <c r="D76" s="109" t="s">
        <v>245</v>
      </c>
      <c r="E76" s="112"/>
      <c r="F76" s="110" t="s">
        <v>256</v>
      </c>
      <c r="G76" s="111">
        <v>50</v>
      </c>
      <c r="H76" s="112" t="s">
        <v>69</v>
      </c>
      <c r="I76" s="118">
        <v>60</v>
      </c>
      <c r="J76" s="119">
        <v>750</v>
      </c>
      <c r="K76" s="118">
        <v>2250</v>
      </c>
      <c r="L76" s="113" t="s">
        <v>247</v>
      </c>
      <c r="M76" s="142">
        <v>46219</v>
      </c>
      <c r="N76" s="143">
        <v>46227</v>
      </c>
      <c r="O76" s="140">
        <v>46227</v>
      </c>
      <c r="P76" s="116">
        <f t="shared" si="2"/>
        <v>8</v>
      </c>
      <c r="Q76" s="116">
        <f t="shared" si="3"/>
        <v>0</v>
      </c>
      <c r="R76" s="144"/>
    </row>
    <row r="77" spans="1:18">
      <c r="A77" s="108">
        <v>76</v>
      </c>
      <c r="B77" s="109" t="s">
        <v>216</v>
      </c>
      <c r="C77" s="112"/>
      <c r="D77" s="109" t="s">
        <v>245</v>
      </c>
      <c r="E77" s="112"/>
      <c r="F77" s="110" t="s">
        <v>257</v>
      </c>
      <c r="G77" s="111">
        <v>50</v>
      </c>
      <c r="H77" s="112" t="s">
        <v>69</v>
      </c>
      <c r="I77" s="118">
        <v>117.34</v>
      </c>
      <c r="J77" s="119">
        <v>2522.81</v>
      </c>
      <c r="K77" s="118">
        <v>3344.19</v>
      </c>
      <c r="L77" s="113" t="s">
        <v>247</v>
      </c>
      <c r="M77" s="142">
        <v>46219</v>
      </c>
      <c r="N77" s="143">
        <v>46227</v>
      </c>
      <c r="O77" s="140">
        <v>46227</v>
      </c>
      <c r="P77" s="116">
        <f t="shared" si="2"/>
        <v>8</v>
      </c>
      <c r="Q77" s="116">
        <f t="shared" si="3"/>
        <v>0</v>
      </c>
      <c r="R77" s="144"/>
    </row>
    <row r="78" spans="1:18">
      <c r="A78" s="108">
        <v>77</v>
      </c>
      <c r="B78" s="109" t="s">
        <v>216</v>
      </c>
      <c r="C78" s="112"/>
      <c r="D78" s="109" t="s">
        <v>245</v>
      </c>
      <c r="E78" s="112"/>
      <c r="F78" s="110" t="s">
        <v>258</v>
      </c>
      <c r="G78" s="111">
        <v>30</v>
      </c>
      <c r="H78" s="112" t="s">
        <v>69</v>
      </c>
      <c r="I78" s="118">
        <v>382.4</v>
      </c>
      <c r="J78" s="119">
        <v>4932.96</v>
      </c>
      <c r="K78" s="118">
        <v>6539.04</v>
      </c>
      <c r="L78" s="113" t="s">
        <v>247</v>
      </c>
      <c r="M78" s="142">
        <v>46219</v>
      </c>
      <c r="N78" s="143">
        <v>46227</v>
      </c>
      <c r="O78" s="140">
        <v>46227</v>
      </c>
      <c r="P78" s="116">
        <f t="shared" si="2"/>
        <v>8</v>
      </c>
      <c r="Q78" s="116">
        <f t="shared" si="3"/>
        <v>0</v>
      </c>
      <c r="R78" s="144"/>
    </row>
    <row r="79" spans="1:18">
      <c r="A79" s="108">
        <v>78</v>
      </c>
      <c r="B79" s="109" t="s">
        <v>259</v>
      </c>
      <c r="C79" s="112"/>
      <c r="D79" s="109" t="s">
        <v>260</v>
      </c>
      <c r="E79" s="112"/>
      <c r="F79" s="110" t="s">
        <v>261</v>
      </c>
      <c r="G79" s="111">
        <v>2</v>
      </c>
      <c r="H79" s="112" t="s">
        <v>66</v>
      </c>
      <c r="I79" s="118">
        <v>2110</v>
      </c>
      <c r="J79" s="119"/>
      <c r="K79" s="118">
        <v>4220</v>
      </c>
      <c r="L79" s="113" t="s">
        <v>262</v>
      </c>
      <c r="M79" s="142">
        <v>46223</v>
      </c>
      <c r="N79" s="143">
        <v>46230</v>
      </c>
      <c r="O79" s="140">
        <v>46230</v>
      </c>
      <c r="P79" s="116">
        <f t="shared" si="2"/>
        <v>7</v>
      </c>
      <c r="Q79" s="116">
        <f t="shared" si="3"/>
        <v>0</v>
      </c>
      <c r="R79" s="144"/>
    </row>
    <row r="80" spans="1:18">
      <c r="A80" s="108">
        <v>79</v>
      </c>
      <c r="B80" s="109" t="s">
        <v>263</v>
      </c>
      <c r="C80" s="112"/>
      <c r="D80" s="109" t="s">
        <v>67</v>
      </c>
      <c r="E80" s="112"/>
      <c r="F80" s="110" t="s">
        <v>264</v>
      </c>
      <c r="G80" s="111">
        <v>4</v>
      </c>
      <c r="H80" s="112" t="s">
        <v>63</v>
      </c>
      <c r="I80" s="118">
        <v>150.69</v>
      </c>
      <c r="J80" s="109"/>
      <c r="K80" s="118">
        <v>602.76</v>
      </c>
      <c r="L80" s="113" t="s">
        <v>265</v>
      </c>
      <c r="M80" s="142">
        <v>46205</v>
      </c>
      <c r="N80" s="143">
        <v>46211</v>
      </c>
      <c r="O80" s="140">
        <v>46211</v>
      </c>
      <c r="P80" s="116">
        <f t="shared" si="2"/>
        <v>6</v>
      </c>
      <c r="Q80" s="116">
        <f t="shared" si="3"/>
        <v>0</v>
      </c>
      <c r="R80" s="144"/>
    </row>
    <row r="81" spans="1:18">
      <c r="A81" s="108">
        <v>80</v>
      </c>
      <c r="B81" s="109" t="s">
        <v>263</v>
      </c>
      <c r="C81" s="112"/>
      <c r="D81" s="109" t="s">
        <v>67</v>
      </c>
      <c r="E81" s="112"/>
      <c r="F81" s="110" t="s">
        <v>266</v>
      </c>
      <c r="G81" s="111">
        <v>4</v>
      </c>
      <c r="H81" s="112" t="s">
        <v>63</v>
      </c>
      <c r="I81" s="118">
        <v>297.8</v>
      </c>
      <c r="J81" s="109"/>
      <c r="K81" s="118">
        <v>1191.2</v>
      </c>
      <c r="L81" s="113" t="s">
        <v>265</v>
      </c>
      <c r="M81" s="142">
        <v>46205</v>
      </c>
      <c r="N81" s="143">
        <v>46211</v>
      </c>
      <c r="O81" s="140">
        <v>46211</v>
      </c>
      <c r="P81" s="116">
        <f t="shared" si="2"/>
        <v>6</v>
      </c>
      <c r="Q81" s="116">
        <f t="shared" si="3"/>
        <v>0</v>
      </c>
      <c r="R81" s="144"/>
    </row>
    <row r="82" spans="1:18">
      <c r="A82" s="108">
        <v>81</v>
      </c>
      <c r="B82" s="109" t="s">
        <v>263</v>
      </c>
      <c r="C82" s="112"/>
      <c r="D82" s="109" t="s">
        <v>67</v>
      </c>
      <c r="E82" s="112"/>
      <c r="F82" s="110" t="s">
        <v>267</v>
      </c>
      <c r="G82" s="111">
        <v>2</v>
      </c>
      <c r="H82" s="112" t="s">
        <v>63</v>
      </c>
      <c r="I82" s="118">
        <v>290.62</v>
      </c>
      <c r="J82" s="109"/>
      <c r="K82" s="118">
        <v>581.24</v>
      </c>
      <c r="L82" s="113" t="s">
        <v>265</v>
      </c>
      <c r="M82" s="142">
        <v>46205</v>
      </c>
      <c r="N82" s="143">
        <v>46211</v>
      </c>
      <c r="O82" s="140">
        <v>46211</v>
      </c>
      <c r="P82" s="116">
        <f t="shared" si="2"/>
        <v>6</v>
      </c>
      <c r="Q82" s="116">
        <f t="shared" si="3"/>
        <v>0</v>
      </c>
      <c r="R82" s="144"/>
    </row>
    <row r="83" spans="1:18">
      <c r="A83" s="108">
        <v>82</v>
      </c>
      <c r="B83" s="109" t="s">
        <v>263</v>
      </c>
      <c r="C83" s="112"/>
      <c r="D83" s="109" t="s">
        <v>67</v>
      </c>
      <c r="E83" s="112"/>
      <c r="F83" s="110" t="s">
        <v>268</v>
      </c>
      <c r="G83" s="111">
        <v>1</v>
      </c>
      <c r="H83" s="112" t="s">
        <v>63</v>
      </c>
      <c r="I83" s="118">
        <v>269.10000000000002</v>
      </c>
      <c r="J83" s="109"/>
      <c r="K83" s="118">
        <v>269.10000000000002</v>
      </c>
      <c r="L83" s="113" t="s">
        <v>265</v>
      </c>
      <c r="M83" s="142">
        <v>46205</v>
      </c>
      <c r="N83" s="143">
        <v>46211</v>
      </c>
      <c r="O83" s="140">
        <v>46211</v>
      </c>
      <c r="P83" s="116">
        <f t="shared" si="2"/>
        <v>6</v>
      </c>
      <c r="Q83" s="116">
        <f t="shared" si="3"/>
        <v>0</v>
      </c>
      <c r="R83" s="144"/>
    </row>
    <row r="84" spans="1:18">
      <c r="A84" s="108">
        <v>83</v>
      </c>
      <c r="B84" s="109" t="s">
        <v>263</v>
      </c>
      <c r="C84" s="112"/>
      <c r="D84" s="109" t="s">
        <v>67</v>
      </c>
      <c r="E84" s="112"/>
      <c r="F84" s="110" t="s">
        <v>269</v>
      </c>
      <c r="G84" s="111">
        <v>4</v>
      </c>
      <c r="H84" s="112" t="s">
        <v>66</v>
      </c>
      <c r="I84" s="118">
        <v>18.399999999999999</v>
      </c>
      <c r="J84" s="109"/>
      <c r="K84" s="118">
        <v>73.599999999999994</v>
      </c>
      <c r="L84" s="113" t="s">
        <v>265</v>
      </c>
      <c r="M84" s="142">
        <v>46205</v>
      </c>
      <c r="N84" s="143">
        <v>46211</v>
      </c>
      <c r="O84" s="140">
        <v>46211</v>
      </c>
      <c r="P84" s="116">
        <f t="shared" si="2"/>
        <v>6</v>
      </c>
      <c r="Q84" s="116">
        <f t="shared" si="3"/>
        <v>0</v>
      </c>
      <c r="R84" s="144"/>
    </row>
    <row r="85" spans="1:18">
      <c r="A85" s="108">
        <v>84</v>
      </c>
      <c r="B85" s="109" t="s">
        <v>263</v>
      </c>
      <c r="C85" s="112"/>
      <c r="D85" s="109" t="s">
        <v>67</v>
      </c>
      <c r="E85" s="112"/>
      <c r="F85" s="110" t="s">
        <v>270</v>
      </c>
      <c r="G85" s="111">
        <v>22</v>
      </c>
      <c r="H85" s="112" t="s">
        <v>63</v>
      </c>
      <c r="I85" s="118">
        <v>74.7</v>
      </c>
      <c r="J85" s="109"/>
      <c r="K85" s="118">
        <v>1643.4</v>
      </c>
      <c r="L85" s="113" t="s">
        <v>265</v>
      </c>
      <c r="M85" s="142">
        <v>46205</v>
      </c>
      <c r="N85" s="143">
        <v>46211</v>
      </c>
      <c r="O85" s="140">
        <v>46211</v>
      </c>
      <c r="P85" s="116">
        <f t="shared" si="2"/>
        <v>6</v>
      </c>
      <c r="Q85" s="116">
        <f t="shared" si="3"/>
        <v>0</v>
      </c>
      <c r="R85" s="144"/>
    </row>
    <row r="86" spans="1:18">
      <c r="A86" s="108">
        <v>85</v>
      </c>
      <c r="B86" s="109" t="s">
        <v>263</v>
      </c>
      <c r="C86" s="112"/>
      <c r="D86" s="109" t="s">
        <v>67</v>
      </c>
      <c r="E86" s="112"/>
      <c r="F86" s="110" t="s">
        <v>271</v>
      </c>
      <c r="G86" s="111">
        <v>2</v>
      </c>
      <c r="H86" s="112" t="s">
        <v>63</v>
      </c>
      <c r="I86" s="118">
        <v>323.95</v>
      </c>
      <c r="J86" s="109"/>
      <c r="K86" s="118">
        <v>647.9</v>
      </c>
      <c r="L86" s="113" t="s">
        <v>265</v>
      </c>
      <c r="M86" s="142">
        <v>46205</v>
      </c>
      <c r="N86" s="143">
        <v>46211</v>
      </c>
      <c r="O86" s="140">
        <v>46211</v>
      </c>
      <c r="P86" s="116">
        <f t="shared" si="2"/>
        <v>6</v>
      </c>
      <c r="Q86" s="116">
        <f t="shared" si="3"/>
        <v>0</v>
      </c>
      <c r="R86" s="144"/>
    </row>
    <row r="87" spans="1:18">
      <c r="A87" s="108">
        <v>86</v>
      </c>
      <c r="B87" s="109" t="s">
        <v>263</v>
      </c>
      <c r="C87" s="112"/>
      <c r="D87" s="109" t="s">
        <v>67</v>
      </c>
      <c r="E87" s="112"/>
      <c r="F87" s="110" t="s">
        <v>272</v>
      </c>
      <c r="G87" s="111">
        <v>2</v>
      </c>
      <c r="H87" s="112" t="s">
        <v>63</v>
      </c>
      <c r="I87" s="118">
        <v>88.24</v>
      </c>
      <c r="J87" s="109"/>
      <c r="K87" s="118">
        <v>176.48</v>
      </c>
      <c r="L87" s="113" t="s">
        <v>265</v>
      </c>
      <c r="M87" s="142">
        <v>46205</v>
      </c>
      <c r="N87" s="143">
        <v>46211</v>
      </c>
      <c r="O87" s="140">
        <v>46211</v>
      </c>
      <c r="P87" s="116">
        <f t="shared" si="2"/>
        <v>6</v>
      </c>
      <c r="Q87" s="116">
        <f t="shared" si="3"/>
        <v>0</v>
      </c>
      <c r="R87" s="144"/>
    </row>
    <row r="88" spans="1:18">
      <c r="A88" s="108">
        <v>87</v>
      </c>
      <c r="B88" s="109" t="s">
        <v>273</v>
      </c>
      <c r="C88" s="112"/>
      <c r="D88" s="109" t="s">
        <v>274</v>
      </c>
      <c r="E88" s="112"/>
      <c r="F88" s="110" t="s">
        <v>275</v>
      </c>
      <c r="G88" s="111">
        <v>1</v>
      </c>
      <c r="H88" s="112" t="s">
        <v>66</v>
      </c>
      <c r="I88" s="118">
        <v>2600</v>
      </c>
      <c r="J88" s="109"/>
      <c r="K88" s="118">
        <v>2600</v>
      </c>
      <c r="L88" s="113" t="s">
        <v>276</v>
      </c>
      <c r="M88" s="142">
        <v>46195</v>
      </c>
      <c r="N88" s="143">
        <v>46211</v>
      </c>
      <c r="O88" s="140">
        <v>46211</v>
      </c>
      <c r="P88" s="116">
        <f t="shared" si="2"/>
        <v>16</v>
      </c>
      <c r="Q88" s="116">
        <f t="shared" si="3"/>
        <v>0</v>
      </c>
      <c r="R88" s="144"/>
    </row>
    <row r="89" spans="1:18">
      <c r="A89" s="108">
        <v>88</v>
      </c>
      <c r="B89" s="109" t="s">
        <v>277</v>
      </c>
      <c r="C89" s="112"/>
      <c r="D89" s="109" t="s">
        <v>75</v>
      </c>
      <c r="E89" s="112"/>
      <c r="F89" s="110" t="s">
        <v>278</v>
      </c>
      <c r="G89" s="111">
        <v>2</v>
      </c>
      <c r="H89" s="112" t="s">
        <v>66</v>
      </c>
      <c r="I89" s="118">
        <v>2280</v>
      </c>
      <c r="J89" s="119">
        <v>560</v>
      </c>
      <c r="K89" s="118">
        <v>4000</v>
      </c>
      <c r="L89" s="113" t="s">
        <v>279</v>
      </c>
      <c r="M89" s="142">
        <v>46206</v>
      </c>
      <c r="N89" s="143">
        <v>46213</v>
      </c>
      <c r="O89" s="140">
        <v>46213</v>
      </c>
      <c r="P89" s="116">
        <f t="shared" si="2"/>
        <v>7</v>
      </c>
      <c r="Q89" s="116">
        <f t="shared" si="3"/>
        <v>0</v>
      </c>
      <c r="R89" s="144"/>
    </row>
    <row r="90" spans="1:18">
      <c r="A90" s="108">
        <v>89</v>
      </c>
      <c r="B90" s="109" t="s">
        <v>216</v>
      </c>
      <c r="C90" s="112"/>
      <c r="D90" s="109" t="s">
        <v>280</v>
      </c>
      <c r="E90" s="112"/>
      <c r="F90" s="110" t="s">
        <v>281</v>
      </c>
      <c r="G90" s="111">
        <v>1</v>
      </c>
      <c r="H90" s="112" t="s">
        <v>66</v>
      </c>
      <c r="I90" s="118">
        <v>1325</v>
      </c>
      <c r="J90" s="109"/>
      <c r="K90" s="118">
        <v>1325</v>
      </c>
      <c r="L90" s="113" t="s">
        <v>282</v>
      </c>
      <c r="M90" s="142">
        <v>46219</v>
      </c>
      <c r="N90" s="143">
        <v>46226</v>
      </c>
      <c r="O90" s="140">
        <v>46226</v>
      </c>
      <c r="P90" s="116">
        <f t="shared" si="2"/>
        <v>7</v>
      </c>
      <c r="Q90" s="116">
        <f t="shared" si="3"/>
        <v>0</v>
      </c>
      <c r="R90" s="144"/>
    </row>
    <row r="91" spans="1:18">
      <c r="A91" s="108">
        <v>90</v>
      </c>
      <c r="B91" s="109" t="s">
        <v>216</v>
      </c>
      <c r="C91" s="112"/>
      <c r="D91" s="109" t="s">
        <v>280</v>
      </c>
      <c r="E91" s="112"/>
      <c r="F91" s="110" t="s">
        <v>283</v>
      </c>
      <c r="G91" s="111">
        <v>1</v>
      </c>
      <c r="H91" s="112" t="s">
        <v>66</v>
      </c>
      <c r="I91" s="118">
        <v>15800</v>
      </c>
      <c r="J91" s="109"/>
      <c r="K91" s="118">
        <v>15800</v>
      </c>
      <c r="L91" s="113" t="s">
        <v>282</v>
      </c>
      <c r="M91" s="142">
        <v>46219</v>
      </c>
      <c r="N91" s="143">
        <v>46226</v>
      </c>
      <c r="O91" s="140">
        <v>46226</v>
      </c>
      <c r="P91" s="116">
        <f t="shared" si="2"/>
        <v>7</v>
      </c>
      <c r="Q91" s="116">
        <f t="shared" si="3"/>
        <v>0</v>
      </c>
      <c r="R91" s="144"/>
    </row>
    <row r="92" spans="1:18">
      <c r="A92" s="108">
        <v>91</v>
      </c>
      <c r="B92" s="109" t="s">
        <v>216</v>
      </c>
      <c r="C92" s="112"/>
      <c r="D92" s="109" t="s">
        <v>280</v>
      </c>
      <c r="E92" s="112"/>
      <c r="F92" s="110" t="s">
        <v>284</v>
      </c>
      <c r="G92" s="111">
        <v>1</v>
      </c>
      <c r="H92" s="112" t="s">
        <v>66</v>
      </c>
      <c r="I92" s="118">
        <v>927.5</v>
      </c>
      <c r="J92" s="109"/>
      <c r="K92" s="118">
        <v>927.5</v>
      </c>
      <c r="L92" s="113" t="s">
        <v>282</v>
      </c>
      <c r="M92" s="142">
        <v>46219</v>
      </c>
      <c r="N92" s="143">
        <v>46226</v>
      </c>
      <c r="O92" s="140">
        <v>46226</v>
      </c>
      <c r="P92" s="116">
        <f t="shared" si="2"/>
        <v>7</v>
      </c>
      <c r="Q92" s="116">
        <f t="shared" si="3"/>
        <v>0</v>
      </c>
      <c r="R92" s="144"/>
    </row>
    <row r="93" spans="1:18">
      <c r="A93" s="108">
        <v>92</v>
      </c>
      <c r="B93" s="109" t="s">
        <v>216</v>
      </c>
      <c r="C93" s="112"/>
      <c r="D93" s="109" t="s">
        <v>280</v>
      </c>
      <c r="E93" s="112"/>
      <c r="F93" s="110" t="s">
        <v>285</v>
      </c>
      <c r="G93" s="111">
        <v>1</v>
      </c>
      <c r="H93" s="112" t="s">
        <v>66</v>
      </c>
      <c r="I93" s="118">
        <v>4100</v>
      </c>
      <c r="J93" s="109"/>
      <c r="K93" s="118">
        <v>4100</v>
      </c>
      <c r="L93" s="113" t="s">
        <v>282</v>
      </c>
      <c r="M93" s="142">
        <v>46219</v>
      </c>
      <c r="N93" s="143">
        <v>46226</v>
      </c>
      <c r="O93" s="140">
        <v>46226</v>
      </c>
      <c r="P93" s="116">
        <f t="shared" si="2"/>
        <v>7</v>
      </c>
      <c r="Q93" s="116">
        <f t="shared" si="3"/>
        <v>0</v>
      </c>
      <c r="R93" s="144"/>
    </row>
    <row r="94" spans="1:18">
      <c r="A94" s="108">
        <v>93</v>
      </c>
      <c r="B94" s="109" t="s">
        <v>216</v>
      </c>
      <c r="C94" s="112"/>
      <c r="D94" s="109" t="s">
        <v>280</v>
      </c>
      <c r="E94" s="112"/>
      <c r="F94" s="110" t="s">
        <v>286</v>
      </c>
      <c r="G94" s="111">
        <v>2</v>
      </c>
      <c r="H94" s="112" t="s">
        <v>66</v>
      </c>
      <c r="I94" s="118">
        <v>1225</v>
      </c>
      <c r="J94" s="109"/>
      <c r="K94" s="118">
        <v>2450</v>
      </c>
      <c r="L94" s="113" t="s">
        <v>282</v>
      </c>
      <c r="M94" s="142">
        <v>46219</v>
      </c>
      <c r="N94" s="143">
        <v>46226</v>
      </c>
      <c r="O94" s="140">
        <v>46226</v>
      </c>
      <c r="P94" s="116">
        <f t="shared" si="2"/>
        <v>7</v>
      </c>
      <c r="Q94" s="116">
        <f t="shared" si="3"/>
        <v>0</v>
      </c>
      <c r="R94" s="144"/>
    </row>
    <row r="95" spans="1:18">
      <c r="A95" s="108">
        <v>94</v>
      </c>
      <c r="B95" s="109" t="s">
        <v>216</v>
      </c>
      <c r="C95" s="112"/>
      <c r="D95" s="109" t="s">
        <v>280</v>
      </c>
      <c r="E95" s="112"/>
      <c r="F95" s="110" t="s">
        <v>287</v>
      </c>
      <c r="G95" s="111">
        <v>2</v>
      </c>
      <c r="H95" s="112" t="s">
        <v>66</v>
      </c>
      <c r="I95" s="118">
        <v>900</v>
      </c>
      <c r="J95" s="109"/>
      <c r="K95" s="118">
        <v>1800</v>
      </c>
      <c r="L95" s="113" t="s">
        <v>282</v>
      </c>
      <c r="M95" s="142">
        <v>46219</v>
      </c>
      <c r="N95" s="143">
        <v>46226</v>
      </c>
      <c r="O95" s="140">
        <v>46226</v>
      </c>
      <c r="P95" s="116">
        <f t="shared" si="2"/>
        <v>7</v>
      </c>
      <c r="Q95" s="116">
        <f t="shared" si="3"/>
        <v>0</v>
      </c>
      <c r="R95" s="144"/>
    </row>
    <row r="96" spans="1:18">
      <c r="A96" s="108">
        <v>95</v>
      </c>
      <c r="B96" s="109" t="s">
        <v>216</v>
      </c>
      <c r="C96" s="112"/>
      <c r="D96" s="109" t="s">
        <v>280</v>
      </c>
      <c r="E96" s="112"/>
      <c r="F96" s="110" t="s">
        <v>288</v>
      </c>
      <c r="G96" s="111">
        <v>1</v>
      </c>
      <c r="H96" s="112" t="s">
        <v>66</v>
      </c>
      <c r="I96" s="118">
        <v>95.46</v>
      </c>
      <c r="J96" s="109"/>
      <c r="K96" s="118">
        <v>95.46</v>
      </c>
      <c r="L96" s="113" t="s">
        <v>282</v>
      </c>
      <c r="M96" s="142">
        <v>46219</v>
      </c>
      <c r="N96" s="143">
        <v>46226</v>
      </c>
      <c r="O96" s="140">
        <v>46226</v>
      </c>
      <c r="P96" s="116">
        <f t="shared" si="2"/>
        <v>7</v>
      </c>
      <c r="Q96" s="116">
        <f t="shared" si="3"/>
        <v>0</v>
      </c>
      <c r="R96" s="144"/>
    </row>
    <row r="97" spans="1:18">
      <c r="A97" s="108">
        <v>96</v>
      </c>
      <c r="B97" s="109" t="s">
        <v>216</v>
      </c>
      <c r="C97" s="112"/>
      <c r="D97" s="109" t="s">
        <v>280</v>
      </c>
      <c r="E97" s="112"/>
      <c r="F97" s="110" t="s">
        <v>289</v>
      </c>
      <c r="G97" s="111">
        <v>20</v>
      </c>
      <c r="H97" s="112" t="s">
        <v>66</v>
      </c>
      <c r="I97" s="118">
        <v>59.4</v>
      </c>
      <c r="J97" s="109"/>
      <c r="K97" s="118">
        <v>1188</v>
      </c>
      <c r="L97" s="113" t="s">
        <v>282</v>
      </c>
      <c r="M97" s="142">
        <v>46219</v>
      </c>
      <c r="N97" s="143">
        <v>46226</v>
      </c>
      <c r="O97" s="140">
        <v>46226</v>
      </c>
      <c r="P97" s="116">
        <f t="shared" si="2"/>
        <v>7</v>
      </c>
      <c r="Q97" s="116">
        <f t="shared" si="3"/>
        <v>0</v>
      </c>
      <c r="R97" s="144"/>
    </row>
    <row r="98" spans="1:18">
      <c r="A98" s="108">
        <v>97</v>
      </c>
      <c r="B98" s="109" t="s">
        <v>216</v>
      </c>
      <c r="C98" s="112"/>
      <c r="D98" s="109" t="s">
        <v>280</v>
      </c>
      <c r="E98" s="112"/>
      <c r="F98" s="110" t="s">
        <v>290</v>
      </c>
      <c r="G98" s="111">
        <v>50</v>
      </c>
      <c r="H98" s="112" t="s">
        <v>66</v>
      </c>
      <c r="I98" s="118">
        <v>23.31</v>
      </c>
      <c r="J98" s="109"/>
      <c r="K98" s="118">
        <v>1165.5</v>
      </c>
      <c r="L98" s="113" t="s">
        <v>282</v>
      </c>
      <c r="M98" s="142">
        <v>46219</v>
      </c>
      <c r="N98" s="143">
        <v>46226</v>
      </c>
      <c r="O98" s="140">
        <v>46226</v>
      </c>
      <c r="P98" s="116">
        <f t="shared" si="2"/>
        <v>7</v>
      </c>
      <c r="Q98" s="116">
        <f t="shared" si="3"/>
        <v>0</v>
      </c>
      <c r="R98" s="144"/>
    </row>
    <row r="99" spans="1:18">
      <c r="A99" s="108">
        <v>98</v>
      </c>
      <c r="B99" s="109" t="s">
        <v>216</v>
      </c>
      <c r="C99" s="112"/>
      <c r="D99" s="109" t="s">
        <v>280</v>
      </c>
      <c r="E99" s="112"/>
      <c r="F99" s="110" t="s">
        <v>291</v>
      </c>
      <c r="G99" s="111">
        <v>5</v>
      </c>
      <c r="H99" s="112" t="s">
        <v>66</v>
      </c>
      <c r="I99" s="118">
        <v>182.91</v>
      </c>
      <c r="J99" s="109"/>
      <c r="K99" s="118">
        <v>914.55</v>
      </c>
      <c r="L99" s="113" t="s">
        <v>282</v>
      </c>
      <c r="M99" s="142">
        <v>46219</v>
      </c>
      <c r="N99" s="143">
        <v>46226</v>
      </c>
      <c r="O99" s="140">
        <v>46226</v>
      </c>
      <c r="P99" s="116">
        <f t="shared" si="2"/>
        <v>7</v>
      </c>
      <c r="Q99" s="116">
        <f t="shared" si="3"/>
        <v>0</v>
      </c>
      <c r="R99" s="144"/>
    </row>
    <row r="100" spans="1:18">
      <c r="A100" s="108">
        <v>99</v>
      </c>
      <c r="B100" s="109" t="s">
        <v>216</v>
      </c>
      <c r="C100" s="112"/>
      <c r="D100" s="109" t="s">
        <v>280</v>
      </c>
      <c r="E100" s="112"/>
      <c r="F100" s="110" t="s">
        <v>292</v>
      </c>
      <c r="G100" s="111">
        <v>4</v>
      </c>
      <c r="H100" s="112" t="s">
        <v>66</v>
      </c>
      <c r="I100" s="118">
        <v>201.63</v>
      </c>
      <c r="J100" s="109"/>
      <c r="K100" s="118">
        <v>806.52</v>
      </c>
      <c r="L100" s="113" t="s">
        <v>282</v>
      </c>
      <c r="M100" s="142">
        <v>46219</v>
      </c>
      <c r="N100" s="143">
        <v>46226</v>
      </c>
      <c r="O100" s="140">
        <v>46226</v>
      </c>
      <c r="P100" s="116">
        <f t="shared" si="2"/>
        <v>7</v>
      </c>
      <c r="Q100" s="116">
        <f t="shared" si="3"/>
        <v>0</v>
      </c>
      <c r="R100" s="144"/>
    </row>
    <row r="101" spans="1:18">
      <c r="A101" s="108">
        <v>100</v>
      </c>
      <c r="B101" s="109" t="s">
        <v>216</v>
      </c>
      <c r="C101" s="112"/>
      <c r="D101" s="109" t="s">
        <v>280</v>
      </c>
      <c r="E101" s="112"/>
      <c r="F101" s="110" t="s">
        <v>293</v>
      </c>
      <c r="G101" s="111">
        <v>7</v>
      </c>
      <c r="H101" s="112" t="s">
        <v>66</v>
      </c>
      <c r="I101" s="118">
        <v>130</v>
      </c>
      <c r="J101" s="109"/>
      <c r="K101" s="118">
        <v>910</v>
      </c>
      <c r="L101" s="113" t="s">
        <v>282</v>
      </c>
      <c r="M101" s="142">
        <v>46219</v>
      </c>
      <c r="N101" s="143">
        <v>46226</v>
      </c>
      <c r="O101" s="140">
        <v>46226</v>
      </c>
      <c r="P101" s="116">
        <f t="shared" si="2"/>
        <v>7</v>
      </c>
      <c r="Q101" s="116">
        <f t="shared" si="3"/>
        <v>0</v>
      </c>
      <c r="R101" s="144"/>
    </row>
    <row r="102" spans="1:18">
      <c r="A102" s="108">
        <v>101</v>
      </c>
      <c r="B102" s="109" t="s">
        <v>216</v>
      </c>
      <c r="C102" s="112"/>
      <c r="D102" s="109" t="s">
        <v>280</v>
      </c>
      <c r="E102" s="112"/>
      <c r="F102" s="110" t="s">
        <v>294</v>
      </c>
      <c r="G102" s="111">
        <v>7</v>
      </c>
      <c r="H102" s="112" t="s">
        <v>66</v>
      </c>
      <c r="I102" s="118">
        <v>57</v>
      </c>
      <c r="J102" s="109"/>
      <c r="K102" s="118">
        <v>399</v>
      </c>
      <c r="L102" s="113" t="s">
        <v>282</v>
      </c>
      <c r="M102" s="142">
        <v>46219</v>
      </c>
      <c r="N102" s="143">
        <v>46226</v>
      </c>
      <c r="O102" s="140">
        <v>46226</v>
      </c>
      <c r="P102" s="116">
        <f t="shared" si="2"/>
        <v>7</v>
      </c>
      <c r="Q102" s="116">
        <f t="shared" si="3"/>
        <v>0</v>
      </c>
      <c r="R102" s="144"/>
    </row>
    <row r="103" spans="1:18">
      <c r="A103" s="108">
        <v>102</v>
      </c>
      <c r="B103" s="109" t="s">
        <v>216</v>
      </c>
      <c r="C103" s="112"/>
      <c r="D103" s="109" t="s">
        <v>280</v>
      </c>
      <c r="E103" s="112"/>
      <c r="F103" s="110" t="s">
        <v>295</v>
      </c>
      <c r="G103" s="111">
        <v>1</v>
      </c>
      <c r="H103" s="112" t="s">
        <v>66</v>
      </c>
      <c r="I103" s="118">
        <v>1225</v>
      </c>
      <c r="J103" s="109"/>
      <c r="K103" s="118">
        <v>1225</v>
      </c>
      <c r="L103" s="113" t="s">
        <v>282</v>
      </c>
      <c r="M103" s="142">
        <v>46219</v>
      </c>
      <c r="N103" s="143">
        <v>46226</v>
      </c>
      <c r="O103" s="140">
        <v>46226</v>
      </c>
      <c r="P103" s="116">
        <f t="shared" si="2"/>
        <v>7</v>
      </c>
      <c r="Q103" s="116">
        <f t="shared" si="3"/>
        <v>0</v>
      </c>
      <c r="R103" s="144"/>
    </row>
    <row r="104" spans="1:18">
      <c r="A104" s="108">
        <v>103</v>
      </c>
      <c r="B104" s="109" t="s">
        <v>222</v>
      </c>
      <c r="C104" s="112"/>
      <c r="D104" s="109" t="s">
        <v>296</v>
      </c>
      <c r="E104" s="112"/>
      <c r="F104" s="110" t="s">
        <v>297</v>
      </c>
      <c r="G104" s="111">
        <v>10</v>
      </c>
      <c r="H104" s="112" t="s">
        <v>69</v>
      </c>
      <c r="I104" s="118">
        <v>450</v>
      </c>
      <c r="J104" s="119">
        <v>225</v>
      </c>
      <c r="K104" s="118">
        <v>4275</v>
      </c>
      <c r="L104" s="113" t="s">
        <v>298</v>
      </c>
      <c r="M104" s="142">
        <v>46218</v>
      </c>
      <c r="N104" s="143">
        <v>46226</v>
      </c>
      <c r="O104" s="140">
        <v>46226</v>
      </c>
      <c r="P104" s="116">
        <f t="shared" si="2"/>
        <v>8</v>
      </c>
      <c r="Q104" s="116">
        <f t="shared" si="3"/>
        <v>0</v>
      </c>
      <c r="R104" s="144"/>
    </row>
    <row r="105" spans="1:18">
      <c r="A105" s="108">
        <v>104</v>
      </c>
      <c r="B105" s="146" t="s">
        <v>299</v>
      </c>
      <c r="C105" s="147"/>
      <c r="D105" s="146" t="s">
        <v>67</v>
      </c>
      <c r="E105" s="147"/>
      <c r="F105" s="148" t="s">
        <v>300</v>
      </c>
      <c r="G105" s="149">
        <v>1</v>
      </c>
      <c r="H105" s="147" t="s">
        <v>66</v>
      </c>
      <c r="I105" s="150">
        <v>632.5</v>
      </c>
      <c r="J105" s="146"/>
      <c r="K105" s="150">
        <v>632.5</v>
      </c>
      <c r="L105" s="151" t="s">
        <v>301</v>
      </c>
      <c r="M105" s="152">
        <v>46195</v>
      </c>
      <c r="N105" s="143">
        <v>46205</v>
      </c>
      <c r="O105" s="140">
        <v>46205</v>
      </c>
      <c r="P105" s="153">
        <f t="shared" si="2"/>
        <v>10</v>
      </c>
      <c r="Q105" s="153">
        <f t="shared" si="3"/>
        <v>0</v>
      </c>
      <c r="R105" s="144"/>
    </row>
    <row r="106" spans="1:18">
      <c r="A106" s="108">
        <v>105</v>
      </c>
      <c r="B106" s="109" t="s">
        <v>299</v>
      </c>
      <c r="C106" s="112"/>
      <c r="D106" s="109" t="s">
        <v>67</v>
      </c>
      <c r="E106" s="112"/>
      <c r="F106" s="110" t="s">
        <v>302</v>
      </c>
      <c r="G106" s="111">
        <v>1</v>
      </c>
      <c r="H106" s="112" t="s">
        <v>66</v>
      </c>
      <c r="I106" s="118">
        <v>818.75</v>
      </c>
      <c r="J106" s="109"/>
      <c r="K106" s="118">
        <v>818.75</v>
      </c>
      <c r="L106" s="113" t="s">
        <v>301</v>
      </c>
      <c r="M106" s="142">
        <v>46195</v>
      </c>
      <c r="N106" s="143">
        <v>46205</v>
      </c>
      <c r="O106" s="140">
        <v>46205</v>
      </c>
      <c r="P106" s="116">
        <f t="shared" si="2"/>
        <v>10</v>
      </c>
      <c r="Q106" s="116">
        <f t="shared" si="3"/>
        <v>0</v>
      </c>
      <c r="R106" s="144"/>
    </row>
    <row r="107" spans="1:18">
      <c r="A107" s="108">
        <v>106</v>
      </c>
      <c r="B107" s="109" t="s">
        <v>194</v>
      </c>
      <c r="C107" s="112"/>
      <c r="D107" s="109" t="s">
        <v>260</v>
      </c>
      <c r="E107" s="112"/>
      <c r="F107" s="110" t="s">
        <v>303</v>
      </c>
      <c r="G107" s="111">
        <v>1</v>
      </c>
      <c r="H107" s="112" t="s">
        <v>85</v>
      </c>
      <c r="I107" s="118">
        <v>620</v>
      </c>
      <c r="J107" s="109"/>
      <c r="K107" s="118">
        <v>620</v>
      </c>
      <c r="L107" s="113" t="s">
        <v>304</v>
      </c>
      <c r="M107" s="142">
        <v>46203</v>
      </c>
      <c r="N107" s="143">
        <v>46210</v>
      </c>
      <c r="O107" s="140">
        <v>46210</v>
      </c>
      <c r="P107" s="116">
        <f t="shared" si="2"/>
        <v>7</v>
      </c>
      <c r="Q107" s="116">
        <f t="shared" si="3"/>
        <v>0</v>
      </c>
      <c r="R107" s="144"/>
    </row>
    <row r="108" spans="1:18">
      <c r="A108" s="108">
        <v>107</v>
      </c>
      <c r="B108" s="109" t="s">
        <v>194</v>
      </c>
      <c r="C108" s="112"/>
      <c r="D108" s="109" t="s">
        <v>260</v>
      </c>
      <c r="E108" s="112"/>
      <c r="F108" s="110" t="s">
        <v>305</v>
      </c>
      <c r="G108" s="111">
        <v>1</v>
      </c>
      <c r="H108" s="112" t="s">
        <v>85</v>
      </c>
      <c r="I108" s="118">
        <v>720</v>
      </c>
      <c r="J108" s="109"/>
      <c r="K108" s="118">
        <v>720</v>
      </c>
      <c r="L108" s="113" t="s">
        <v>304</v>
      </c>
      <c r="M108" s="142">
        <v>46203</v>
      </c>
      <c r="N108" s="143">
        <v>46210</v>
      </c>
      <c r="O108" s="140">
        <v>46210</v>
      </c>
      <c r="P108" s="116">
        <f t="shared" si="2"/>
        <v>7</v>
      </c>
      <c r="Q108" s="116">
        <f t="shared" si="3"/>
        <v>0</v>
      </c>
      <c r="R108" s="144"/>
    </row>
    <row r="109" spans="1:18">
      <c r="A109" s="108">
        <v>108</v>
      </c>
      <c r="B109" s="109" t="s">
        <v>306</v>
      </c>
      <c r="C109" s="112"/>
      <c r="D109" s="109" t="s">
        <v>67</v>
      </c>
      <c r="E109" s="112"/>
      <c r="F109" s="110" t="s">
        <v>307</v>
      </c>
      <c r="G109" s="111">
        <v>1</v>
      </c>
      <c r="H109" s="112" t="s">
        <v>63</v>
      </c>
      <c r="I109" s="118">
        <v>449.6</v>
      </c>
      <c r="J109" s="109"/>
      <c r="K109" s="118">
        <v>449.6</v>
      </c>
      <c r="L109" s="113" t="s">
        <v>308</v>
      </c>
      <c r="M109" s="142">
        <v>46204</v>
      </c>
      <c r="N109" s="143">
        <v>46210</v>
      </c>
      <c r="O109" s="140">
        <v>46210</v>
      </c>
      <c r="P109" s="116">
        <f t="shared" si="2"/>
        <v>6</v>
      </c>
      <c r="Q109" s="116">
        <f t="shared" si="3"/>
        <v>0</v>
      </c>
      <c r="R109" s="144"/>
    </row>
    <row r="110" spans="1:18">
      <c r="A110" s="108">
        <v>109</v>
      </c>
      <c r="B110" s="109" t="s">
        <v>306</v>
      </c>
      <c r="C110" s="112"/>
      <c r="D110" s="109" t="s">
        <v>67</v>
      </c>
      <c r="E110" s="112"/>
      <c r="F110" s="110" t="s">
        <v>309</v>
      </c>
      <c r="G110" s="111">
        <v>1</v>
      </c>
      <c r="H110" s="112" t="s">
        <v>63</v>
      </c>
      <c r="I110" s="118">
        <v>5928.75</v>
      </c>
      <c r="J110" s="109"/>
      <c r="K110" s="118">
        <v>5928.75</v>
      </c>
      <c r="L110" s="113" t="s">
        <v>308</v>
      </c>
      <c r="M110" s="142">
        <v>46204</v>
      </c>
      <c r="N110" s="143">
        <v>46210</v>
      </c>
      <c r="O110" s="140">
        <v>46210</v>
      </c>
      <c r="P110" s="116">
        <f t="shared" si="2"/>
        <v>6</v>
      </c>
      <c r="Q110" s="116">
        <f t="shared" si="3"/>
        <v>0</v>
      </c>
      <c r="R110" s="144"/>
    </row>
    <row r="111" spans="1:18">
      <c r="A111" s="108">
        <v>110</v>
      </c>
      <c r="B111" s="109" t="s">
        <v>310</v>
      </c>
      <c r="C111" s="112"/>
      <c r="D111" s="109" t="s">
        <v>311</v>
      </c>
      <c r="E111" s="112"/>
      <c r="F111" s="110" t="s">
        <v>312</v>
      </c>
      <c r="G111" s="111">
        <v>11</v>
      </c>
      <c r="H111" s="112" t="s">
        <v>74</v>
      </c>
      <c r="I111" s="118">
        <v>300</v>
      </c>
      <c r="J111" s="109"/>
      <c r="K111" s="118">
        <v>3300</v>
      </c>
      <c r="L111" s="113" t="s">
        <v>313</v>
      </c>
      <c r="M111" s="142">
        <v>46203</v>
      </c>
      <c r="N111" s="143">
        <v>46210</v>
      </c>
      <c r="O111" s="140">
        <v>46210</v>
      </c>
      <c r="P111" s="116">
        <f t="shared" si="2"/>
        <v>7</v>
      </c>
      <c r="Q111" s="116">
        <f t="shared" si="3"/>
        <v>0</v>
      </c>
      <c r="R111" s="144"/>
    </row>
    <row r="112" spans="1:18">
      <c r="A112" s="108">
        <v>111</v>
      </c>
      <c r="B112" s="109" t="s">
        <v>310</v>
      </c>
      <c r="C112" s="112"/>
      <c r="D112" s="109" t="s">
        <v>311</v>
      </c>
      <c r="E112" s="112"/>
      <c r="F112" s="110" t="s">
        <v>314</v>
      </c>
      <c r="G112" s="111">
        <v>1</v>
      </c>
      <c r="H112" s="112" t="s">
        <v>74</v>
      </c>
      <c r="I112" s="118">
        <v>160</v>
      </c>
      <c r="J112" s="109"/>
      <c r="K112" s="118">
        <v>160</v>
      </c>
      <c r="L112" s="113" t="s">
        <v>313</v>
      </c>
      <c r="M112" s="142">
        <v>46203</v>
      </c>
      <c r="N112" s="143">
        <v>46210</v>
      </c>
      <c r="O112" s="140">
        <v>46210</v>
      </c>
      <c r="P112" s="116">
        <f t="shared" si="2"/>
        <v>7</v>
      </c>
      <c r="Q112" s="116">
        <f t="shared" si="3"/>
        <v>0</v>
      </c>
      <c r="R112" s="144"/>
    </row>
    <row r="113" spans="1:18">
      <c r="A113" s="108">
        <v>112</v>
      </c>
      <c r="B113" s="109" t="s">
        <v>310</v>
      </c>
      <c r="C113" s="112"/>
      <c r="D113" s="109" t="s">
        <v>311</v>
      </c>
      <c r="E113" s="112"/>
      <c r="F113" s="110" t="s">
        <v>315</v>
      </c>
      <c r="G113" s="111">
        <v>1</v>
      </c>
      <c r="H113" s="112" t="s">
        <v>66</v>
      </c>
      <c r="I113" s="118">
        <v>5370</v>
      </c>
      <c r="J113" s="109"/>
      <c r="K113" s="118">
        <v>5370</v>
      </c>
      <c r="L113" s="113" t="s">
        <v>313</v>
      </c>
      <c r="M113" s="142">
        <v>46203</v>
      </c>
      <c r="N113" s="143">
        <v>46210</v>
      </c>
      <c r="O113" s="140">
        <v>46210</v>
      </c>
      <c r="P113" s="116">
        <f t="shared" si="2"/>
        <v>7</v>
      </c>
      <c r="Q113" s="116">
        <f t="shared" si="3"/>
        <v>0</v>
      </c>
      <c r="R113" s="144"/>
    </row>
    <row r="114" spans="1:18">
      <c r="A114" s="108">
        <v>113</v>
      </c>
      <c r="B114" s="109" t="s">
        <v>310</v>
      </c>
      <c r="C114" s="112"/>
      <c r="D114" s="109" t="s">
        <v>311</v>
      </c>
      <c r="E114" s="112"/>
      <c r="F114" s="110" t="s">
        <v>316</v>
      </c>
      <c r="G114" s="111">
        <v>1</v>
      </c>
      <c r="H114" s="112" t="s">
        <v>66</v>
      </c>
      <c r="I114" s="118">
        <v>2680</v>
      </c>
      <c r="J114" s="109"/>
      <c r="K114" s="118">
        <v>2680</v>
      </c>
      <c r="L114" s="113" t="s">
        <v>313</v>
      </c>
      <c r="M114" s="142">
        <v>46203</v>
      </c>
      <c r="N114" s="143">
        <v>46210</v>
      </c>
      <c r="O114" s="140">
        <v>46210</v>
      </c>
      <c r="P114" s="116">
        <f t="shared" si="2"/>
        <v>7</v>
      </c>
      <c r="Q114" s="116">
        <f t="shared" si="3"/>
        <v>0</v>
      </c>
      <c r="R114" s="144"/>
    </row>
    <row r="115" spans="1:18">
      <c r="A115" s="108">
        <v>114</v>
      </c>
      <c r="B115" s="109" t="s">
        <v>310</v>
      </c>
      <c r="C115" s="112"/>
      <c r="D115" s="109" t="s">
        <v>311</v>
      </c>
      <c r="E115" s="112"/>
      <c r="F115" s="110" t="s">
        <v>317</v>
      </c>
      <c r="G115" s="111">
        <v>1</v>
      </c>
      <c r="H115" s="112" t="s">
        <v>66</v>
      </c>
      <c r="I115" s="118">
        <v>1540</v>
      </c>
      <c r="J115" s="109"/>
      <c r="K115" s="118">
        <v>1540</v>
      </c>
      <c r="L115" s="113" t="s">
        <v>313</v>
      </c>
      <c r="M115" s="142">
        <v>46203</v>
      </c>
      <c r="N115" s="143">
        <v>46210</v>
      </c>
      <c r="O115" s="140">
        <v>46210</v>
      </c>
      <c r="P115" s="116">
        <f t="shared" si="2"/>
        <v>7</v>
      </c>
      <c r="Q115" s="116">
        <f t="shared" si="3"/>
        <v>0</v>
      </c>
      <c r="R115" s="144"/>
    </row>
    <row r="116" spans="1:18">
      <c r="A116" s="108">
        <v>115</v>
      </c>
      <c r="B116" s="109" t="s">
        <v>310</v>
      </c>
      <c r="C116" s="112"/>
      <c r="D116" s="109" t="s">
        <v>311</v>
      </c>
      <c r="E116" s="112"/>
      <c r="F116" s="110" t="s">
        <v>104</v>
      </c>
      <c r="G116" s="111">
        <v>10</v>
      </c>
      <c r="H116" s="112" t="s">
        <v>66</v>
      </c>
      <c r="I116" s="118">
        <v>840</v>
      </c>
      <c r="J116" s="109"/>
      <c r="K116" s="118">
        <v>8400</v>
      </c>
      <c r="L116" s="113" t="s">
        <v>313</v>
      </c>
      <c r="M116" s="142">
        <v>46203</v>
      </c>
      <c r="N116" s="143">
        <v>46210</v>
      </c>
      <c r="O116" s="140">
        <v>46210</v>
      </c>
      <c r="P116" s="116">
        <f t="shared" si="2"/>
        <v>7</v>
      </c>
      <c r="Q116" s="116">
        <f t="shared" si="3"/>
        <v>0</v>
      </c>
      <c r="R116" s="144"/>
    </row>
    <row r="117" spans="1:18">
      <c r="A117" s="108">
        <v>116</v>
      </c>
      <c r="B117" s="109" t="s">
        <v>318</v>
      </c>
      <c r="C117" s="112"/>
      <c r="D117" s="109" t="s">
        <v>86</v>
      </c>
      <c r="E117" s="112"/>
      <c r="F117" s="110" t="s">
        <v>319</v>
      </c>
      <c r="G117" s="111">
        <v>1</v>
      </c>
      <c r="H117" s="112" t="s">
        <v>66</v>
      </c>
      <c r="I117" s="118">
        <v>660</v>
      </c>
      <c r="J117" s="119"/>
      <c r="K117" s="118">
        <v>660</v>
      </c>
      <c r="L117" s="113" t="s">
        <v>320</v>
      </c>
      <c r="M117" s="142">
        <v>46209</v>
      </c>
      <c r="N117" s="143">
        <v>46217</v>
      </c>
      <c r="O117" s="140">
        <v>46217</v>
      </c>
      <c r="P117" s="116">
        <f t="shared" si="2"/>
        <v>8</v>
      </c>
      <c r="Q117" s="116">
        <f t="shared" si="3"/>
        <v>0</v>
      </c>
      <c r="R117" s="144"/>
    </row>
    <row r="118" spans="1:18">
      <c r="A118" s="108">
        <v>117</v>
      </c>
      <c r="B118" s="109" t="s">
        <v>318</v>
      </c>
      <c r="C118" s="112"/>
      <c r="D118" s="109" t="s">
        <v>86</v>
      </c>
      <c r="E118" s="112"/>
      <c r="F118" s="110" t="s">
        <v>321</v>
      </c>
      <c r="G118" s="111">
        <v>12</v>
      </c>
      <c r="H118" s="112" t="s">
        <v>168</v>
      </c>
      <c r="I118" s="118">
        <v>25</v>
      </c>
      <c r="J118" s="119"/>
      <c r="K118" s="118">
        <v>300</v>
      </c>
      <c r="L118" s="113" t="s">
        <v>320</v>
      </c>
      <c r="M118" s="142">
        <v>46209</v>
      </c>
      <c r="N118" s="143">
        <v>46217</v>
      </c>
      <c r="O118" s="140">
        <v>46217</v>
      </c>
      <c r="P118" s="116">
        <f t="shared" si="2"/>
        <v>8</v>
      </c>
      <c r="Q118" s="116">
        <f t="shared" si="3"/>
        <v>0</v>
      </c>
      <c r="R118" s="144"/>
    </row>
    <row r="119" spans="1:18">
      <c r="A119" s="108">
        <v>118</v>
      </c>
      <c r="B119" s="109" t="s">
        <v>318</v>
      </c>
      <c r="C119" s="112"/>
      <c r="D119" s="109" t="s">
        <v>84</v>
      </c>
      <c r="E119" s="112"/>
      <c r="F119" s="110" t="s">
        <v>322</v>
      </c>
      <c r="G119" s="111">
        <v>5</v>
      </c>
      <c r="H119" s="112" t="s">
        <v>65</v>
      </c>
      <c r="I119" s="118">
        <v>160</v>
      </c>
      <c r="J119" s="109"/>
      <c r="K119" s="118">
        <v>800</v>
      </c>
      <c r="L119" s="113" t="s">
        <v>323</v>
      </c>
      <c r="M119" s="142">
        <v>46209</v>
      </c>
      <c r="N119" s="143">
        <v>46218</v>
      </c>
      <c r="O119" s="140">
        <v>46218</v>
      </c>
      <c r="P119" s="116">
        <f t="shared" si="2"/>
        <v>9</v>
      </c>
      <c r="Q119" s="116">
        <f t="shared" si="3"/>
        <v>0</v>
      </c>
      <c r="R119" s="144"/>
    </row>
    <row r="120" spans="1:18">
      <c r="A120" s="108">
        <v>119</v>
      </c>
      <c r="B120" s="109" t="s">
        <v>318</v>
      </c>
      <c r="C120" s="112"/>
      <c r="D120" s="109" t="s">
        <v>84</v>
      </c>
      <c r="E120" s="112"/>
      <c r="F120" s="110" t="s">
        <v>324</v>
      </c>
      <c r="G120" s="111">
        <v>3</v>
      </c>
      <c r="H120" s="112" t="s">
        <v>65</v>
      </c>
      <c r="I120" s="118">
        <v>95</v>
      </c>
      <c r="J120" s="109"/>
      <c r="K120" s="118">
        <v>285</v>
      </c>
      <c r="L120" s="113" t="s">
        <v>323</v>
      </c>
      <c r="M120" s="142">
        <v>46209</v>
      </c>
      <c r="N120" s="143">
        <v>46218</v>
      </c>
      <c r="O120" s="140">
        <v>46218</v>
      </c>
      <c r="P120" s="116">
        <f t="shared" si="2"/>
        <v>9</v>
      </c>
      <c r="Q120" s="116">
        <f t="shared" si="3"/>
        <v>0</v>
      </c>
      <c r="R120" s="144"/>
    </row>
    <row r="121" spans="1:18">
      <c r="A121" s="108">
        <v>120</v>
      </c>
      <c r="B121" s="109" t="s">
        <v>318</v>
      </c>
      <c r="C121" s="112"/>
      <c r="D121" s="109" t="s">
        <v>84</v>
      </c>
      <c r="E121" s="112"/>
      <c r="F121" s="110" t="s">
        <v>325</v>
      </c>
      <c r="G121" s="111">
        <v>100</v>
      </c>
      <c r="H121" s="112" t="s">
        <v>66</v>
      </c>
      <c r="I121" s="118">
        <v>3.9</v>
      </c>
      <c r="J121" s="109"/>
      <c r="K121" s="118">
        <v>390</v>
      </c>
      <c r="L121" s="113" t="s">
        <v>323</v>
      </c>
      <c r="M121" s="142">
        <v>46209</v>
      </c>
      <c r="N121" s="143">
        <v>46218</v>
      </c>
      <c r="O121" s="140">
        <v>46218</v>
      </c>
      <c r="P121" s="116">
        <f t="shared" si="2"/>
        <v>9</v>
      </c>
      <c r="Q121" s="116">
        <f t="shared" si="3"/>
        <v>0</v>
      </c>
      <c r="R121" s="144"/>
    </row>
    <row r="122" spans="1:18">
      <c r="A122" s="108">
        <v>121</v>
      </c>
      <c r="B122" s="109" t="s">
        <v>318</v>
      </c>
      <c r="C122" s="112"/>
      <c r="D122" s="109" t="s">
        <v>84</v>
      </c>
      <c r="E122" s="112"/>
      <c r="F122" s="110" t="s">
        <v>326</v>
      </c>
      <c r="G122" s="111">
        <v>300</v>
      </c>
      <c r="H122" s="112" t="s">
        <v>66</v>
      </c>
      <c r="I122" s="118">
        <v>1.5</v>
      </c>
      <c r="J122" s="109"/>
      <c r="K122" s="118">
        <v>450</v>
      </c>
      <c r="L122" s="113" t="s">
        <v>323</v>
      </c>
      <c r="M122" s="142">
        <v>46209</v>
      </c>
      <c r="N122" s="143">
        <v>46218</v>
      </c>
      <c r="O122" s="140">
        <v>46218</v>
      </c>
      <c r="P122" s="116">
        <f t="shared" si="2"/>
        <v>9</v>
      </c>
      <c r="Q122" s="116">
        <f t="shared" si="3"/>
        <v>0</v>
      </c>
      <c r="R122" s="144"/>
    </row>
    <row r="123" spans="1:18">
      <c r="A123" s="108">
        <v>122</v>
      </c>
      <c r="B123" s="109" t="s">
        <v>188</v>
      </c>
      <c r="C123" s="112"/>
      <c r="D123" s="109" t="s">
        <v>189</v>
      </c>
      <c r="E123" s="112"/>
      <c r="F123" s="110" t="s">
        <v>327</v>
      </c>
      <c r="G123" s="111">
        <v>4</v>
      </c>
      <c r="H123" s="112" t="s">
        <v>66</v>
      </c>
      <c r="I123" s="118">
        <v>260</v>
      </c>
      <c r="J123" s="109"/>
      <c r="K123" s="118">
        <v>1040</v>
      </c>
      <c r="L123" s="113" t="s">
        <v>191</v>
      </c>
      <c r="M123" s="142">
        <v>46213</v>
      </c>
      <c r="N123" s="143">
        <v>46220</v>
      </c>
      <c r="O123" s="140">
        <v>46220</v>
      </c>
      <c r="P123" s="116">
        <f t="shared" si="2"/>
        <v>7</v>
      </c>
      <c r="Q123" s="116">
        <f t="shared" si="3"/>
        <v>0</v>
      </c>
      <c r="R123" s="144"/>
    </row>
    <row r="124" spans="1:18">
      <c r="A124" s="108">
        <v>123</v>
      </c>
      <c r="B124" s="109" t="s">
        <v>188</v>
      </c>
      <c r="C124" s="112"/>
      <c r="D124" s="109" t="s">
        <v>189</v>
      </c>
      <c r="E124" s="112"/>
      <c r="F124" s="110" t="s">
        <v>328</v>
      </c>
      <c r="G124" s="111">
        <v>8</v>
      </c>
      <c r="H124" s="112" t="s">
        <v>66</v>
      </c>
      <c r="I124" s="118">
        <v>182</v>
      </c>
      <c r="J124" s="109"/>
      <c r="K124" s="118">
        <v>1456</v>
      </c>
      <c r="L124" s="113" t="s">
        <v>191</v>
      </c>
      <c r="M124" s="142">
        <v>46213</v>
      </c>
      <c r="N124" s="143">
        <v>46220</v>
      </c>
      <c r="O124" s="140">
        <v>46220</v>
      </c>
      <c r="P124" s="116">
        <f t="shared" si="2"/>
        <v>7</v>
      </c>
      <c r="Q124" s="116">
        <f t="shared" si="3"/>
        <v>0</v>
      </c>
      <c r="R124" s="144"/>
    </row>
    <row r="125" spans="1:18">
      <c r="A125" s="108">
        <v>124</v>
      </c>
      <c r="B125" s="109" t="s">
        <v>188</v>
      </c>
      <c r="C125" s="112"/>
      <c r="D125" s="109" t="s">
        <v>189</v>
      </c>
      <c r="E125" s="112"/>
      <c r="F125" s="110" t="s">
        <v>329</v>
      </c>
      <c r="G125" s="111">
        <v>4</v>
      </c>
      <c r="H125" s="112" t="s">
        <v>66</v>
      </c>
      <c r="I125" s="118">
        <v>182</v>
      </c>
      <c r="J125" s="109"/>
      <c r="K125" s="118">
        <v>728</v>
      </c>
      <c r="L125" s="113" t="s">
        <v>191</v>
      </c>
      <c r="M125" s="142">
        <v>46213</v>
      </c>
      <c r="N125" s="143">
        <v>46220</v>
      </c>
      <c r="O125" s="140">
        <v>46220</v>
      </c>
      <c r="P125" s="116">
        <f t="shared" si="2"/>
        <v>7</v>
      </c>
      <c r="Q125" s="116">
        <f t="shared" si="3"/>
        <v>0</v>
      </c>
      <c r="R125" s="144"/>
    </row>
    <row r="126" spans="1:18">
      <c r="A126" s="108">
        <v>125</v>
      </c>
      <c r="B126" s="109" t="s">
        <v>330</v>
      </c>
      <c r="C126" s="112"/>
      <c r="D126" s="109" t="s">
        <v>331</v>
      </c>
      <c r="E126" s="112"/>
      <c r="F126" s="110" t="s">
        <v>332</v>
      </c>
      <c r="G126" s="111">
        <v>1</v>
      </c>
      <c r="H126" s="112" t="s">
        <v>66</v>
      </c>
      <c r="I126" s="118">
        <v>11000</v>
      </c>
      <c r="J126" s="109"/>
      <c r="K126" s="118">
        <v>11000</v>
      </c>
      <c r="L126" s="113" t="s">
        <v>333</v>
      </c>
      <c r="M126" s="142">
        <v>46218</v>
      </c>
      <c r="N126" s="143">
        <v>46224</v>
      </c>
      <c r="O126" s="140">
        <v>46224</v>
      </c>
      <c r="P126" s="116">
        <f t="shared" si="2"/>
        <v>6</v>
      </c>
      <c r="Q126" s="116">
        <f t="shared" si="3"/>
        <v>0</v>
      </c>
      <c r="R126" s="144"/>
    </row>
    <row r="127" spans="1:18">
      <c r="A127" s="108">
        <v>126</v>
      </c>
      <c r="B127" s="109" t="s">
        <v>330</v>
      </c>
      <c r="C127" s="112"/>
      <c r="D127" s="109" t="s">
        <v>331</v>
      </c>
      <c r="E127" s="112"/>
      <c r="F127" s="110" t="s">
        <v>334</v>
      </c>
      <c r="G127" s="111">
        <v>1</v>
      </c>
      <c r="H127" s="112" t="s">
        <v>87</v>
      </c>
      <c r="I127" s="118">
        <v>340</v>
      </c>
      <c r="J127" s="109"/>
      <c r="K127" s="118">
        <v>340</v>
      </c>
      <c r="L127" s="113" t="s">
        <v>333</v>
      </c>
      <c r="M127" s="142">
        <v>46218</v>
      </c>
      <c r="N127" s="143">
        <v>46224</v>
      </c>
      <c r="O127" s="140">
        <v>46224</v>
      </c>
      <c r="P127" s="116">
        <f t="shared" si="2"/>
        <v>6</v>
      </c>
      <c r="Q127" s="116">
        <f t="shared" si="3"/>
        <v>0</v>
      </c>
      <c r="R127" s="144"/>
    </row>
    <row r="128" spans="1:18">
      <c r="A128" s="108">
        <v>127</v>
      </c>
      <c r="B128" s="109" t="s">
        <v>330</v>
      </c>
      <c r="C128" s="112"/>
      <c r="D128" s="109" t="s">
        <v>331</v>
      </c>
      <c r="E128" s="112"/>
      <c r="F128" s="110" t="s">
        <v>335</v>
      </c>
      <c r="G128" s="111">
        <v>6</v>
      </c>
      <c r="H128" s="112" t="s">
        <v>66</v>
      </c>
      <c r="I128" s="118">
        <v>11</v>
      </c>
      <c r="J128" s="109"/>
      <c r="K128" s="118">
        <v>66</v>
      </c>
      <c r="L128" s="113" t="s">
        <v>333</v>
      </c>
      <c r="M128" s="142">
        <v>46218</v>
      </c>
      <c r="N128" s="143">
        <v>46224</v>
      </c>
      <c r="O128" s="140">
        <v>46224</v>
      </c>
      <c r="P128" s="116">
        <f t="shared" si="2"/>
        <v>6</v>
      </c>
      <c r="Q128" s="116">
        <f t="shared" si="3"/>
        <v>0</v>
      </c>
      <c r="R128" s="144"/>
    </row>
    <row r="129" spans="1:18">
      <c r="A129" s="108">
        <v>128</v>
      </c>
      <c r="B129" s="109" t="s">
        <v>330</v>
      </c>
      <c r="C129" s="112"/>
      <c r="D129" s="109" t="s">
        <v>331</v>
      </c>
      <c r="E129" s="112"/>
      <c r="F129" s="110" t="s">
        <v>336</v>
      </c>
      <c r="G129" s="111">
        <v>1</v>
      </c>
      <c r="H129" s="112" t="s">
        <v>90</v>
      </c>
      <c r="I129" s="118">
        <v>250</v>
      </c>
      <c r="J129" s="109"/>
      <c r="K129" s="118">
        <v>250</v>
      </c>
      <c r="L129" s="113" t="s">
        <v>333</v>
      </c>
      <c r="M129" s="142">
        <v>46218</v>
      </c>
      <c r="N129" s="143">
        <v>46224</v>
      </c>
      <c r="O129" s="140">
        <v>46224</v>
      </c>
      <c r="P129" s="116">
        <f t="shared" si="2"/>
        <v>6</v>
      </c>
      <c r="Q129" s="116">
        <f t="shared" si="3"/>
        <v>0</v>
      </c>
      <c r="R129" s="144"/>
    </row>
    <row r="130" spans="1:18">
      <c r="A130" s="108">
        <v>129</v>
      </c>
      <c r="B130" s="109" t="s">
        <v>337</v>
      </c>
      <c r="C130" s="112"/>
      <c r="D130" s="109" t="s">
        <v>70</v>
      </c>
      <c r="E130" s="112"/>
      <c r="F130" s="110" t="s">
        <v>338</v>
      </c>
      <c r="G130" s="111">
        <v>25</v>
      </c>
      <c r="H130" s="112" t="s">
        <v>89</v>
      </c>
      <c r="I130" s="118">
        <v>20</v>
      </c>
      <c r="J130" s="119"/>
      <c r="K130" s="118">
        <v>500</v>
      </c>
      <c r="L130" s="113" t="s">
        <v>339</v>
      </c>
      <c r="M130" s="142">
        <v>46223</v>
      </c>
      <c r="N130" s="143">
        <v>46227</v>
      </c>
      <c r="O130" s="140">
        <v>46227</v>
      </c>
      <c r="P130" s="116">
        <f t="shared" ref="P130:P193" si="4">O130-M130</f>
        <v>4</v>
      </c>
      <c r="Q130" s="116">
        <f t="shared" ref="Q130:Q193" si="5">N130-O130</f>
        <v>0</v>
      </c>
      <c r="R130" s="144"/>
    </row>
    <row r="131" spans="1:18">
      <c r="A131" s="108">
        <v>130</v>
      </c>
      <c r="B131" s="109" t="s">
        <v>337</v>
      </c>
      <c r="C131" s="112"/>
      <c r="D131" s="109" t="s">
        <v>340</v>
      </c>
      <c r="E131" s="112"/>
      <c r="F131" s="110" t="s">
        <v>341</v>
      </c>
      <c r="G131" s="111">
        <v>1</v>
      </c>
      <c r="H131" s="112" t="s">
        <v>66</v>
      </c>
      <c r="I131" s="118">
        <v>1000</v>
      </c>
      <c r="J131" s="109"/>
      <c r="K131" s="118">
        <v>1000</v>
      </c>
      <c r="L131" s="113" t="s">
        <v>342</v>
      </c>
      <c r="M131" s="142">
        <v>46219</v>
      </c>
      <c r="N131" s="143">
        <v>46227</v>
      </c>
      <c r="O131" s="140">
        <v>46227</v>
      </c>
      <c r="P131" s="116">
        <f t="shared" si="4"/>
        <v>8</v>
      </c>
      <c r="Q131" s="116">
        <f t="shared" si="5"/>
        <v>0</v>
      </c>
      <c r="R131" s="144"/>
    </row>
    <row r="132" spans="1:18">
      <c r="A132" s="108">
        <v>131</v>
      </c>
      <c r="B132" s="109" t="s">
        <v>101</v>
      </c>
      <c r="C132" s="112"/>
      <c r="D132" s="109" t="s">
        <v>73</v>
      </c>
      <c r="E132" s="112"/>
      <c r="F132" s="110" t="s">
        <v>343</v>
      </c>
      <c r="G132" s="111">
        <v>4</v>
      </c>
      <c r="H132" s="112" t="s">
        <v>85</v>
      </c>
      <c r="I132" s="118">
        <v>30</v>
      </c>
      <c r="J132" s="109"/>
      <c r="K132" s="118">
        <v>120</v>
      </c>
      <c r="L132" s="113" t="s">
        <v>344</v>
      </c>
      <c r="M132" s="142">
        <v>46196</v>
      </c>
      <c r="N132" s="143">
        <v>46204</v>
      </c>
      <c r="O132" s="140">
        <v>46204</v>
      </c>
      <c r="P132" s="116">
        <f t="shared" si="4"/>
        <v>8</v>
      </c>
      <c r="Q132" s="116">
        <f t="shared" si="5"/>
        <v>0</v>
      </c>
    </row>
    <row r="133" spans="1:18">
      <c r="A133" s="108">
        <v>132</v>
      </c>
      <c r="B133" s="109" t="s">
        <v>101</v>
      </c>
      <c r="C133" s="112"/>
      <c r="D133" s="109" t="s">
        <v>73</v>
      </c>
      <c r="E133" s="112"/>
      <c r="F133" s="110" t="s">
        <v>345</v>
      </c>
      <c r="G133" s="111">
        <v>12</v>
      </c>
      <c r="H133" s="112" t="s">
        <v>85</v>
      </c>
      <c r="I133" s="118">
        <v>20</v>
      </c>
      <c r="J133" s="109"/>
      <c r="K133" s="118">
        <v>240</v>
      </c>
      <c r="L133" s="113" t="s">
        <v>344</v>
      </c>
      <c r="M133" s="142">
        <v>46196</v>
      </c>
      <c r="N133" s="143">
        <v>46204</v>
      </c>
      <c r="O133" s="140">
        <v>46204</v>
      </c>
      <c r="P133" s="116">
        <f t="shared" si="4"/>
        <v>8</v>
      </c>
      <c r="Q133" s="116">
        <f t="shared" si="5"/>
        <v>0</v>
      </c>
    </row>
    <row r="134" spans="1:18">
      <c r="A134" s="108">
        <v>133</v>
      </c>
      <c r="B134" s="109" t="s">
        <v>101</v>
      </c>
      <c r="C134" s="112"/>
      <c r="D134" s="109" t="s">
        <v>73</v>
      </c>
      <c r="E134" s="112"/>
      <c r="F134" s="110" t="s">
        <v>346</v>
      </c>
      <c r="G134" s="111">
        <v>4</v>
      </c>
      <c r="H134" s="112" t="s">
        <v>85</v>
      </c>
      <c r="I134" s="118">
        <v>70</v>
      </c>
      <c r="J134" s="109"/>
      <c r="K134" s="118">
        <v>280</v>
      </c>
      <c r="L134" s="113" t="s">
        <v>344</v>
      </c>
      <c r="M134" s="142">
        <v>46196</v>
      </c>
      <c r="N134" s="143">
        <v>46204</v>
      </c>
      <c r="O134" s="140">
        <v>46204</v>
      </c>
      <c r="P134" s="116">
        <f t="shared" si="4"/>
        <v>8</v>
      </c>
      <c r="Q134" s="116">
        <f t="shared" si="5"/>
        <v>0</v>
      </c>
    </row>
    <row r="135" spans="1:18">
      <c r="A135" s="108">
        <v>134</v>
      </c>
      <c r="B135" s="109" t="s">
        <v>101</v>
      </c>
      <c r="C135" s="112"/>
      <c r="D135" s="109" t="s">
        <v>73</v>
      </c>
      <c r="E135" s="112"/>
      <c r="F135" s="110" t="s">
        <v>347</v>
      </c>
      <c r="G135" s="111">
        <v>2</v>
      </c>
      <c r="H135" s="112" t="s">
        <v>85</v>
      </c>
      <c r="I135" s="118">
        <v>90</v>
      </c>
      <c r="J135" s="109"/>
      <c r="K135" s="118">
        <v>180</v>
      </c>
      <c r="L135" s="113" t="s">
        <v>344</v>
      </c>
      <c r="M135" s="142">
        <v>46196</v>
      </c>
      <c r="N135" s="143">
        <v>46204</v>
      </c>
      <c r="O135" s="140">
        <v>46204</v>
      </c>
      <c r="P135" s="116">
        <f t="shared" si="4"/>
        <v>8</v>
      </c>
      <c r="Q135" s="116">
        <f t="shared" si="5"/>
        <v>0</v>
      </c>
    </row>
    <row r="136" spans="1:18">
      <c r="A136" s="108">
        <v>135</v>
      </c>
      <c r="B136" s="109" t="s">
        <v>273</v>
      </c>
      <c r="C136" s="112"/>
      <c r="D136" s="109" t="s">
        <v>280</v>
      </c>
      <c r="E136" s="112"/>
      <c r="F136" s="110" t="s">
        <v>348</v>
      </c>
      <c r="G136" s="111">
        <v>1</v>
      </c>
      <c r="H136" s="112" t="s">
        <v>66</v>
      </c>
      <c r="I136" s="118">
        <v>10900</v>
      </c>
      <c r="J136" s="109"/>
      <c r="K136" s="118">
        <v>10900</v>
      </c>
      <c r="L136" s="113" t="s">
        <v>349</v>
      </c>
      <c r="M136" s="142">
        <v>46195</v>
      </c>
      <c r="N136" s="143">
        <v>46204</v>
      </c>
      <c r="O136" s="140">
        <v>46204</v>
      </c>
      <c r="P136" s="116">
        <f t="shared" si="4"/>
        <v>9</v>
      </c>
      <c r="Q136" s="116">
        <f t="shared" si="5"/>
        <v>0</v>
      </c>
    </row>
    <row r="137" spans="1:18">
      <c r="A137" s="108">
        <v>136</v>
      </c>
      <c r="B137" s="109" t="s">
        <v>273</v>
      </c>
      <c r="C137" s="112"/>
      <c r="D137" s="109" t="s">
        <v>67</v>
      </c>
      <c r="E137" s="112"/>
      <c r="F137" s="110" t="s">
        <v>350</v>
      </c>
      <c r="G137" s="111">
        <v>1</v>
      </c>
      <c r="H137" s="112" t="s">
        <v>66</v>
      </c>
      <c r="I137" s="118">
        <v>3689.5</v>
      </c>
      <c r="J137" s="109"/>
      <c r="K137" s="118">
        <v>3689.5</v>
      </c>
      <c r="L137" s="113" t="s">
        <v>351</v>
      </c>
      <c r="M137" s="142">
        <v>46195</v>
      </c>
      <c r="N137" s="143">
        <v>46204</v>
      </c>
      <c r="O137" s="140">
        <v>46204</v>
      </c>
      <c r="P137" s="116">
        <f t="shared" si="4"/>
        <v>9</v>
      </c>
      <c r="Q137" s="116">
        <f t="shared" si="5"/>
        <v>0</v>
      </c>
    </row>
    <row r="138" spans="1:18">
      <c r="A138" s="108">
        <v>137</v>
      </c>
      <c r="B138" s="109" t="s">
        <v>273</v>
      </c>
      <c r="C138" s="112"/>
      <c r="D138" s="109" t="s">
        <v>296</v>
      </c>
      <c r="E138" s="112"/>
      <c r="F138" s="110" t="s">
        <v>352</v>
      </c>
      <c r="G138" s="111">
        <v>1</v>
      </c>
      <c r="H138" s="112" t="s">
        <v>72</v>
      </c>
      <c r="I138" s="118">
        <v>17000</v>
      </c>
      <c r="J138" s="109"/>
      <c r="K138" s="118">
        <v>17000</v>
      </c>
      <c r="L138" s="113" t="s">
        <v>353</v>
      </c>
      <c r="M138" s="142">
        <v>46195</v>
      </c>
      <c r="N138" s="143">
        <v>46204</v>
      </c>
      <c r="O138" s="140">
        <v>46204</v>
      </c>
      <c r="P138" s="116">
        <f t="shared" si="4"/>
        <v>9</v>
      </c>
      <c r="Q138" s="116">
        <f t="shared" si="5"/>
        <v>0</v>
      </c>
    </row>
    <row r="139" spans="1:18">
      <c r="A139" s="108">
        <v>138</v>
      </c>
      <c r="B139" s="109" t="s">
        <v>273</v>
      </c>
      <c r="C139" s="112"/>
      <c r="D139" s="109" t="s">
        <v>296</v>
      </c>
      <c r="E139" s="112"/>
      <c r="F139" s="110" t="s">
        <v>354</v>
      </c>
      <c r="G139" s="111">
        <v>2</v>
      </c>
      <c r="H139" s="112" t="s">
        <v>72</v>
      </c>
      <c r="I139" s="118">
        <v>9300</v>
      </c>
      <c r="J139" s="109"/>
      <c r="K139" s="118">
        <v>18600</v>
      </c>
      <c r="L139" s="113" t="s">
        <v>353</v>
      </c>
      <c r="M139" s="142">
        <v>46195</v>
      </c>
      <c r="N139" s="143">
        <v>46204</v>
      </c>
      <c r="O139" s="140">
        <v>46204</v>
      </c>
      <c r="P139" s="116">
        <f t="shared" si="4"/>
        <v>9</v>
      </c>
      <c r="Q139" s="116">
        <f t="shared" si="5"/>
        <v>0</v>
      </c>
    </row>
    <row r="140" spans="1:18">
      <c r="A140" s="108">
        <v>139</v>
      </c>
      <c r="B140" s="109" t="s">
        <v>273</v>
      </c>
      <c r="C140" s="112"/>
      <c r="D140" s="109" t="s">
        <v>296</v>
      </c>
      <c r="E140" s="112"/>
      <c r="F140" s="110" t="s">
        <v>355</v>
      </c>
      <c r="G140" s="111">
        <v>1</v>
      </c>
      <c r="H140" s="112" t="s">
        <v>66</v>
      </c>
      <c r="I140" s="118">
        <v>3050</v>
      </c>
      <c r="J140" s="109"/>
      <c r="K140" s="118">
        <v>3050</v>
      </c>
      <c r="L140" s="113" t="s">
        <v>353</v>
      </c>
      <c r="M140" s="142">
        <v>46195</v>
      </c>
      <c r="N140" s="143">
        <v>46204</v>
      </c>
      <c r="O140" s="140">
        <v>46204</v>
      </c>
      <c r="P140" s="116">
        <f t="shared" si="4"/>
        <v>9</v>
      </c>
      <c r="Q140" s="116">
        <f t="shared" si="5"/>
        <v>0</v>
      </c>
    </row>
    <row r="141" spans="1:18">
      <c r="A141" s="108">
        <v>140</v>
      </c>
      <c r="B141" s="109" t="s">
        <v>299</v>
      </c>
      <c r="C141" s="112"/>
      <c r="D141" s="109" t="s">
        <v>356</v>
      </c>
      <c r="E141" s="112"/>
      <c r="F141" s="110" t="s">
        <v>357</v>
      </c>
      <c r="G141" s="111">
        <v>2</v>
      </c>
      <c r="H141" s="112" t="s">
        <v>66</v>
      </c>
      <c r="I141" s="118">
        <v>150</v>
      </c>
      <c r="J141" s="109"/>
      <c r="K141" s="118">
        <v>300</v>
      </c>
      <c r="L141" s="113" t="s">
        <v>358</v>
      </c>
      <c r="M141" s="142">
        <v>46195</v>
      </c>
      <c r="N141" s="143">
        <v>46204</v>
      </c>
      <c r="O141" s="140">
        <v>46204</v>
      </c>
      <c r="P141" s="116">
        <f t="shared" si="4"/>
        <v>9</v>
      </c>
      <c r="Q141" s="116">
        <f t="shared" si="5"/>
        <v>0</v>
      </c>
    </row>
    <row r="142" spans="1:18">
      <c r="A142" s="108">
        <v>141</v>
      </c>
      <c r="B142" s="109" t="s">
        <v>299</v>
      </c>
      <c r="C142" s="112"/>
      <c r="D142" s="109" t="s">
        <v>356</v>
      </c>
      <c r="E142" s="112"/>
      <c r="F142" s="110" t="s">
        <v>359</v>
      </c>
      <c r="G142" s="111">
        <v>2</v>
      </c>
      <c r="H142" s="112" t="s">
        <v>66</v>
      </c>
      <c r="I142" s="118">
        <v>50</v>
      </c>
      <c r="J142" s="109"/>
      <c r="K142" s="118">
        <v>100</v>
      </c>
      <c r="L142" s="113" t="s">
        <v>358</v>
      </c>
      <c r="M142" s="142">
        <v>46195</v>
      </c>
      <c r="N142" s="143">
        <v>46204</v>
      </c>
      <c r="O142" s="140">
        <v>46204</v>
      </c>
      <c r="P142" s="116">
        <f t="shared" si="4"/>
        <v>9</v>
      </c>
      <c r="Q142" s="116">
        <f t="shared" si="5"/>
        <v>0</v>
      </c>
    </row>
    <row r="143" spans="1:18">
      <c r="A143" s="108">
        <v>142</v>
      </c>
      <c r="B143" s="109" t="s">
        <v>299</v>
      </c>
      <c r="C143" s="112"/>
      <c r="D143" s="109" t="s">
        <v>356</v>
      </c>
      <c r="E143" s="112"/>
      <c r="F143" s="110" t="s">
        <v>360</v>
      </c>
      <c r="G143" s="111">
        <v>3</v>
      </c>
      <c r="H143" s="112" t="s">
        <v>66</v>
      </c>
      <c r="I143" s="118">
        <v>910</v>
      </c>
      <c r="J143" s="109"/>
      <c r="K143" s="118">
        <v>2730</v>
      </c>
      <c r="L143" s="113" t="s">
        <v>358</v>
      </c>
      <c r="M143" s="142">
        <v>46195</v>
      </c>
      <c r="N143" s="143">
        <v>46204</v>
      </c>
      <c r="O143" s="140">
        <v>46204</v>
      </c>
      <c r="P143" s="116">
        <f t="shared" si="4"/>
        <v>9</v>
      </c>
      <c r="Q143" s="116">
        <f t="shared" si="5"/>
        <v>0</v>
      </c>
    </row>
    <row r="144" spans="1:18">
      <c r="A144" s="108">
        <v>143</v>
      </c>
      <c r="B144" s="109" t="s">
        <v>273</v>
      </c>
      <c r="C144" s="112"/>
      <c r="D144" s="109" t="s">
        <v>361</v>
      </c>
      <c r="E144" s="112"/>
      <c r="F144" s="110" t="s">
        <v>362</v>
      </c>
      <c r="G144" s="111">
        <v>100</v>
      </c>
      <c r="H144" s="112" t="s">
        <v>69</v>
      </c>
      <c r="I144" s="118">
        <v>15.87</v>
      </c>
      <c r="J144" s="109"/>
      <c r="K144" s="118">
        <v>1587</v>
      </c>
      <c r="L144" s="113" t="s">
        <v>363</v>
      </c>
      <c r="M144" s="142">
        <v>46195</v>
      </c>
      <c r="N144" s="143">
        <v>46205</v>
      </c>
      <c r="O144" s="140">
        <v>46205</v>
      </c>
      <c r="P144" s="116">
        <f t="shared" si="4"/>
        <v>10</v>
      </c>
      <c r="Q144" s="116">
        <f t="shared" si="5"/>
        <v>0</v>
      </c>
    </row>
    <row r="145" spans="1:17">
      <c r="A145" s="108">
        <v>144</v>
      </c>
      <c r="B145" s="109" t="s">
        <v>273</v>
      </c>
      <c r="C145" s="112"/>
      <c r="D145" s="109" t="s">
        <v>361</v>
      </c>
      <c r="E145" s="112"/>
      <c r="F145" s="110" t="s">
        <v>364</v>
      </c>
      <c r="G145" s="111">
        <v>100</v>
      </c>
      <c r="H145" s="112" t="s">
        <v>69</v>
      </c>
      <c r="I145" s="118">
        <v>15.87</v>
      </c>
      <c r="J145" s="109"/>
      <c r="K145" s="118">
        <v>1587</v>
      </c>
      <c r="L145" s="113" t="s">
        <v>363</v>
      </c>
      <c r="M145" s="142">
        <v>46195</v>
      </c>
      <c r="N145" s="143">
        <v>46205</v>
      </c>
      <c r="O145" s="140">
        <v>46205</v>
      </c>
      <c r="P145" s="116">
        <f t="shared" si="4"/>
        <v>10</v>
      </c>
      <c r="Q145" s="116">
        <f t="shared" si="5"/>
        <v>0</v>
      </c>
    </row>
    <row r="146" spans="1:17">
      <c r="A146" s="108">
        <v>145</v>
      </c>
      <c r="B146" s="109" t="s">
        <v>273</v>
      </c>
      <c r="C146" s="112"/>
      <c r="D146" s="109" t="s">
        <v>361</v>
      </c>
      <c r="E146" s="112"/>
      <c r="F146" s="110" t="s">
        <v>365</v>
      </c>
      <c r="G146" s="111">
        <v>100</v>
      </c>
      <c r="H146" s="112" t="s">
        <v>69</v>
      </c>
      <c r="I146" s="118">
        <v>15.87</v>
      </c>
      <c r="J146" s="109"/>
      <c r="K146" s="118">
        <v>1587</v>
      </c>
      <c r="L146" s="113" t="s">
        <v>363</v>
      </c>
      <c r="M146" s="142">
        <v>46195</v>
      </c>
      <c r="N146" s="143">
        <v>46205</v>
      </c>
      <c r="O146" s="140">
        <v>46205</v>
      </c>
      <c r="P146" s="116">
        <f t="shared" si="4"/>
        <v>10</v>
      </c>
      <c r="Q146" s="116">
        <f t="shared" si="5"/>
        <v>0</v>
      </c>
    </row>
    <row r="147" spans="1:17">
      <c r="A147" s="108">
        <v>146</v>
      </c>
      <c r="B147" s="109" t="s">
        <v>273</v>
      </c>
      <c r="C147" s="112"/>
      <c r="D147" s="109" t="s">
        <v>361</v>
      </c>
      <c r="E147" s="112"/>
      <c r="F147" s="110" t="s">
        <v>366</v>
      </c>
      <c r="G147" s="111">
        <v>100</v>
      </c>
      <c r="H147" s="112" t="s">
        <v>69</v>
      </c>
      <c r="I147" s="118">
        <v>15.87</v>
      </c>
      <c r="J147" s="109"/>
      <c r="K147" s="118">
        <v>1587</v>
      </c>
      <c r="L147" s="113" t="s">
        <v>363</v>
      </c>
      <c r="M147" s="142">
        <v>46195</v>
      </c>
      <c r="N147" s="143">
        <v>46205</v>
      </c>
      <c r="O147" s="140">
        <v>46205</v>
      </c>
      <c r="P147" s="116">
        <f t="shared" si="4"/>
        <v>10</v>
      </c>
      <c r="Q147" s="116">
        <f t="shared" si="5"/>
        <v>0</v>
      </c>
    </row>
    <row r="148" spans="1:17">
      <c r="A148" s="108">
        <v>147</v>
      </c>
      <c r="B148" s="109" t="s">
        <v>273</v>
      </c>
      <c r="C148" s="112"/>
      <c r="D148" s="109" t="s">
        <v>361</v>
      </c>
      <c r="E148" s="112"/>
      <c r="F148" s="110" t="s">
        <v>367</v>
      </c>
      <c r="G148" s="111">
        <v>100</v>
      </c>
      <c r="H148" s="112" t="s">
        <v>69</v>
      </c>
      <c r="I148" s="118">
        <v>15.87</v>
      </c>
      <c r="J148" s="109"/>
      <c r="K148" s="118">
        <v>1587</v>
      </c>
      <c r="L148" s="113" t="s">
        <v>363</v>
      </c>
      <c r="M148" s="142">
        <v>46195</v>
      </c>
      <c r="N148" s="143">
        <v>46205</v>
      </c>
      <c r="O148" s="140">
        <v>46205</v>
      </c>
      <c r="P148" s="116">
        <f t="shared" si="4"/>
        <v>10</v>
      </c>
      <c r="Q148" s="116">
        <f t="shared" si="5"/>
        <v>0</v>
      </c>
    </row>
    <row r="149" spans="1:17">
      <c r="A149" s="108">
        <v>148</v>
      </c>
      <c r="B149" s="109" t="s">
        <v>273</v>
      </c>
      <c r="C149" s="112"/>
      <c r="D149" s="109" t="s">
        <v>361</v>
      </c>
      <c r="E149" s="112"/>
      <c r="F149" s="110" t="s">
        <v>368</v>
      </c>
      <c r="G149" s="111">
        <v>100</v>
      </c>
      <c r="H149" s="112" t="s">
        <v>69</v>
      </c>
      <c r="I149" s="118">
        <v>6.98</v>
      </c>
      <c r="J149" s="109"/>
      <c r="K149" s="118">
        <v>698</v>
      </c>
      <c r="L149" s="113" t="s">
        <v>363</v>
      </c>
      <c r="M149" s="142">
        <v>46195</v>
      </c>
      <c r="N149" s="143">
        <v>46205</v>
      </c>
      <c r="O149" s="140">
        <v>46205</v>
      </c>
      <c r="P149" s="116">
        <f t="shared" si="4"/>
        <v>10</v>
      </c>
      <c r="Q149" s="116">
        <f t="shared" si="5"/>
        <v>0</v>
      </c>
    </row>
    <row r="150" spans="1:17">
      <c r="A150" s="108">
        <v>149</v>
      </c>
      <c r="B150" s="109" t="s">
        <v>273</v>
      </c>
      <c r="C150" s="112"/>
      <c r="D150" s="109" t="s">
        <v>361</v>
      </c>
      <c r="E150" s="112"/>
      <c r="F150" s="110" t="s">
        <v>369</v>
      </c>
      <c r="G150" s="111">
        <v>100</v>
      </c>
      <c r="H150" s="112" t="s">
        <v>69</v>
      </c>
      <c r="I150" s="118">
        <v>6.98</v>
      </c>
      <c r="J150" s="109"/>
      <c r="K150" s="118">
        <v>698</v>
      </c>
      <c r="L150" s="113" t="s">
        <v>363</v>
      </c>
      <c r="M150" s="142">
        <v>46195</v>
      </c>
      <c r="N150" s="143">
        <v>46205</v>
      </c>
      <c r="O150" s="140">
        <v>46205</v>
      </c>
      <c r="P150" s="116">
        <f t="shared" si="4"/>
        <v>10</v>
      </c>
      <c r="Q150" s="116">
        <f t="shared" si="5"/>
        <v>0</v>
      </c>
    </row>
    <row r="151" spans="1:17">
      <c r="A151" s="108">
        <v>150</v>
      </c>
      <c r="B151" s="109" t="s">
        <v>273</v>
      </c>
      <c r="C151" s="112"/>
      <c r="D151" s="109" t="s">
        <v>361</v>
      </c>
      <c r="E151" s="112"/>
      <c r="F151" s="110" t="s">
        <v>370</v>
      </c>
      <c r="G151" s="111">
        <v>100</v>
      </c>
      <c r="H151" s="112" t="s">
        <v>69</v>
      </c>
      <c r="I151" s="118">
        <v>3.57</v>
      </c>
      <c r="J151" s="109"/>
      <c r="K151" s="118">
        <v>357</v>
      </c>
      <c r="L151" s="113" t="s">
        <v>363</v>
      </c>
      <c r="M151" s="142">
        <v>46195</v>
      </c>
      <c r="N151" s="143">
        <v>46205</v>
      </c>
      <c r="O151" s="140">
        <v>46205</v>
      </c>
      <c r="P151" s="116">
        <f t="shared" si="4"/>
        <v>10</v>
      </c>
      <c r="Q151" s="116">
        <f t="shared" si="5"/>
        <v>0</v>
      </c>
    </row>
    <row r="152" spans="1:17">
      <c r="A152" s="108">
        <v>151</v>
      </c>
      <c r="B152" s="109" t="s">
        <v>273</v>
      </c>
      <c r="C152" s="112"/>
      <c r="D152" s="109" t="s">
        <v>361</v>
      </c>
      <c r="E152" s="112"/>
      <c r="F152" s="110" t="s">
        <v>371</v>
      </c>
      <c r="G152" s="111">
        <v>100</v>
      </c>
      <c r="H152" s="112" t="s">
        <v>69</v>
      </c>
      <c r="I152" s="118">
        <v>3.57</v>
      </c>
      <c r="J152" s="109"/>
      <c r="K152" s="118">
        <v>357</v>
      </c>
      <c r="L152" s="113" t="s">
        <v>363</v>
      </c>
      <c r="M152" s="142">
        <v>46195</v>
      </c>
      <c r="N152" s="143">
        <v>46205</v>
      </c>
      <c r="O152" s="140">
        <v>46205</v>
      </c>
      <c r="P152" s="116">
        <f t="shared" si="4"/>
        <v>10</v>
      </c>
      <c r="Q152" s="116">
        <f t="shared" si="5"/>
        <v>0</v>
      </c>
    </row>
    <row r="153" spans="1:17">
      <c r="A153" s="108">
        <v>152</v>
      </c>
      <c r="B153" s="109" t="s">
        <v>273</v>
      </c>
      <c r="C153" s="112"/>
      <c r="D153" s="109" t="s">
        <v>361</v>
      </c>
      <c r="E153" s="112"/>
      <c r="F153" s="110" t="s">
        <v>372</v>
      </c>
      <c r="G153" s="111">
        <v>100</v>
      </c>
      <c r="H153" s="112" t="s">
        <v>69</v>
      </c>
      <c r="I153" s="118">
        <v>3.57</v>
      </c>
      <c r="J153" s="109"/>
      <c r="K153" s="118">
        <v>357</v>
      </c>
      <c r="L153" s="113" t="s">
        <v>363</v>
      </c>
      <c r="M153" s="142">
        <v>46195</v>
      </c>
      <c r="N153" s="143">
        <v>46205</v>
      </c>
      <c r="O153" s="140">
        <v>46205</v>
      </c>
      <c r="P153" s="116">
        <f t="shared" si="4"/>
        <v>10</v>
      </c>
      <c r="Q153" s="116">
        <f t="shared" si="5"/>
        <v>0</v>
      </c>
    </row>
    <row r="154" spans="1:17">
      <c r="A154" s="108">
        <v>153</v>
      </c>
      <c r="B154" s="109" t="s">
        <v>273</v>
      </c>
      <c r="C154" s="112"/>
      <c r="D154" s="109" t="s">
        <v>361</v>
      </c>
      <c r="E154" s="112"/>
      <c r="F154" s="110" t="s">
        <v>373</v>
      </c>
      <c r="G154" s="111">
        <v>50</v>
      </c>
      <c r="H154" s="112" t="s">
        <v>69</v>
      </c>
      <c r="I154" s="118">
        <v>86.43</v>
      </c>
      <c r="J154" s="109"/>
      <c r="K154" s="118">
        <v>4321.5</v>
      </c>
      <c r="L154" s="113" t="s">
        <v>363</v>
      </c>
      <c r="M154" s="142">
        <v>46195</v>
      </c>
      <c r="N154" s="143">
        <v>46205</v>
      </c>
      <c r="O154" s="140">
        <v>46205</v>
      </c>
      <c r="P154" s="116">
        <f t="shared" si="4"/>
        <v>10</v>
      </c>
      <c r="Q154" s="116">
        <f t="shared" si="5"/>
        <v>0</v>
      </c>
    </row>
    <row r="155" spans="1:17">
      <c r="A155" s="108">
        <v>154</v>
      </c>
      <c r="B155" s="109" t="s">
        <v>273</v>
      </c>
      <c r="C155" s="112"/>
      <c r="D155" s="109" t="s">
        <v>361</v>
      </c>
      <c r="E155" s="112"/>
      <c r="F155" s="110" t="s">
        <v>374</v>
      </c>
      <c r="G155" s="111">
        <v>50</v>
      </c>
      <c r="H155" s="112" t="s">
        <v>69</v>
      </c>
      <c r="I155" s="118">
        <v>17.96</v>
      </c>
      <c r="J155" s="109"/>
      <c r="K155" s="118">
        <v>898</v>
      </c>
      <c r="L155" s="113" t="s">
        <v>363</v>
      </c>
      <c r="M155" s="142">
        <v>46195</v>
      </c>
      <c r="N155" s="143">
        <v>46205</v>
      </c>
      <c r="O155" s="140">
        <v>46205</v>
      </c>
      <c r="P155" s="116">
        <f t="shared" si="4"/>
        <v>10</v>
      </c>
      <c r="Q155" s="116">
        <f t="shared" si="5"/>
        <v>0</v>
      </c>
    </row>
    <row r="156" spans="1:17">
      <c r="A156" s="108">
        <v>155</v>
      </c>
      <c r="B156" s="109" t="s">
        <v>375</v>
      </c>
      <c r="C156" s="112"/>
      <c r="D156" s="109" t="s">
        <v>376</v>
      </c>
      <c r="E156" s="112"/>
      <c r="F156" s="110" t="s">
        <v>377</v>
      </c>
      <c r="G156" s="111">
        <v>1</v>
      </c>
      <c r="H156" s="112" t="s">
        <v>81</v>
      </c>
      <c r="I156" s="118">
        <v>5500</v>
      </c>
      <c r="J156" s="109"/>
      <c r="K156" s="118">
        <v>5500</v>
      </c>
      <c r="L156" s="113" t="s">
        <v>378</v>
      </c>
      <c r="M156" s="142">
        <v>46192</v>
      </c>
      <c r="N156" s="143">
        <v>46205</v>
      </c>
      <c r="O156" s="140">
        <v>46205</v>
      </c>
      <c r="P156" s="116">
        <f t="shared" si="4"/>
        <v>13</v>
      </c>
      <c r="Q156" s="116">
        <f t="shared" si="5"/>
        <v>0</v>
      </c>
    </row>
    <row r="157" spans="1:17">
      <c r="A157" s="108">
        <v>156</v>
      </c>
      <c r="B157" s="109" t="s">
        <v>379</v>
      </c>
      <c r="C157" s="112"/>
      <c r="D157" s="109" t="s">
        <v>380</v>
      </c>
      <c r="E157" s="112"/>
      <c r="F157" s="110" t="s">
        <v>381</v>
      </c>
      <c r="G157" s="111">
        <v>1</v>
      </c>
      <c r="H157" s="112" t="s">
        <v>72</v>
      </c>
      <c r="I157" s="111">
        <v>160000</v>
      </c>
      <c r="J157" s="119">
        <v>26237.942122186505</v>
      </c>
      <c r="K157" s="111">
        <v>133762.05787781349</v>
      </c>
      <c r="L157" s="113" t="s">
        <v>382</v>
      </c>
      <c r="M157" s="142">
        <v>46056</v>
      </c>
      <c r="N157" s="143">
        <v>46205</v>
      </c>
      <c r="O157" s="140">
        <v>46205</v>
      </c>
      <c r="P157" s="116">
        <f t="shared" si="4"/>
        <v>149</v>
      </c>
      <c r="Q157" s="116">
        <f t="shared" si="5"/>
        <v>0</v>
      </c>
    </row>
    <row r="158" spans="1:17">
      <c r="A158" s="108">
        <v>157</v>
      </c>
      <c r="B158" s="109" t="s">
        <v>379</v>
      </c>
      <c r="C158" s="112"/>
      <c r="D158" s="109" t="s">
        <v>380</v>
      </c>
      <c r="E158" s="112"/>
      <c r="F158" s="110" t="s">
        <v>383</v>
      </c>
      <c r="G158" s="111">
        <v>1</v>
      </c>
      <c r="H158" s="112" t="s">
        <v>72</v>
      </c>
      <c r="I158" s="111">
        <v>185000</v>
      </c>
      <c r="J158" s="119">
        <v>30337.620578778151</v>
      </c>
      <c r="K158" s="111">
        <v>154662.37942122185</v>
      </c>
      <c r="L158" s="113" t="s">
        <v>382</v>
      </c>
      <c r="M158" s="142">
        <v>46056</v>
      </c>
      <c r="N158" s="143">
        <v>46205</v>
      </c>
      <c r="O158" s="140">
        <v>46205</v>
      </c>
      <c r="P158" s="116">
        <f t="shared" si="4"/>
        <v>149</v>
      </c>
      <c r="Q158" s="116">
        <f t="shared" si="5"/>
        <v>0</v>
      </c>
    </row>
    <row r="159" spans="1:17">
      <c r="A159" s="108">
        <v>158</v>
      </c>
      <c r="B159" s="109" t="s">
        <v>379</v>
      </c>
      <c r="C159" s="112"/>
      <c r="D159" s="109" t="s">
        <v>380</v>
      </c>
      <c r="E159" s="112"/>
      <c r="F159" s="110" t="s">
        <v>384</v>
      </c>
      <c r="G159" s="111">
        <v>1</v>
      </c>
      <c r="H159" s="112" t="s">
        <v>72</v>
      </c>
      <c r="I159" s="111">
        <v>85000</v>
      </c>
      <c r="J159" s="119">
        <v>13938.906752411582</v>
      </c>
      <c r="K159" s="111">
        <v>71061.093247588418</v>
      </c>
      <c r="L159" s="113" t="s">
        <v>382</v>
      </c>
      <c r="M159" s="142">
        <v>46056</v>
      </c>
      <c r="N159" s="143">
        <v>46205</v>
      </c>
      <c r="O159" s="140">
        <v>46205</v>
      </c>
      <c r="P159" s="116">
        <f t="shared" si="4"/>
        <v>149</v>
      </c>
      <c r="Q159" s="116">
        <f t="shared" si="5"/>
        <v>0</v>
      </c>
    </row>
    <row r="160" spans="1:17">
      <c r="A160" s="108">
        <v>159</v>
      </c>
      <c r="B160" s="109" t="s">
        <v>379</v>
      </c>
      <c r="C160" s="112"/>
      <c r="D160" s="109" t="s">
        <v>380</v>
      </c>
      <c r="E160" s="112"/>
      <c r="F160" s="110" t="s">
        <v>385</v>
      </c>
      <c r="G160" s="111">
        <v>1</v>
      </c>
      <c r="H160" s="112" t="s">
        <v>72</v>
      </c>
      <c r="I160" s="111">
        <v>75000</v>
      </c>
      <c r="J160" s="119">
        <v>12299.035369774923</v>
      </c>
      <c r="K160" s="111">
        <v>62700.964630225077</v>
      </c>
      <c r="L160" s="113" t="s">
        <v>382</v>
      </c>
      <c r="M160" s="142">
        <v>46056</v>
      </c>
      <c r="N160" s="143">
        <v>46205</v>
      </c>
      <c r="O160" s="140">
        <v>46205</v>
      </c>
      <c r="P160" s="116">
        <f t="shared" si="4"/>
        <v>149</v>
      </c>
      <c r="Q160" s="116">
        <f t="shared" si="5"/>
        <v>0</v>
      </c>
    </row>
    <row r="161" spans="1:17">
      <c r="A161" s="108">
        <v>160</v>
      </c>
      <c r="B161" s="109" t="s">
        <v>379</v>
      </c>
      <c r="C161" s="112"/>
      <c r="D161" s="109" t="s">
        <v>380</v>
      </c>
      <c r="E161" s="112"/>
      <c r="F161" s="110" t="s">
        <v>386</v>
      </c>
      <c r="G161" s="111">
        <v>1</v>
      </c>
      <c r="H161" s="112" t="s">
        <v>72</v>
      </c>
      <c r="I161" s="111">
        <v>285000</v>
      </c>
      <c r="J161" s="119">
        <v>46736.334405144677</v>
      </c>
      <c r="K161" s="111">
        <v>238263.66559485532</v>
      </c>
      <c r="L161" s="113" t="s">
        <v>382</v>
      </c>
      <c r="M161" s="142">
        <v>46056</v>
      </c>
      <c r="N161" s="143">
        <v>46205</v>
      </c>
      <c r="O161" s="140">
        <v>46205</v>
      </c>
      <c r="P161" s="116">
        <f t="shared" si="4"/>
        <v>149</v>
      </c>
      <c r="Q161" s="116">
        <f t="shared" si="5"/>
        <v>0</v>
      </c>
    </row>
    <row r="162" spans="1:17">
      <c r="A162" s="108">
        <v>161</v>
      </c>
      <c r="B162" s="109" t="s">
        <v>379</v>
      </c>
      <c r="C162" s="112"/>
      <c r="D162" s="109" t="s">
        <v>380</v>
      </c>
      <c r="E162" s="112"/>
      <c r="F162" s="110" t="s">
        <v>387</v>
      </c>
      <c r="G162" s="111">
        <v>1</v>
      </c>
      <c r="H162" s="112" t="s">
        <v>72</v>
      </c>
      <c r="I162" s="111">
        <v>395000</v>
      </c>
      <c r="J162" s="119">
        <v>64774.919614147919</v>
      </c>
      <c r="K162" s="111">
        <v>330225.08038585208</v>
      </c>
      <c r="L162" s="113" t="s">
        <v>382</v>
      </c>
      <c r="M162" s="142">
        <v>46056</v>
      </c>
      <c r="N162" s="143">
        <v>46205</v>
      </c>
      <c r="O162" s="140">
        <v>46205</v>
      </c>
      <c r="P162" s="116">
        <f t="shared" si="4"/>
        <v>149</v>
      </c>
      <c r="Q162" s="116">
        <f t="shared" si="5"/>
        <v>0</v>
      </c>
    </row>
    <row r="163" spans="1:17">
      <c r="A163" s="108">
        <v>162</v>
      </c>
      <c r="B163" s="109" t="s">
        <v>379</v>
      </c>
      <c r="C163" s="112"/>
      <c r="D163" s="109" t="s">
        <v>380</v>
      </c>
      <c r="E163" s="112"/>
      <c r="F163" s="110" t="s">
        <v>388</v>
      </c>
      <c r="G163" s="111">
        <v>1</v>
      </c>
      <c r="H163" s="112" t="s">
        <v>72</v>
      </c>
      <c r="I163" s="111">
        <v>285000</v>
      </c>
      <c r="J163" s="119">
        <v>46736.334405144677</v>
      </c>
      <c r="K163" s="111">
        <v>238263.66559485532</v>
      </c>
      <c r="L163" s="113" t="s">
        <v>382</v>
      </c>
      <c r="M163" s="142">
        <v>46056</v>
      </c>
      <c r="N163" s="143">
        <v>46205</v>
      </c>
      <c r="O163" s="140">
        <v>46205</v>
      </c>
      <c r="P163" s="116">
        <f t="shared" si="4"/>
        <v>149</v>
      </c>
      <c r="Q163" s="116">
        <f t="shared" si="5"/>
        <v>0</v>
      </c>
    </row>
    <row r="164" spans="1:17">
      <c r="A164" s="108">
        <v>163</v>
      </c>
      <c r="B164" s="109" t="s">
        <v>379</v>
      </c>
      <c r="C164" s="112"/>
      <c r="D164" s="109" t="s">
        <v>380</v>
      </c>
      <c r="E164" s="112"/>
      <c r="F164" s="110" t="s">
        <v>389</v>
      </c>
      <c r="G164" s="111">
        <v>1</v>
      </c>
      <c r="H164" s="112" t="s">
        <v>72</v>
      </c>
      <c r="I164" s="111">
        <v>85000</v>
      </c>
      <c r="J164" s="119">
        <v>13938.906752411582</v>
      </c>
      <c r="K164" s="111">
        <v>71061.093247588418</v>
      </c>
      <c r="L164" s="113" t="s">
        <v>382</v>
      </c>
      <c r="M164" s="142">
        <v>46056</v>
      </c>
      <c r="N164" s="143">
        <v>46205</v>
      </c>
      <c r="O164" s="140">
        <v>46205</v>
      </c>
      <c r="P164" s="116">
        <f t="shared" si="4"/>
        <v>149</v>
      </c>
      <c r="Q164" s="116">
        <f t="shared" si="5"/>
        <v>0</v>
      </c>
    </row>
    <row r="165" spans="1:17">
      <c r="A165" s="108">
        <v>164</v>
      </c>
      <c r="B165" s="109" t="s">
        <v>379</v>
      </c>
      <c r="C165" s="112"/>
      <c r="D165" s="109" t="s">
        <v>380</v>
      </c>
      <c r="E165" s="112"/>
      <c r="F165" s="110" t="s">
        <v>390</v>
      </c>
      <c r="G165" s="111">
        <v>1</v>
      </c>
      <c r="H165" s="112" t="s">
        <v>72</v>
      </c>
      <c r="I165" s="111">
        <v>80000</v>
      </c>
      <c r="J165" s="119">
        <v>25263.15789473684</v>
      </c>
      <c r="K165" s="111">
        <f>I165-J165</f>
        <v>54736.84210526316</v>
      </c>
      <c r="L165" s="113" t="s">
        <v>391</v>
      </c>
      <c r="M165" s="142">
        <v>46056</v>
      </c>
      <c r="N165" s="143">
        <v>46205</v>
      </c>
      <c r="O165" s="140">
        <v>46205</v>
      </c>
      <c r="P165" s="116">
        <f t="shared" si="4"/>
        <v>149</v>
      </c>
      <c r="Q165" s="116">
        <f t="shared" si="5"/>
        <v>0</v>
      </c>
    </row>
    <row r="166" spans="1:17">
      <c r="A166" s="108">
        <v>165</v>
      </c>
      <c r="B166" s="109" t="s">
        <v>379</v>
      </c>
      <c r="C166" s="112"/>
      <c r="D166" s="109" t="s">
        <v>380</v>
      </c>
      <c r="E166" s="112"/>
      <c r="F166" s="110" t="s">
        <v>392</v>
      </c>
      <c r="G166" s="111">
        <v>1</v>
      </c>
      <c r="H166" s="112" t="s">
        <v>72</v>
      </c>
      <c r="I166" s="111">
        <v>55000</v>
      </c>
      <c r="J166" s="119">
        <v>17368.421052631573</v>
      </c>
      <c r="K166" s="111">
        <f>I166-J166</f>
        <v>37631.578947368427</v>
      </c>
      <c r="L166" s="113" t="s">
        <v>391</v>
      </c>
      <c r="M166" s="142">
        <v>46056</v>
      </c>
      <c r="N166" s="143">
        <v>46205</v>
      </c>
      <c r="O166" s="140">
        <v>46205</v>
      </c>
      <c r="P166" s="116">
        <f t="shared" si="4"/>
        <v>149</v>
      </c>
      <c r="Q166" s="116">
        <f t="shared" si="5"/>
        <v>0</v>
      </c>
    </row>
    <row r="167" spans="1:17">
      <c r="A167" s="108">
        <v>166</v>
      </c>
      <c r="B167" s="109" t="s">
        <v>379</v>
      </c>
      <c r="C167" s="112"/>
      <c r="D167" s="109" t="s">
        <v>380</v>
      </c>
      <c r="E167" s="112"/>
      <c r="F167" s="110" t="s">
        <v>393</v>
      </c>
      <c r="G167" s="111">
        <v>1</v>
      </c>
      <c r="H167" s="112" t="s">
        <v>72</v>
      </c>
      <c r="I167" s="111">
        <v>75000</v>
      </c>
      <c r="J167" s="119">
        <v>23684.210526315786</v>
      </c>
      <c r="K167" s="111">
        <f>I167-J167</f>
        <v>51315.789473684214</v>
      </c>
      <c r="L167" s="113" t="s">
        <v>391</v>
      </c>
      <c r="M167" s="142">
        <v>46056</v>
      </c>
      <c r="N167" s="143">
        <v>46205</v>
      </c>
      <c r="O167" s="140">
        <v>46205</v>
      </c>
      <c r="P167" s="116">
        <f t="shared" si="4"/>
        <v>149</v>
      </c>
      <c r="Q167" s="116">
        <f t="shared" si="5"/>
        <v>0</v>
      </c>
    </row>
    <row r="168" spans="1:17">
      <c r="A168" s="108">
        <v>167</v>
      </c>
      <c r="B168" s="109" t="s">
        <v>379</v>
      </c>
      <c r="C168" s="112"/>
      <c r="D168" s="109" t="s">
        <v>380</v>
      </c>
      <c r="E168" s="112"/>
      <c r="F168" s="110" t="s">
        <v>394</v>
      </c>
      <c r="G168" s="111">
        <v>1</v>
      </c>
      <c r="H168" s="112" t="s">
        <v>72</v>
      </c>
      <c r="I168" s="111">
        <v>75000</v>
      </c>
      <c r="J168" s="119">
        <v>23684.210526315786</v>
      </c>
      <c r="K168" s="111">
        <f>I168-J168</f>
        <v>51315.789473684214</v>
      </c>
      <c r="L168" s="113" t="s">
        <v>391</v>
      </c>
      <c r="M168" s="142">
        <v>46056</v>
      </c>
      <c r="N168" s="143">
        <v>46205</v>
      </c>
      <c r="O168" s="140">
        <v>46205</v>
      </c>
      <c r="P168" s="116">
        <f t="shared" si="4"/>
        <v>149</v>
      </c>
      <c r="Q168" s="116">
        <f t="shared" si="5"/>
        <v>0</v>
      </c>
    </row>
    <row r="169" spans="1:17">
      <c r="A169" s="108">
        <v>168</v>
      </c>
      <c r="B169" s="109" t="s">
        <v>76</v>
      </c>
      <c r="C169" s="112"/>
      <c r="D169" s="109" t="s">
        <v>77</v>
      </c>
      <c r="E169" s="112"/>
      <c r="F169" s="110" t="s">
        <v>395</v>
      </c>
      <c r="G169" s="111">
        <v>2</v>
      </c>
      <c r="H169" s="112" t="s">
        <v>66</v>
      </c>
      <c r="I169" s="118">
        <v>170</v>
      </c>
      <c r="J169" s="109"/>
      <c r="K169" s="118">
        <v>340</v>
      </c>
      <c r="L169" s="113" t="s">
        <v>396</v>
      </c>
      <c r="M169" s="142">
        <v>46205</v>
      </c>
      <c r="N169" s="143">
        <v>46205</v>
      </c>
      <c r="O169" s="140">
        <v>46205</v>
      </c>
      <c r="P169" s="116">
        <f t="shared" si="4"/>
        <v>0</v>
      </c>
      <c r="Q169" s="116">
        <f t="shared" si="5"/>
        <v>0</v>
      </c>
    </row>
    <row r="170" spans="1:17">
      <c r="A170" s="108">
        <v>169</v>
      </c>
      <c r="B170" s="109" t="s">
        <v>76</v>
      </c>
      <c r="C170" s="112"/>
      <c r="D170" s="109" t="s">
        <v>77</v>
      </c>
      <c r="E170" s="112"/>
      <c r="F170" s="110" t="s">
        <v>112</v>
      </c>
      <c r="G170" s="111">
        <v>2</v>
      </c>
      <c r="H170" s="112" t="s">
        <v>66</v>
      </c>
      <c r="I170" s="118">
        <v>350</v>
      </c>
      <c r="J170" s="109"/>
      <c r="K170" s="118">
        <v>700</v>
      </c>
      <c r="L170" s="113" t="s">
        <v>396</v>
      </c>
      <c r="M170" s="142">
        <v>46205</v>
      </c>
      <c r="N170" s="143">
        <v>46205</v>
      </c>
      <c r="O170" s="140">
        <v>46205</v>
      </c>
      <c r="P170" s="116">
        <f t="shared" si="4"/>
        <v>0</v>
      </c>
      <c r="Q170" s="116">
        <f t="shared" si="5"/>
        <v>0</v>
      </c>
    </row>
    <row r="171" spans="1:17">
      <c r="A171" s="108">
        <v>170</v>
      </c>
      <c r="B171" s="109" t="s">
        <v>101</v>
      </c>
      <c r="C171" s="112"/>
      <c r="D171" s="109" t="s">
        <v>75</v>
      </c>
      <c r="E171" s="112"/>
      <c r="F171" s="110" t="s">
        <v>397</v>
      </c>
      <c r="G171" s="111">
        <v>1</v>
      </c>
      <c r="H171" s="112" t="s">
        <v>66</v>
      </c>
      <c r="I171" s="118">
        <v>38100</v>
      </c>
      <c r="J171" s="119">
        <v>1143</v>
      </c>
      <c r="K171" s="118">
        <v>36957</v>
      </c>
      <c r="L171" s="113" t="s">
        <v>398</v>
      </c>
      <c r="M171" s="142">
        <v>46196</v>
      </c>
      <c r="N171" s="143">
        <v>46206</v>
      </c>
      <c r="O171" s="140">
        <v>46206</v>
      </c>
      <c r="P171" s="116">
        <f t="shared" si="4"/>
        <v>10</v>
      </c>
      <c r="Q171" s="116">
        <f t="shared" si="5"/>
        <v>0</v>
      </c>
    </row>
    <row r="172" spans="1:17">
      <c r="A172" s="108">
        <v>171</v>
      </c>
      <c r="B172" s="109" t="s">
        <v>101</v>
      </c>
      <c r="C172" s="112"/>
      <c r="D172" s="109" t="s">
        <v>75</v>
      </c>
      <c r="E172" s="112"/>
      <c r="F172" s="110" t="s">
        <v>399</v>
      </c>
      <c r="G172" s="111">
        <v>2</v>
      </c>
      <c r="H172" s="112" t="s">
        <v>66</v>
      </c>
      <c r="I172" s="118">
        <v>2380</v>
      </c>
      <c r="J172" s="119">
        <v>238</v>
      </c>
      <c r="K172" s="118">
        <v>4522</v>
      </c>
      <c r="L172" s="113" t="s">
        <v>398</v>
      </c>
      <c r="M172" s="142">
        <v>46196</v>
      </c>
      <c r="N172" s="143">
        <v>46206</v>
      </c>
      <c r="O172" s="140">
        <v>46206</v>
      </c>
      <c r="P172" s="116">
        <f t="shared" si="4"/>
        <v>10</v>
      </c>
      <c r="Q172" s="116">
        <f t="shared" si="5"/>
        <v>0</v>
      </c>
    </row>
    <row r="173" spans="1:17">
      <c r="A173" s="108">
        <v>172</v>
      </c>
      <c r="B173" s="109" t="s">
        <v>101</v>
      </c>
      <c r="C173" s="112"/>
      <c r="D173" s="109" t="s">
        <v>75</v>
      </c>
      <c r="E173" s="112"/>
      <c r="F173" s="110" t="s">
        <v>400</v>
      </c>
      <c r="G173" s="111">
        <v>4</v>
      </c>
      <c r="H173" s="112" t="s">
        <v>66</v>
      </c>
      <c r="I173" s="118">
        <v>2980</v>
      </c>
      <c r="J173" s="119">
        <v>596</v>
      </c>
      <c r="K173" s="118">
        <v>11324</v>
      </c>
      <c r="L173" s="113" t="s">
        <v>398</v>
      </c>
      <c r="M173" s="142">
        <v>46196</v>
      </c>
      <c r="N173" s="143">
        <v>46206</v>
      </c>
      <c r="O173" s="140">
        <v>46206</v>
      </c>
      <c r="P173" s="116">
        <f t="shared" si="4"/>
        <v>10</v>
      </c>
      <c r="Q173" s="116">
        <f t="shared" si="5"/>
        <v>0</v>
      </c>
    </row>
    <row r="174" spans="1:17">
      <c r="A174" s="108">
        <v>173</v>
      </c>
      <c r="B174" s="109" t="s">
        <v>401</v>
      </c>
      <c r="C174" s="112"/>
      <c r="D174" s="109" t="s">
        <v>67</v>
      </c>
      <c r="E174" s="112"/>
      <c r="F174" s="110" t="s">
        <v>402</v>
      </c>
      <c r="G174" s="111">
        <v>4</v>
      </c>
      <c r="H174" s="112" t="s">
        <v>63</v>
      </c>
      <c r="I174" s="118">
        <v>328.78</v>
      </c>
      <c r="J174" s="109"/>
      <c r="K174" s="118">
        <v>1315.12</v>
      </c>
      <c r="L174" s="113" t="s">
        <v>403</v>
      </c>
      <c r="M174" s="142">
        <v>46206</v>
      </c>
      <c r="N174" s="143">
        <v>46209</v>
      </c>
      <c r="O174" s="140">
        <v>46209</v>
      </c>
      <c r="P174" s="116">
        <f t="shared" si="4"/>
        <v>3</v>
      </c>
      <c r="Q174" s="116">
        <f t="shared" si="5"/>
        <v>0</v>
      </c>
    </row>
    <row r="175" spans="1:17">
      <c r="A175" s="108">
        <v>174</v>
      </c>
      <c r="B175" s="109" t="s">
        <v>404</v>
      </c>
      <c r="C175" s="112"/>
      <c r="D175" s="109" t="s">
        <v>405</v>
      </c>
      <c r="E175" s="112"/>
      <c r="F175" s="110" t="s">
        <v>406</v>
      </c>
      <c r="G175" s="111">
        <v>1</v>
      </c>
      <c r="H175" s="112" t="s">
        <v>72</v>
      </c>
      <c r="I175" s="118">
        <v>700</v>
      </c>
      <c r="J175" s="109"/>
      <c r="K175" s="118">
        <v>700</v>
      </c>
      <c r="L175" s="113" t="s">
        <v>407</v>
      </c>
      <c r="M175" s="142">
        <v>46205</v>
      </c>
      <c r="N175" s="143">
        <v>46209</v>
      </c>
      <c r="O175" s="140">
        <v>46209</v>
      </c>
      <c r="P175" s="116">
        <f t="shared" si="4"/>
        <v>4</v>
      </c>
      <c r="Q175" s="116">
        <f t="shared" si="5"/>
        <v>0</v>
      </c>
    </row>
    <row r="176" spans="1:17">
      <c r="A176" s="108">
        <v>175</v>
      </c>
      <c r="B176" s="109" t="s">
        <v>408</v>
      </c>
      <c r="C176" s="112"/>
      <c r="D176" s="109" t="s">
        <v>405</v>
      </c>
      <c r="E176" s="112"/>
      <c r="F176" s="110" t="s">
        <v>409</v>
      </c>
      <c r="G176" s="111">
        <v>22</v>
      </c>
      <c r="H176" s="112" t="s">
        <v>66</v>
      </c>
      <c r="I176" s="118">
        <v>80</v>
      </c>
      <c r="J176" s="109"/>
      <c r="K176" s="118">
        <v>1760</v>
      </c>
      <c r="L176" s="113" t="s">
        <v>410</v>
      </c>
      <c r="M176" s="142">
        <v>46205</v>
      </c>
      <c r="N176" s="143">
        <v>46209</v>
      </c>
      <c r="O176" s="140">
        <v>46209</v>
      </c>
      <c r="P176" s="116">
        <f t="shared" si="4"/>
        <v>4</v>
      </c>
      <c r="Q176" s="116">
        <f t="shared" si="5"/>
        <v>0</v>
      </c>
    </row>
    <row r="177" spans="1:17">
      <c r="A177" s="108">
        <v>176</v>
      </c>
      <c r="B177" s="109" t="s">
        <v>411</v>
      </c>
      <c r="C177" s="112"/>
      <c r="D177" s="109" t="s">
        <v>405</v>
      </c>
      <c r="E177" s="112"/>
      <c r="F177" s="110" t="s">
        <v>412</v>
      </c>
      <c r="G177" s="111">
        <v>1</v>
      </c>
      <c r="H177" s="112" t="s">
        <v>72</v>
      </c>
      <c r="I177" s="118">
        <v>4000</v>
      </c>
      <c r="J177" s="109"/>
      <c r="K177" s="118">
        <v>4000</v>
      </c>
      <c r="L177" s="113" t="s">
        <v>413</v>
      </c>
      <c r="M177" s="142">
        <v>46205</v>
      </c>
      <c r="N177" s="143">
        <v>46209</v>
      </c>
      <c r="O177" s="140">
        <v>46209</v>
      </c>
      <c r="P177" s="116">
        <f t="shared" si="4"/>
        <v>4</v>
      </c>
      <c r="Q177" s="116">
        <f t="shared" si="5"/>
        <v>0</v>
      </c>
    </row>
    <row r="178" spans="1:17">
      <c r="A178" s="108">
        <v>177</v>
      </c>
      <c r="B178" s="109" t="s">
        <v>411</v>
      </c>
      <c r="C178" s="112"/>
      <c r="D178" s="109" t="s">
        <v>405</v>
      </c>
      <c r="E178" s="112"/>
      <c r="F178" s="110" t="s">
        <v>414</v>
      </c>
      <c r="G178" s="111">
        <v>1</v>
      </c>
      <c r="H178" s="112" t="s">
        <v>66</v>
      </c>
      <c r="I178" s="118">
        <v>1500</v>
      </c>
      <c r="J178" s="109"/>
      <c r="K178" s="118">
        <v>1500</v>
      </c>
      <c r="L178" s="113" t="s">
        <v>413</v>
      </c>
      <c r="M178" s="142">
        <v>46205</v>
      </c>
      <c r="N178" s="143">
        <v>46209</v>
      </c>
      <c r="O178" s="140">
        <v>46209</v>
      </c>
      <c r="P178" s="116">
        <f t="shared" si="4"/>
        <v>4</v>
      </c>
      <c r="Q178" s="116">
        <f t="shared" si="5"/>
        <v>0</v>
      </c>
    </row>
    <row r="179" spans="1:17">
      <c r="A179" s="108">
        <v>178</v>
      </c>
      <c r="B179" s="109" t="s">
        <v>411</v>
      </c>
      <c r="C179" s="112"/>
      <c r="D179" s="109" t="s">
        <v>405</v>
      </c>
      <c r="E179" s="112"/>
      <c r="F179" s="110" t="s">
        <v>415</v>
      </c>
      <c r="G179" s="111">
        <v>2</v>
      </c>
      <c r="H179" s="112" t="s">
        <v>66</v>
      </c>
      <c r="I179" s="118">
        <v>1300</v>
      </c>
      <c r="J179" s="109"/>
      <c r="K179" s="118">
        <v>2600</v>
      </c>
      <c r="L179" s="113" t="s">
        <v>413</v>
      </c>
      <c r="M179" s="142">
        <v>46205</v>
      </c>
      <c r="N179" s="143">
        <v>46209</v>
      </c>
      <c r="O179" s="140">
        <v>46209</v>
      </c>
      <c r="P179" s="116">
        <f t="shared" si="4"/>
        <v>4</v>
      </c>
      <c r="Q179" s="116">
        <f t="shared" si="5"/>
        <v>0</v>
      </c>
    </row>
    <row r="180" spans="1:17">
      <c r="A180" s="108">
        <v>179</v>
      </c>
      <c r="B180" s="109" t="s">
        <v>411</v>
      </c>
      <c r="C180" s="112"/>
      <c r="D180" s="109" t="s">
        <v>405</v>
      </c>
      <c r="E180" s="112"/>
      <c r="F180" s="110" t="s">
        <v>416</v>
      </c>
      <c r="G180" s="111">
        <v>1</v>
      </c>
      <c r="H180" s="112" t="s">
        <v>72</v>
      </c>
      <c r="I180" s="118">
        <v>13000</v>
      </c>
      <c r="J180" s="109"/>
      <c r="K180" s="118">
        <v>13000</v>
      </c>
      <c r="L180" s="113" t="s">
        <v>413</v>
      </c>
      <c r="M180" s="142">
        <v>46205</v>
      </c>
      <c r="N180" s="143">
        <v>46209</v>
      </c>
      <c r="O180" s="140">
        <v>46209</v>
      </c>
      <c r="P180" s="116">
        <f t="shared" si="4"/>
        <v>4</v>
      </c>
      <c r="Q180" s="116">
        <f t="shared" si="5"/>
        <v>0</v>
      </c>
    </row>
    <row r="181" spans="1:17">
      <c r="A181" s="108">
        <v>180</v>
      </c>
      <c r="B181" s="109" t="s">
        <v>417</v>
      </c>
      <c r="C181" s="112"/>
      <c r="D181" s="109" t="s">
        <v>68</v>
      </c>
      <c r="E181" s="112"/>
      <c r="F181" s="110" t="s">
        <v>418</v>
      </c>
      <c r="G181" s="111">
        <v>3</v>
      </c>
      <c r="H181" s="112" t="s">
        <v>72</v>
      </c>
      <c r="I181" s="118">
        <v>730</v>
      </c>
      <c r="J181" s="119"/>
      <c r="K181" s="118">
        <v>2190</v>
      </c>
      <c r="L181" s="113" t="s">
        <v>419</v>
      </c>
      <c r="M181" s="142">
        <v>46203</v>
      </c>
      <c r="N181" s="143">
        <v>46210</v>
      </c>
      <c r="O181" s="140">
        <v>46210</v>
      </c>
      <c r="P181" s="116">
        <f t="shared" si="4"/>
        <v>7</v>
      </c>
      <c r="Q181" s="116">
        <f t="shared" si="5"/>
        <v>0</v>
      </c>
    </row>
    <row r="182" spans="1:17">
      <c r="A182" s="108">
        <v>181</v>
      </c>
      <c r="B182" s="109" t="s">
        <v>420</v>
      </c>
      <c r="C182" s="112"/>
      <c r="D182" s="109" t="s">
        <v>421</v>
      </c>
      <c r="E182" s="112"/>
      <c r="F182" s="110" t="s">
        <v>422</v>
      </c>
      <c r="G182" s="111">
        <v>1</v>
      </c>
      <c r="H182" s="112" t="s">
        <v>66</v>
      </c>
      <c r="I182" s="118">
        <v>1610</v>
      </c>
      <c r="J182" s="109"/>
      <c r="K182" s="118">
        <v>1610</v>
      </c>
      <c r="L182" s="113" t="s">
        <v>423</v>
      </c>
      <c r="M182" s="142">
        <v>46206</v>
      </c>
      <c r="N182" s="143">
        <v>46210</v>
      </c>
      <c r="O182" s="140">
        <v>46210</v>
      </c>
      <c r="P182" s="116">
        <f t="shared" si="4"/>
        <v>4</v>
      </c>
      <c r="Q182" s="116">
        <f t="shared" si="5"/>
        <v>0</v>
      </c>
    </row>
    <row r="183" spans="1:17">
      <c r="A183" s="108">
        <v>182</v>
      </c>
      <c r="B183" s="109" t="s">
        <v>310</v>
      </c>
      <c r="C183" s="112"/>
      <c r="D183" s="109" t="s">
        <v>102</v>
      </c>
      <c r="E183" s="112"/>
      <c r="F183" s="110" t="s">
        <v>424</v>
      </c>
      <c r="G183" s="111">
        <v>1</v>
      </c>
      <c r="H183" s="112" t="s">
        <v>85</v>
      </c>
      <c r="I183" s="118">
        <v>287</v>
      </c>
      <c r="J183" s="109"/>
      <c r="K183" s="118">
        <v>287</v>
      </c>
      <c r="L183" s="113" t="s">
        <v>425</v>
      </c>
      <c r="M183" s="142">
        <v>46203</v>
      </c>
      <c r="N183" s="143">
        <v>46210</v>
      </c>
      <c r="O183" s="140">
        <v>46210</v>
      </c>
      <c r="P183" s="116">
        <f t="shared" si="4"/>
        <v>7</v>
      </c>
      <c r="Q183" s="116">
        <f t="shared" si="5"/>
        <v>0</v>
      </c>
    </row>
    <row r="184" spans="1:17">
      <c r="A184" s="108">
        <v>183</v>
      </c>
      <c r="B184" s="109" t="s">
        <v>310</v>
      </c>
      <c r="C184" s="112"/>
      <c r="D184" s="109" t="s">
        <v>102</v>
      </c>
      <c r="E184" s="112"/>
      <c r="F184" s="110" t="s">
        <v>426</v>
      </c>
      <c r="G184" s="111">
        <v>1</v>
      </c>
      <c r="H184" s="112" t="s">
        <v>85</v>
      </c>
      <c r="I184" s="118">
        <v>409</v>
      </c>
      <c r="J184" s="109"/>
      <c r="K184" s="118">
        <v>409</v>
      </c>
      <c r="L184" s="113" t="s">
        <v>425</v>
      </c>
      <c r="M184" s="142">
        <v>46203</v>
      </c>
      <c r="N184" s="143">
        <v>46210</v>
      </c>
      <c r="O184" s="140">
        <v>46210</v>
      </c>
      <c r="P184" s="116">
        <f t="shared" si="4"/>
        <v>7</v>
      </c>
      <c r="Q184" s="116">
        <f t="shared" si="5"/>
        <v>0</v>
      </c>
    </row>
    <row r="185" spans="1:17">
      <c r="A185" s="108">
        <v>184</v>
      </c>
      <c r="B185" s="109" t="s">
        <v>310</v>
      </c>
      <c r="C185" s="112"/>
      <c r="D185" s="109" t="s">
        <v>102</v>
      </c>
      <c r="E185" s="112"/>
      <c r="F185" s="110" t="s">
        <v>427</v>
      </c>
      <c r="G185" s="111">
        <v>7</v>
      </c>
      <c r="H185" s="112" t="s">
        <v>85</v>
      </c>
      <c r="I185" s="118">
        <v>426</v>
      </c>
      <c r="J185" s="109"/>
      <c r="K185" s="118">
        <v>2982</v>
      </c>
      <c r="L185" s="113" t="s">
        <v>425</v>
      </c>
      <c r="M185" s="142">
        <v>46203</v>
      </c>
      <c r="N185" s="143">
        <v>46210</v>
      </c>
      <c r="O185" s="140">
        <v>46210</v>
      </c>
      <c r="P185" s="116">
        <f t="shared" si="4"/>
        <v>7</v>
      </c>
      <c r="Q185" s="116">
        <f t="shared" si="5"/>
        <v>0</v>
      </c>
    </row>
    <row r="186" spans="1:17">
      <c r="A186" s="108">
        <v>185</v>
      </c>
      <c r="B186" s="109" t="s">
        <v>310</v>
      </c>
      <c r="C186" s="112"/>
      <c r="D186" s="109" t="s">
        <v>102</v>
      </c>
      <c r="E186" s="112"/>
      <c r="F186" s="110" t="s">
        <v>428</v>
      </c>
      <c r="G186" s="111">
        <v>1</v>
      </c>
      <c r="H186" s="112" t="s">
        <v>85</v>
      </c>
      <c r="I186" s="118">
        <v>315</v>
      </c>
      <c r="J186" s="109"/>
      <c r="K186" s="118">
        <v>315</v>
      </c>
      <c r="L186" s="113" t="s">
        <v>425</v>
      </c>
      <c r="M186" s="142">
        <v>46203</v>
      </c>
      <c r="N186" s="143">
        <v>46210</v>
      </c>
      <c r="O186" s="140">
        <v>46210</v>
      </c>
      <c r="P186" s="116">
        <f t="shared" si="4"/>
        <v>7</v>
      </c>
      <c r="Q186" s="116">
        <f t="shared" si="5"/>
        <v>0</v>
      </c>
    </row>
    <row r="187" spans="1:17">
      <c r="A187" s="108">
        <v>186</v>
      </c>
      <c r="B187" s="109" t="s">
        <v>310</v>
      </c>
      <c r="C187" s="112"/>
      <c r="D187" s="109" t="s">
        <v>102</v>
      </c>
      <c r="E187" s="112"/>
      <c r="F187" s="110" t="s">
        <v>429</v>
      </c>
      <c r="G187" s="111">
        <v>2</v>
      </c>
      <c r="H187" s="112" t="s">
        <v>85</v>
      </c>
      <c r="I187" s="118">
        <v>204</v>
      </c>
      <c r="J187" s="109"/>
      <c r="K187" s="118">
        <v>408</v>
      </c>
      <c r="L187" s="113" t="s">
        <v>425</v>
      </c>
      <c r="M187" s="142">
        <v>46203</v>
      </c>
      <c r="N187" s="143">
        <v>46210</v>
      </c>
      <c r="O187" s="140">
        <v>46210</v>
      </c>
      <c r="P187" s="116">
        <f t="shared" si="4"/>
        <v>7</v>
      </c>
      <c r="Q187" s="116">
        <f t="shared" si="5"/>
        <v>0</v>
      </c>
    </row>
    <row r="188" spans="1:17">
      <c r="A188" s="108">
        <v>187</v>
      </c>
      <c r="B188" s="109" t="s">
        <v>310</v>
      </c>
      <c r="C188" s="112"/>
      <c r="D188" s="109" t="s">
        <v>102</v>
      </c>
      <c r="E188" s="112"/>
      <c r="F188" s="110" t="s">
        <v>430</v>
      </c>
      <c r="G188" s="111">
        <v>1</v>
      </c>
      <c r="H188" s="112" t="s">
        <v>85</v>
      </c>
      <c r="I188" s="118">
        <v>93</v>
      </c>
      <c r="J188" s="109"/>
      <c r="K188" s="118">
        <v>93</v>
      </c>
      <c r="L188" s="113" t="s">
        <v>425</v>
      </c>
      <c r="M188" s="142">
        <v>46203</v>
      </c>
      <c r="N188" s="143">
        <v>46210</v>
      </c>
      <c r="O188" s="140">
        <v>46210</v>
      </c>
      <c r="P188" s="116">
        <f t="shared" si="4"/>
        <v>7</v>
      </c>
      <c r="Q188" s="116">
        <f t="shared" si="5"/>
        <v>0</v>
      </c>
    </row>
    <row r="189" spans="1:17">
      <c r="A189" s="108">
        <v>188</v>
      </c>
      <c r="B189" s="109" t="s">
        <v>310</v>
      </c>
      <c r="C189" s="112"/>
      <c r="D189" s="109" t="s">
        <v>102</v>
      </c>
      <c r="E189" s="112"/>
      <c r="F189" s="110" t="s">
        <v>431</v>
      </c>
      <c r="G189" s="111">
        <v>2</v>
      </c>
      <c r="H189" s="112" t="s">
        <v>85</v>
      </c>
      <c r="I189" s="118">
        <v>385</v>
      </c>
      <c r="J189" s="109"/>
      <c r="K189" s="118">
        <v>770</v>
      </c>
      <c r="L189" s="113" t="s">
        <v>425</v>
      </c>
      <c r="M189" s="142">
        <v>46203</v>
      </c>
      <c r="N189" s="143">
        <v>46210</v>
      </c>
      <c r="O189" s="140">
        <v>46210</v>
      </c>
      <c r="P189" s="116">
        <f t="shared" si="4"/>
        <v>7</v>
      </c>
      <c r="Q189" s="116">
        <f t="shared" si="5"/>
        <v>0</v>
      </c>
    </row>
    <row r="190" spans="1:17">
      <c r="A190" s="108">
        <v>189</v>
      </c>
      <c r="B190" s="109" t="s">
        <v>310</v>
      </c>
      <c r="C190" s="112"/>
      <c r="D190" s="109" t="s">
        <v>102</v>
      </c>
      <c r="E190" s="112"/>
      <c r="F190" s="110" t="s">
        <v>432</v>
      </c>
      <c r="G190" s="111">
        <v>1</v>
      </c>
      <c r="H190" s="112" t="s">
        <v>90</v>
      </c>
      <c r="I190" s="118">
        <v>1500</v>
      </c>
      <c r="J190" s="109"/>
      <c r="K190" s="118">
        <v>1500</v>
      </c>
      <c r="L190" s="113" t="s">
        <v>425</v>
      </c>
      <c r="M190" s="142">
        <v>46203</v>
      </c>
      <c r="N190" s="143">
        <v>46210</v>
      </c>
      <c r="O190" s="140">
        <v>46210</v>
      </c>
      <c r="P190" s="116">
        <f t="shared" si="4"/>
        <v>7</v>
      </c>
      <c r="Q190" s="116">
        <f t="shared" si="5"/>
        <v>0</v>
      </c>
    </row>
    <row r="191" spans="1:17">
      <c r="A191" s="108">
        <v>190</v>
      </c>
      <c r="B191" s="109" t="s">
        <v>433</v>
      </c>
      <c r="C191" s="112"/>
      <c r="D191" s="109" t="s">
        <v>434</v>
      </c>
      <c r="E191" s="112"/>
      <c r="F191" s="110" t="s">
        <v>435</v>
      </c>
      <c r="G191" s="111">
        <v>1</v>
      </c>
      <c r="H191" s="112" t="s">
        <v>63</v>
      </c>
      <c r="I191" s="118">
        <v>6850</v>
      </c>
      <c r="J191" s="109"/>
      <c r="K191" s="118">
        <v>6850</v>
      </c>
      <c r="L191" s="113" t="s">
        <v>436</v>
      </c>
      <c r="M191" s="142">
        <v>46156</v>
      </c>
      <c r="N191" s="143">
        <v>46211</v>
      </c>
      <c r="O191" s="140">
        <v>46211</v>
      </c>
      <c r="P191" s="116">
        <f t="shared" si="4"/>
        <v>55</v>
      </c>
      <c r="Q191" s="116">
        <f t="shared" si="5"/>
        <v>0</v>
      </c>
    </row>
    <row r="192" spans="1:17">
      <c r="A192" s="108">
        <v>191</v>
      </c>
      <c r="B192" s="109" t="s">
        <v>437</v>
      </c>
      <c r="C192" s="112"/>
      <c r="D192" s="109" t="s">
        <v>78</v>
      </c>
      <c r="E192" s="112"/>
      <c r="F192" s="110" t="s">
        <v>438</v>
      </c>
      <c r="G192" s="111">
        <v>1</v>
      </c>
      <c r="H192" s="112" t="s">
        <v>66</v>
      </c>
      <c r="I192" s="118">
        <v>235</v>
      </c>
      <c r="J192" s="109"/>
      <c r="K192" s="118">
        <v>235</v>
      </c>
      <c r="L192" s="113" t="s">
        <v>439</v>
      </c>
      <c r="M192" s="142">
        <v>46209</v>
      </c>
      <c r="N192" s="143">
        <v>46212</v>
      </c>
      <c r="O192" s="140">
        <v>46212</v>
      </c>
      <c r="P192" s="116">
        <f t="shared" si="4"/>
        <v>3</v>
      </c>
      <c r="Q192" s="116">
        <f t="shared" si="5"/>
        <v>0</v>
      </c>
    </row>
    <row r="193" spans="1:17">
      <c r="A193" s="108">
        <v>192</v>
      </c>
      <c r="B193" s="109" t="s">
        <v>203</v>
      </c>
      <c r="C193" s="112"/>
      <c r="D193" s="109" t="s">
        <v>75</v>
      </c>
      <c r="E193" s="112"/>
      <c r="F193" s="110" t="s">
        <v>440</v>
      </c>
      <c r="G193" s="111">
        <v>4</v>
      </c>
      <c r="H193" s="112" t="s">
        <v>66</v>
      </c>
      <c r="I193" s="118">
        <v>2270</v>
      </c>
      <c r="J193" s="119">
        <v>635.6</v>
      </c>
      <c r="K193" s="118">
        <v>8444.4</v>
      </c>
      <c r="L193" s="113" t="s">
        <v>441</v>
      </c>
      <c r="M193" s="142">
        <v>46199</v>
      </c>
      <c r="N193" s="143">
        <v>46213</v>
      </c>
      <c r="O193" s="140">
        <v>46213</v>
      </c>
      <c r="P193" s="116">
        <f t="shared" si="4"/>
        <v>14</v>
      </c>
      <c r="Q193" s="116">
        <f t="shared" si="5"/>
        <v>0</v>
      </c>
    </row>
    <row r="194" spans="1:17">
      <c r="A194" s="108">
        <v>193</v>
      </c>
      <c r="B194" s="109" t="s">
        <v>203</v>
      </c>
      <c r="C194" s="112"/>
      <c r="D194" s="109" t="s">
        <v>75</v>
      </c>
      <c r="E194" s="112"/>
      <c r="F194" s="110" t="s">
        <v>442</v>
      </c>
      <c r="G194" s="111">
        <v>8</v>
      </c>
      <c r="H194" s="112" t="s">
        <v>66</v>
      </c>
      <c r="I194" s="118">
        <v>1450</v>
      </c>
      <c r="J194" s="119">
        <v>812</v>
      </c>
      <c r="K194" s="118">
        <v>10788</v>
      </c>
      <c r="L194" s="113" t="s">
        <v>441</v>
      </c>
      <c r="M194" s="142">
        <v>46199</v>
      </c>
      <c r="N194" s="143">
        <v>46213</v>
      </c>
      <c r="O194" s="140">
        <v>46213</v>
      </c>
      <c r="P194" s="116">
        <f t="shared" ref="P194:P257" si="6">O194-M194</f>
        <v>14</v>
      </c>
      <c r="Q194" s="116">
        <f t="shared" ref="Q194:Q257" si="7">N194-O194</f>
        <v>0</v>
      </c>
    </row>
    <row r="195" spans="1:17">
      <c r="A195" s="108">
        <v>194</v>
      </c>
      <c r="B195" s="109" t="s">
        <v>203</v>
      </c>
      <c r="C195" s="112"/>
      <c r="D195" s="109" t="s">
        <v>75</v>
      </c>
      <c r="E195" s="112"/>
      <c r="F195" s="110" t="s">
        <v>443</v>
      </c>
      <c r="G195" s="111">
        <v>4</v>
      </c>
      <c r="H195" s="112" t="s">
        <v>66</v>
      </c>
      <c r="I195" s="118">
        <v>380</v>
      </c>
      <c r="J195" s="119">
        <v>106.4</v>
      </c>
      <c r="K195" s="118">
        <v>1413.6</v>
      </c>
      <c r="L195" s="113" t="s">
        <v>441</v>
      </c>
      <c r="M195" s="142">
        <v>46199</v>
      </c>
      <c r="N195" s="143">
        <v>46213</v>
      </c>
      <c r="O195" s="140">
        <v>46213</v>
      </c>
      <c r="P195" s="116">
        <f t="shared" si="6"/>
        <v>14</v>
      </c>
      <c r="Q195" s="116">
        <f t="shared" si="7"/>
        <v>0</v>
      </c>
    </row>
    <row r="196" spans="1:17">
      <c r="A196" s="108">
        <v>195</v>
      </c>
      <c r="B196" s="109" t="s">
        <v>203</v>
      </c>
      <c r="C196" s="112"/>
      <c r="D196" s="109" t="s">
        <v>75</v>
      </c>
      <c r="E196" s="112"/>
      <c r="F196" s="110" t="s">
        <v>444</v>
      </c>
      <c r="G196" s="111">
        <v>8</v>
      </c>
      <c r="H196" s="112" t="s">
        <v>66</v>
      </c>
      <c r="I196" s="118">
        <v>1520</v>
      </c>
      <c r="J196" s="119">
        <v>851.2</v>
      </c>
      <c r="K196" s="118">
        <v>11308.8</v>
      </c>
      <c r="L196" s="113" t="s">
        <v>441</v>
      </c>
      <c r="M196" s="142">
        <v>46199</v>
      </c>
      <c r="N196" s="143">
        <v>46213</v>
      </c>
      <c r="O196" s="140">
        <v>46213</v>
      </c>
      <c r="P196" s="116">
        <f t="shared" si="6"/>
        <v>14</v>
      </c>
      <c r="Q196" s="116">
        <f t="shared" si="7"/>
        <v>0</v>
      </c>
    </row>
    <row r="197" spans="1:17">
      <c r="A197" s="108">
        <v>196</v>
      </c>
      <c r="B197" s="109" t="s">
        <v>203</v>
      </c>
      <c r="C197" s="112"/>
      <c r="D197" s="109" t="s">
        <v>75</v>
      </c>
      <c r="E197" s="112"/>
      <c r="F197" s="110" t="s">
        <v>445</v>
      </c>
      <c r="G197" s="111">
        <v>8</v>
      </c>
      <c r="H197" s="112" t="s">
        <v>66</v>
      </c>
      <c r="I197" s="118">
        <v>380</v>
      </c>
      <c r="J197" s="119">
        <v>212.8</v>
      </c>
      <c r="K197" s="118">
        <v>2827.2</v>
      </c>
      <c r="L197" s="113" t="s">
        <v>441</v>
      </c>
      <c r="M197" s="142">
        <v>46199</v>
      </c>
      <c r="N197" s="143">
        <v>46213</v>
      </c>
      <c r="O197" s="140">
        <v>46213</v>
      </c>
      <c r="P197" s="116">
        <f t="shared" si="6"/>
        <v>14</v>
      </c>
      <c r="Q197" s="116">
        <f t="shared" si="7"/>
        <v>0</v>
      </c>
    </row>
    <row r="198" spans="1:17">
      <c r="A198" s="108">
        <v>197</v>
      </c>
      <c r="B198" s="109" t="s">
        <v>203</v>
      </c>
      <c r="C198" s="112"/>
      <c r="D198" s="109" t="s">
        <v>75</v>
      </c>
      <c r="E198" s="112"/>
      <c r="F198" s="110" t="s">
        <v>446</v>
      </c>
      <c r="G198" s="111">
        <v>4</v>
      </c>
      <c r="H198" s="112" t="s">
        <v>66</v>
      </c>
      <c r="I198" s="118">
        <v>380</v>
      </c>
      <c r="J198" s="119">
        <v>106.4</v>
      </c>
      <c r="K198" s="118">
        <v>1413.6</v>
      </c>
      <c r="L198" s="113" t="s">
        <v>441</v>
      </c>
      <c r="M198" s="142">
        <v>46199</v>
      </c>
      <c r="N198" s="143">
        <v>46213</v>
      </c>
      <c r="O198" s="140">
        <v>46213</v>
      </c>
      <c r="P198" s="116">
        <f t="shared" si="6"/>
        <v>14</v>
      </c>
      <c r="Q198" s="116">
        <f t="shared" si="7"/>
        <v>0</v>
      </c>
    </row>
    <row r="199" spans="1:17">
      <c r="A199" s="108">
        <v>198</v>
      </c>
      <c r="B199" s="109" t="s">
        <v>318</v>
      </c>
      <c r="C199" s="112"/>
      <c r="D199" s="109" t="s">
        <v>447</v>
      </c>
      <c r="E199" s="112"/>
      <c r="F199" s="110" t="s">
        <v>448</v>
      </c>
      <c r="G199" s="111">
        <v>1</v>
      </c>
      <c r="H199" s="112" t="s">
        <v>85</v>
      </c>
      <c r="I199" s="118">
        <v>3755</v>
      </c>
      <c r="J199" s="109"/>
      <c r="K199" s="118">
        <v>3755</v>
      </c>
      <c r="L199" s="113" t="s">
        <v>449</v>
      </c>
      <c r="M199" s="142">
        <v>46209</v>
      </c>
      <c r="N199" s="143">
        <v>46213</v>
      </c>
      <c r="O199" s="140">
        <v>46213</v>
      </c>
      <c r="P199" s="116">
        <f t="shared" si="6"/>
        <v>4</v>
      </c>
      <c r="Q199" s="116">
        <f t="shared" si="7"/>
        <v>0</v>
      </c>
    </row>
    <row r="200" spans="1:17">
      <c r="A200" s="108">
        <v>199</v>
      </c>
      <c r="B200" s="109" t="s">
        <v>318</v>
      </c>
      <c r="C200" s="112"/>
      <c r="D200" s="109" t="s">
        <v>447</v>
      </c>
      <c r="E200" s="112"/>
      <c r="F200" s="110" t="s">
        <v>450</v>
      </c>
      <c r="G200" s="111">
        <v>1</v>
      </c>
      <c r="H200" s="112" t="s">
        <v>85</v>
      </c>
      <c r="I200" s="118">
        <v>5680</v>
      </c>
      <c r="J200" s="109"/>
      <c r="K200" s="118">
        <v>5680</v>
      </c>
      <c r="L200" s="113" t="s">
        <v>449</v>
      </c>
      <c r="M200" s="142">
        <v>46209</v>
      </c>
      <c r="N200" s="143">
        <v>46213</v>
      </c>
      <c r="O200" s="140">
        <v>46213</v>
      </c>
      <c r="P200" s="116">
        <f t="shared" si="6"/>
        <v>4</v>
      </c>
      <c r="Q200" s="116">
        <f t="shared" si="7"/>
        <v>0</v>
      </c>
    </row>
    <row r="201" spans="1:17">
      <c r="A201" s="108">
        <v>200</v>
      </c>
      <c r="B201" s="109" t="s">
        <v>451</v>
      </c>
      <c r="C201" s="112"/>
      <c r="D201" s="109" t="s">
        <v>452</v>
      </c>
      <c r="E201" s="112"/>
      <c r="F201" s="110" t="s">
        <v>453</v>
      </c>
      <c r="G201" s="111">
        <v>1</v>
      </c>
      <c r="H201" s="112" t="s">
        <v>72</v>
      </c>
      <c r="I201" s="118">
        <v>1930</v>
      </c>
      <c r="J201" s="109"/>
      <c r="K201" s="118">
        <v>1930</v>
      </c>
      <c r="L201" s="113" t="s">
        <v>454</v>
      </c>
      <c r="M201" s="142">
        <v>46210</v>
      </c>
      <c r="N201" s="143">
        <v>46213</v>
      </c>
      <c r="O201" s="140">
        <v>46213</v>
      </c>
      <c r="P201" s="116">
        <f t="shared" si="6"/>
        <v>3</v>
      </c>
      <c r="Q201" s="116">
        <f t="shared" si="7"/>
        <v>0</v>
      </c>
    </row>
    <row r="202" spans="1:17">
      <c r="A202" s="108">
        <v>201</v>
      </c>
      <c r="B202" s="109" t="s">
        <v>455</v>
      </c>
      <c r="C202" s="112"/>
      <c r="D202" s="109" t="s">
        <v>456</v>
      </c>
      <c r="E202" s="112"/>
      <c r="F202" s="110" t="s">
        <v>457</v>
      </c>
      <c r="G202" s="111">
        <v>1</v>
      </c>
      <c r="H202" s="112" t="s">
        <v>66</v>
      </c>
      <c r="I202" s="118">
        <v>3066</v>
      </c>
      <c r="J202" s="109"/>
      <c r="K202" s="118">
        <v>3066</v>
      </c>
      <c r="L202" s="113" t="s">
        <v>458</v>
      </c>
      <c r="M202" s="142">
        <v>46209</v>
      </c>
      <c r="N202" s="143">
        <v>46213</v>
      </c>
      <c r="O202" s="140">
        <v>46213</v>
      </c>
      <c r="P202" s="116">
        <f t="shared" si="6"/>
        <v>4</v>
      </c>
      <c r="Q202" s="116">
        <f t="shared" si="7"/>
        <v>0</v>
      </c>
    </row>
    <row r="203" spans="1:17">
      <c r="A203" s="108">
        <v>202</v>
      </c>
      <c r="B203" s="109" t="s">
        <v>273</v>
      </c>
      <c r="C203" s="112"/>
      <c r="D203" s="109" t="s">
        <v>274</v>
      </c>
      <c r="E203" s="112"/>
      <c r="F203" s="110" t="s">
        <v>459</v>
      </c>
      <c r="G203" s="111">
        <v>1</v>
      </c>
      <c r="H203" s="112" t="s">
        <v>66</v>
      </c>
      <c r="I203" s="118">
        <v>11000</v>
      </c>
      <c r="J203" s="109"/>
      <c r="K203" s="118">
        <v>11000</v>
      </c>
      <c r="L203" s="113" t="s">
        <v>276</v>
      </c>
      <c r="M203" s="142">
        <v>46195</v>
      </c>
      <c r="N203" s="143">
        <v>46216</v>
      </c>
      <c r="O203" s="140">
        <v>46216</v>
      </c>
      <c r="P203" s="116">
        <f t="shared" si="6"/>
        <v>21</v>
      </c>
      <c r="Q203" s="116">
        <f t="shared" si="7"/>
        <v>0</v>
      </c>
    </row>
    <row r="204" spans="1:17">
      <c r="A204" s="108">
        <v>203</v>
      </c>
      <c r="B204" s="109" t="s">
        <v>460</v>
      </c>
      <c r="C204" s="112"/>
      <c r="D204" s="109" t="s">
        <v>452</v>
      </c>
      <c r="E204" s="112"/>
      <c r="F204" s="110" t="s">
        <v>461</v>
      </c>
      <c r="G204" s="111">
        <v>1</v>
      </c>
      <c r="H204" s="112" t="s">
        <v>72</v>
      </c>
      <c r="I204" s="118">
        <v>355</v>
      </c>
      <c r="J204" s="109"/>
      <c r="K204" s="118">
        <v>355</v>
      </c>
      <c r="L204" s="113" t="s">
        <v>462</v>
      </c>
      <c r="M204" s="142">
        <v>46212</v>
      </c>
      <c r="N204" s="143">
        <v>46216</v>
      </c>
      <c r="O204" s="140">
        <v>46216</v>
      </c>
      <c r="P204" s="116">
        <f t="shared" si="6"/>
        <v>4</v>
      </c>
      <c r="Q204" s="116">
        <f t="shared" si="7"/>
        <v>0</v>
      </c>
    </row>
    <row r="205" spans="1:17">
      <c r="A205" s="108">
        <v>204</v>
      </c>
      <c r="B205" s="109" t="s">
        <v>463</v>
      </c>
      <c r="C205" s="112"/>
      <c r="D205" s="109" t="s">
        <v>464</v>
      </c>
      <c r="E205" s="112"/>
      <c r="F205" s="110" t="s">
        <v>465</v>
      </c>
      <c r="G205" s="111">
        <v>1</v>
      </c>
      <c r="H205" s="112" t="s">
        <v>81</v>
      </c>
      <c r="I205" s="118">
        <v>6000</v>
      </c>
      <c r="J205" s="119"/>
      <c r="K205" s="118">
        <v>6000</v>
      </c>
      <c r="L205" s="113" t="s">
        <v>466</v>
      </c>
      <c r="M205" s="142">
        <v>46212</v>
      </c>
      <c r="N205" s="143">
        <v>46216</v>
      </c>
      <c r="O205" s="140">
        <v>46216</v>
      </c>
      <c r="P205" s="116">
        <f t="shared" si="6"/>
        <v>4</v>
      </c>
      <c r="Q205" s="116">
        <f t="shared" si="7"/>
        <v>0</v>
      </c>
    </row>
    <row r="206" spans="1:17">
      <c r="A206" s="108">
        <v>205</v>
      </c>
      <c r="B206" s="109" t="s">
        <v>467</v>
      </c>
      <c r="C206" s="112"/>
      <c r="D206" s="109" t="s">
        <v>67</v>
      </c>
      <c r="E206" s="112"/>
      <c r="F206" s="110" t="s">
        <v>468</v>
      </c>
      <c r="G206" s="111">
        <v>1</v>
      </c>
      <c r="H206" s="112" t="s">
        <v>88</v>
      </c>
      <c r="I206" s="118">
        <v>181.97</v>
      </c>
      <c r="J206" s="109"/>
      <c r="K206" s="118">
        <v>181.97</v>
      </c>
      <c r="L206" s="113" t="s">
        <v>469</v>
      </c>
      <c r="M206" s="142">
        <v>46212</v>
      </c>
      <c r="N206" s="143">
        <v>46216</v>
      </c>
      <c r="O206" s="140">
        <v>46216</v>
      </c>
      <c r="P206" s="116">
        <f t="shared" si="6"/>
        <v>4</v>
      </c>
      <c r="Q206" s="116">
        <f t="shared" si="7"/>
        <v>0</v>
      </c>
    </row>
    <row r="207" spans="1:17">
      <c r="A207" s="108">
        <v>206</v>
      </c>
      <c r="B207" s="109" t="s">
        <v>470</v>
      </c>
      <c r="C207" s="112"/>
      <c r="D207" s="109" t="s">
        <v>67</v>
      </c>
      <c r="E207" s="112"/>
      <c r="F207" s="110" t="s">
        <v>471</v>
      </c>
      <c r="G207" s="111">
        <v>7</v>
      </c>
      <c r="H207" s="112" t="s">
        <v>63</v>
      </c>
      <c r="I207" s="118">
        <v>134.61000000000001</v>
      </c>
      <c r="J207" s="109"/>
      <c r="K207" s="118">
        <v>942.27</v>
      </c>
      <c r="L207" s="113" t="s">
        <v>472</v>
      </c>
      <c r="M207" s="142">
        <v>46213</v>
      </c>
      <c r="N207" s="143">
        <v>46216</v>
      </c>
      <c r="O207" s="140">
        <v>46216</v>
      </c>
      <c r="P207" s="116">
        <f t="shared" si="6"/>
        <v>3</v>
      </c>
      <c r="Q207" s="116">
        <f t="shared" si="7"/>
        <v>0</v>
      </c>
    </row>
    <row r="208" spans="1:17">
      <c r="A208" s="108">
        <v>207</v>
      </c>
      <c r="B208" s="109" t="s">
        <v>473</v>
      </c>
      <c r="C208" s="112"/>
      <c r="D208" s="109" t="s">
        <v>82</v>
      </c>
      <c r="E208" s="112"/>
      <c r="F208" s="110" t="s">
        <v>474</v>
      </c>
      <c r="G208" s="111">
        <v>4</v>
      </c>
      <c r="H208" s="112" t="s">
        <v>66</v>
      </c>
      <c r="I208" s="118">
        <v>950</v>
      </c>
      <c r="J208" s="119">
        <v>834.15</v>
      </c>
      <c r="K208" s="118">
        <v>2965.85</v>
      </c>
      <c r="L208" s="113" t="s">
        <v>475</v>
      </c>
      <c r="M208" s="142">
        <v>46205</v>
      </c>
      <c r="N208" s="143">
        <v>46217</v>
      </c>
      <c r="O208" s="140">
        <v>46217</v>
      </c>
      <c r="P208" s="116">
        <f t="shared" si="6"/>
        <v>12</v>
      </c>
      <c r="Q208" s="116">
        <f t="shared" si="7"/>
        <v>0</v>
      </c>
    </row>
    <row r="209" spans="1:17">
      <c r="A209" s="108">
        <v>208</v>
      </c>
      <c r="B209" s="109" t="s">
        <v>473</v>
      </c>
      <c r="C209" s="112"/>
      <c r="D209" s="109" t="s">
        <v>82</v>
      </c>
      <c r="E209" s="112"/>
      <c r="F209" s="110" t="s">
        <v>476</v>
      </c>
      <c r="G209" s="111">
        <v>1</v>
      </c>
      <c r="H209" s="112" t="s">
        <v>66</v>
      </c>
      <c r="I209" s="118">
        <v>450</v>
      </c>
      <c r="J209" s="119">
        <v>98.77</v>
      </c>
      <c r="K209" s="118">
        <v>351.23</v>
      </c>
      <c r="L209" s="113" t="s">
        <v>475</v>
      </c>
      <c r="M209" s="142">
        <v>46205</v>
      </c>
      <c r="N209" s="143">
        <v>46217</v>
      </c>
      <c r="O209" s="140">
        <v>46217</v>
      </c>
      <c r="P209" s="116">
        <f t="shared" si="6"/>
        <v>12</v>
      </c>
      <c r="Q209" s="116">
        <f t="shared" si="7"/>
        <v>0</v>
      </c>
    </row>
    <row r="210" spans="1:17">
      <c r="A210" s="108">
        <v>209</v>
      </c>
      <c r="B210" s="109" t="s">
        <v>473</v>
      </c>
      <c r="C210" s="112"/>
      <c r="D210" s="109" t="s">
        <v>82</v>
      </c>
      <c r="E210" s="112"/>
      <c r="F210" s="110" t="s">
        <v>477</v>
      </c>
      <c r="G210" s="111">
        <v>4</v>
      </c>
      <c r="H210" s="112" t="s">
        <v>66</v>
      </c>
      <c r="I210" s="118">
        <v>750</v>
      </c>
      <c r="J210" s="119">
        <v>658.54</v>
      </c>
      <c r="K210" s="118">
        <v>2341.46</v>
      </c>
      <c r="L210" s="113" t="s">
        <v>475</v>
      </c>
      <c r="M210" s="142">
        <v>46205</v>
      </c>
      <c r="N210" s="143">
        <v>46217</v>
      </c>
      <c r="O210" s="140">
        <v>46217</v>
      </c>
      <c r="P210" s="116">
        <f t="shared" si="6"/>
        <v>12</v>
      </c>
      <c r="Q210" s="116">
        <f t="shared" si="7"/>
        <v>0</v>
      </c>
    </row>
    <row r="211" spans="1:17">
      <c r="A211" s="108">
        <v>210</v>
      </c>
      <c r="B211" s="109" t="s">
        <v>473</v>
      </c>
      <c r="C211" s="112"/>
      <c r="D211" s="109" t="s">
        <v>82</v>
      </c>
      <c r="E211" s="112"/>
      <c r="F211" s="110" t="s">
        <v>478</v>
      </c>
      <c r="G211" s="111">
        <v>4</v>
      </c>
      <c r="H211" s="112" t="s">
        <v>66</v>
      </c>
      <c r="I211" s="118">
        <v>750</v>
      </c>
      <c r="J211" s="119">
        <v>658.54</v>
      </c>
      <c r="K211" s="118">
        <v>2341.46</v>
      </c>
      <c r="L211" s="113" t="s">
        <v>475</v>
      </c>
      <c r="M211" s="142">
        <v>46205</v>
      </c>
      <c r="N211" s="143">
        <v>46217</v>
      </c>
      <c r="O211" s="140">
        <v>46217</v>
      </c>
      <c r="P211" s="116">
        <f t="shared" si="6"/>
        <v>12</v>
      </c>
      <c r="Q211" s="116">
        <f t="shared" si="7"/>
        <v>0</v>
      </c>
    </row>
    <row r="212" spans="1:17">
      <c r="A212" s="108">
        <v>211</v>
      </c>
      <c r="B212" s="109" t="s">
        <v>479</v>
      </c>
      <c r="C212" s="112"/>
      <c r="D212" s="109" t="s">
        <v>82</v>
      </c>
      <c r="E212" s="112"/>
      <c r="F212" s="110" t="s">
        <v>480</v>
      </c>
      <c r="G212" s="111">
        <v>1</v>
      </c>
      <c r="H212" s="112" t="s">
        <v>66</v>
      </c>
      <c r="I212" s="118">
        <v>800</v>
      </c>
      <c r="J212" s="109"/>
      <c r="K212" s="118">
        <v>800</v>
      </c>
      <c r="L212" s="113" t="s">
        <v>481</v>
      </c>
      <c r="M212" s="142">
        <v>46210</v>
      </c>
      <c r="N212" s="143">
        <v>46217</v>
      </c>
      <c r="O212" s="140">
        <v>46217</v>
      </c>
      <c r="P212" s="116">
        <f t="shared" si="6"/>
        <v>7</v>
      </c>
      <c r="Q212" s="116">
        <f t="shared" si="7"/>
        <v>0</v>
      </c>
    </row>
    <row r="213" spans="1:17">
      <c r="A213" s="108">
        <v>212</v>
      </c>
      <c r="B213" s="109" t="s">
        <v>482</v>
      </c>
      <c r="C213" s="112"/>
      <c r="D213" s="109" t="s">
        <v>67</v>
      </c>
      <c r="E213" s="112"/>
      <c r="F213" s="110" t="s">
        <v>483</v>
      </c>
      <c r="G213" s="111">
        <v>1</v>
      </c>
      <c r="H213" s="112" t="s">
        <v>66</v>
      </c>
      <c r="I213" s="118">
        <v>583.75</v>
      </c>
      <c r="J213" s="109"/>
      <c r="K213" s="118">
        <v>583.75</v>
      </c>
      <c r="L213" s="113" t="s">
        <v>484</v>
      </c>
      <c r="M213" s="142">
        <v>46205</v>
      </c>
      <c r="N213" s="143">
        <v>46218</v>
      </c>
      <c r="O213" s="140">
        <v>46218</v>
      </c>
      <c r="P213" s="116">
        <f t="shared" si="6"/>
        <v>13</v>
      </c>
      <c r="Q213" s="116">
        <f t="shared" si="7"/>
        <v>0</v>
      </c>
    </row>
    <row r="214" spans="1:17">
      <c r="A214" s="108">
        <v>213</v>
      </c>
      <c r="B214" s="109" t="s">
        <v>485</v>
      </c>
      <c r="C214" s="112"/>
      <c r="D214" s="109" t="s">
        <v>67</v>
      </c>
      <c r="E214" s="112"/>
      <c r="F214" s="110" t="s">
        <v>486</v>
      </c>
      <c r="G214" s="111">
        <v>4</v>
      </c>
      <c r="H214" s="112" t="s">
        <v>63</v>
      </c>
      <c r="I214" s="118">
        <v>2759</v>
      </c>
      <c r="J214" s="109"/>
      <c r="K214" s="118">
        <v>11036</v>
      </c>
      <c r="L214" s="113" t="s">
        <v>487</v>
      </c>
      <c r="M214" s="142">
        <v>46205</v>
      </c>
      <c r="N214" s="143">
        <v>46218</v>
      </c>
      <c r="O214" s="140">
        <v>46218</v>
      </c>
      <c r="P214" s="116">
        <f t="shared" si="6"/>
        <v>13</v>
      </c>
      <c r="Q214" s="116">
        <f t="shared" si="7"/>
        <v>0</v>
      </c>
    </row>
    <row r="215" spans="1:17">
      <c r="A215" s="108">
        <v>214</v>
      </c>
      <c r="B215" s="109" t="s">
        <v>76</v>
      </c>
      <c r="C215" s="112"/>
      <c r="D215" s="109" t="s">
        <v>77</v>
      </c>
      <c r="E215" s="112"/>
      <c r="F215" s="110" t="s">
        <v>395</v>
      </c>
      <c r="G215" s="111">
        <v>2</v>
      </c>
      <c r="H215" s="112" t="s">
        <v>66</v>
      </c>
      <c r="I215" s="118">
        <v>170</v>
      </c>
      <c r="J215" s="109"/>
      <c r="K215" s="118">
        <v>340</v>
      </c>
      <c r="L215" s="113" t="s">
        <v>488</v>
      </c>
      <c r="M215" s="142">
        <v>46218</v>
      </c>
      <c r="N215" s="143">
        <v>46218</v>
      </c>
      <c r="O215" s="140">
        <v>46218</v>
      </c>
      <c r="P215" s="116">
        <f t="shared" si="6"/>
        <v>0</v>
      </c>
      <c r="Q215" s="116">
        <f t="shared" si="7"/>
        <v>0</v>
      </c>
    </row>
    <row r="216" spans="1:17">
      <c r="A216" s="108">
        <v>215</v>
      </c>
      <c r="B216" s="109" t="s">
        <v>76</v>
      </c>
      <c r="C216" s="112"/>
      <c r="D216" s="109" t="s">
        <v>77</v>
      </c>
      <c r="E216" s="112"/>
      <c r="F216" s="110" t="s">
        <v>112</v>
      </c>
      <c r="G216" s="111">
        <v>2</v>
      </c>
      <c r="H216" s="112" t="s">
        <v>66</v>
      </c>
      <c r="I216" s="118">
        <v>350</v>
      </c>
      <c r="J216" s="109"/>
      <c r="K216" s="118">
        <v>700</v>
      </c>
      <c r="L216" s="113" t="s">
        <v>488</v>
      </c>
      <c r="M216" s="142">
        <v>46218</v>
      </c>
      <c r="N216" s="143">
        <v>46218</v>
      </c>
      <c r="O216" s="140">
        <v>46218</v>
      </c>
      <c r="P216" s="116">
        <f t="shared" si="6"/>
        <v>0</v>
      </c>
      <c r="Q216" s="116">
        <f t="shared" si="7"/>
        <v>0</v>
      </c>
    </row>
    <row r="217" spans="1:17">
      <c r="A217" s="108">
        <v>216</v>
      </c>
      <c r="B217" s="109" t="s">
        <v>76</v>
      </c>
      <c r="C217" s="112"/>
      <c r="D217" s="109" t="s">
        <v>77</v>
      </c>
      <c r="E217" s="112"/>
      <c r="F217" s="110" t="s">
        <v>111</v>
      </c>
      <c r="G217" s="111">
        <v>1</v>
      </c>
      <c r="H217" s="112" t="s">
        <v>66</v>
      </c>
      <c r="I217" s="118">
        <v>750</v>
      </c>
      <c r="J217" s="109"/>
      <c r="K217" s="118">
        <v>750</v>
      </c>
      <c r="L217" s="113" t="s">
        <v>488</v>
      </c>
      <c r="M217" s="142">
        <v>46218</v>
      </c>
      <c r="N217" s="143">
        <v>46218</v>
      </c>
      <c r="O217" s="140">
        <v>46218</v>
      </c>
      <c r="P217" s="116">
        <f t="shared" si="6"/>
        <v>0</v>
      </c>
      <c r="Q217" s="116">
        <f t="shared" si="7"/>
        <v>0</v>
      </c>
    </row>
    <row r="218" spans="1:17">
      <c r="A218" s="108">
        <v>217</v>
      </c>
      <c r="B218" s="109" t="s">
        <v>489</v>
      </c>
      <c r="C218" s="112"/>
      <c r="D218" s="109" t="s">
        <v>68</v>
      </c>
      <c r="E218" s="112"/>
      <c r="F218" s="110" t="s">
        <v>490</v>
      </c>
      <c r="G218" s="111">
        <v>1</v>
      </c>
      <c r="H218" s="112" t="s">
        <v>66</v>
      </c>
      <c r="I218" s="118">
        <v>7863</v>
      </c>
      <c r="J218" s="119">
        <v>1572.6</v>
      </c>
      <c r="K218" s="118">
        <v>6290.4</v>
      </c>
      <c r="L218" s="113" t="s">
        <v>491</v>
      </c>
      <c r="M218" s="142">
        <v>46205</v>
      </c>
      <c r="N218" s="143">
        <v>46219</v>
      </c>
      <c r="O218" s="140">
        <v>46219</v>
      </c>
      <c r="P218" s="116">
        <f t="shared" si="6"/>
        <v>14</v>
      </c>
      <c r="Q218" s="116">
        <f t="shared" si="7"/>
        <v>0</v>
      </c>
    </row>
    <row r="219" spans="1:17">
      <c r="A219" s="108">
        <v>218</v>
      </c>
      <c r="B219" s="109" t="s">
        <v>489</v>
      </c>
      <c r="C219" s="112"/>
      <c r="D219" s="109" t="s">
        <v>68</v>
      </c>
      <c r="E219" s="112"/>
      <c r="F219" s="110" t="s">
        <v>492</v>
      </c>
      <c r="G219" s="111">
        <v>1</v>
      </c>
      <c r="H219" s="112" t="s">
        <v>66</v>
      </c>
      <c r="I219" s="118">
        <v>769</v>
      </c>
      <c r="J219" s="119">
        <v>153.80000000000001</v>
      </c>
      <c r="K219" s="118">
        <v>615.20000000000005</v>
      </c>
      <c r="L219" s="113" t="s">
        <v>491</v>
      </c>
      <c r="M219" s="142">
        <v>46205</v>
      </c>
      <c r="N219" s="143">
        <v>46219</v>
      </c>
      <c r="O219" s="140">
        <v>46219</v>
      </c>
      <c r="P219" s="116">
        <f t="shared" si="6"/>
        <v>14</v>
      </c>
      <c r="Q219" s="116">
        <f t="shared" si="7"/>
        <v>0</v>
      </c>
    </row>
    <row r="220" spans="1:17">
      <c r="A220" s="108">
        <v>219</v>
      </c>
      <c r="B220" s="109" t="s">
        <v>489</v>
      </c>
      <c r="C220" s="112"/>
      <c r="D220" s="109" t="s">
        <v>68</v>
      </c>
      <c r="E220" s="112"/>
      <c r="F220" s="110" t="s">
        <v>493</v>
      </c>
      <c r="G220" s="111">
        <v>2</v>
      </c>
      <c r="H220" s="112" t="s">
        <v>66</v>
      </c>
      <c r="I220" s="118">
        <v>1970</v>
      </c>
      <c r="J220" s="119">
        <v>788</v>
      </c>
      <c r="K220" s="118">
        <v>3152</v>
      </c>
      <c r="L220" s="113" t="s">
        <v>491</v>
      </c>
      <c r="M220" s="142">
        <v>46205</v>
      </c>
      <c r="N220" s="143">
        <v>46219</v>
      </c>
      <c r="O220" s="140">
        <v>46219</v>
      </c>
      <c r="P220" s="116">
        <f t="shared" si="6"/>
        <v>14</v>
      </c>
      <c r="Q220" s="116">
        <f t="shared" si="7"/>
        <v>0</v>
      </c>
    </row>
    <row r="221" spans="1:17">
      <c r="A221" s="108">
        <v>220</v>
      </c>
      <c r="B221" s="109" t="s">
        <v>188</v>
      </c>
      <c r="C221" s="112"/>
      <c r="D221" s="109" t="s">
        <v>189</v>
      </c>
      <c r="E221" s="112"/>
      <c r="F221" s="110" t="s">
        <v>494</v>
      </c>
      <c r="G221" s="111">
        <v>4</v>
      </c>
      <c r="H221" s="112" t="s">
        <v>66</v>
      </c>
      <c r="I221" s="118">
        <v>18</v>
      </c>
      <c r="J221" s="109"/>
      <c r="K221" s="118">
        <v>72</v>
      </c>
      <c r="L221" s="113" t="s">
        <v>191</v>
      </c>
      <c r="M221" s="142">
        <v>46213</v>
      </c>
      <c r="N221" s="143">
        <v>46219</v>
      </c>
      <c r="O221" s="140">
        <v>46219</v>
      </c>
      <c r="P221" s="116">
        <f t="shared" si="6"/>
        <v>6</v>
      </c>
      <c r="Q221" s="116">
        <f t="shared" si="7"/>
        <v>0</v>
      </c>
    </row>
    <row r="222" spans="1:17">
      <c r="A222" s="108">
        <v>221</v>
      </c>
      <c r="B222" s="109" t="s">
        <v>188</v>
      </c>
      <c r="C222" s="112"/>
      <c r="D222" s="109" t="s">
        <v>189</v>
      </c>
      <c r="E222" s="112"/>
      <c r="F222" s="110" t="s">
        <v>495</v>
      </c>
      <c r="G222" s="111">
        <v>8</v>
      </c>
      <c r="H222" s="112" t="s">
        <v>66</v>
      </c>
      <c r="I222" s="118">
        <v>25</v>
      </c>
      <c r="J222" s="109"/>
      <c r="K222" s="118">
        <v>200</v>
      </c>
      <c r="L222" s="113" t="s">
        <v>191</v>
      </c>
      <c r="M222" s="142">
        <v>46213</v>
      </c>
      <c r="N222" s="143">
        <v>46219</v>
      </c>
      <c r="O222" s="140">
        <v>46219</v>
      </c>
      <c r="P222" s="116">
        <f t="shared" si="6"/>
        <v>6</v>
      </c>
      <c r="Q222" s="116">
        <f t="shared" si="7"/>
        <v>0</v>
      </c>
    </row>
    <row r="223" spans="1:17">
      <c r="A223" s="108">
        <v>222</v>
      </c>
      <c r="B223" s="109" t="s">
        <v>188</v>
      </c>
      <c r="C223" s="112"/>
      <c r="D223" s="109" t="s">
        <v>189</v>
      </c>
      <c r="E223" s="112"/>
      <c r="F223" s="110" t="s">
        <v>496</v>
      </c>
      <c r="G223" s="111">
        <v>1</v>
      </c>
      <c r="H223" s="112" t="s">
        <v>66</v>
      </c>
      <c r="I223" s="118">
        <v>48</v>
      </c>
      <c r="J223" s="109"/>
      <c r="K223" s="118">
        <v>48</v>
      </c>
      <c r="L223" s="113" t="s">
        <v>191</v>
      </c>
      <c r="M223" s="142">
        <v>46213</v>
      </c>
      <c r="N223" s="143">
        <v>46219</v>
      </c>
      <c r="O223" s="140">
        <v>46219</v>
      </c>
      <c r="P223" s="116">
        <f t="shared" si="6"/>
        <v>6</v>
      </c>
      <c r="Q223" s="116">
        <f t="shared" si="7"/>
        <v>0</v>
      </c>
    </row>
    <row r="224" spans="1:17">
      <c r="A224" s="108">
        <v>223</v>
      </c>
      <c r="B224" s="109" t="s">
        <v>188</v>
      </c>
      <c r="C224" s="112"/>
      <c r="D224" s="109" t="s">
        <v>189</v>
      </c>
      <c r="E224" s="112"/>
      <c r="F224" s="110" t="s">
        <v>497</v>
      </c>
      <c r="G224" s="111">
        <v>1</v>
      </c>
      <c r="H224" s="112" t="s">
        <v>66</v>
      </c>
      <c r="I224" s="118">
        <v>1050</v>
      </c>
      <c r="J224" s="109"/>
      <c r="K224" s="118">
        <v>1050</v>
      </c>
      <c r="L224" s="113" t="s">
        <v>191</v>
      </c>
      <c r="M224" s="142">
        <v>46213</v>
      </c>
      <c r="N224" s="143">
        <v>46219</v>
      </c>
      <c r="O224" s="140">
        <v>46219</v>
      </c>
      <c r="P224" s="116">
        <f t="shared" si="6"/>
        <v>6</v>
      </c>
      <c r="Q224" s="116">
        <f t="shared" si="7"/>
        <v>0</v>
      </c>
    </row>
    <row r="225" spans="1:17">
      <c r="A225" s="108">
        <v>224</v>
      </c>
      <c r="B225" s="109" t="s">
        <v>188</v>
      </c>
      <c r="C225" s="112"/>
      <c r="D225" s="109" t="s">
        <v>189</v>
      </c>
      <c r="E225" s="112"/>
      <c r="F225" s="110" t="s">
        <v>498</v>
      </c>
      <c r="G225" s="111">
        <v>2</v>
      </c>
      <c r="H225" s="112" t="s">
        <v>66</v>
      </c>
      <c r="I225" s="118">
        <v>44</v>
      </c>
      <c r="J225" s="109"/>
      <c r="K225" s="118">
        <v>88</v>
      </c>
      <c r="L225" s="113" t="s">
        <v>191</v>
      </c>
      <c r="M225" s="142">
        <v>46213</v>
      </c>
      <c r="N225" s="143">
        <v>46219</v>
      </c>
      <c r="O225" s="140">
        <v>46219</v>
      </c>
      <c r="P225" s="116">
        <f t="shared" si="6"/>
        <v>6</v>
      </c>
      <c r="Q225" s="116">
        <f t="shared" si="7"/>
        <v>0</v>
      </c>
    </row>
    <row r="226" spans="1:17">
      <c r="A226" s="108">
        <v>225</v>
      </c>
      <c r="B226" s="109" t="s">
        <v>188</v>
      </c>
      <c r="C226" s="112"/>
      <c r="D226" s="109" t="s">
        <v>189</v>
      </c>
      <c r="E226" s="112"/>
      <c r="F226" s="110" t="s">
        <v>499</v>
      </c>
      <c r="G226" s="111">
        <v>6</v>
      </c>
      <c r="H226" s="112" t="s">
        <v>66</v>
      </c>
      <c r="I226" s="118">
        <v>30</v>
      </c>
      <c r="J226" s="109"/>
      <c r="K226" s="118">
        <v>180</v>
      </c>
      <c r="L226" s="113" t="s">
        <v>191</v>
      </c>
      <c r="M226" s="142">
        <v>46213</v>
      </c>
      <c r="N226" s="143">
        <v>46219</v>
      </c>
      <c r="O226" s="140">
        <v>46219</v>
      </c>
      <c r="P226" s="116">
        <f t="shared" si="6"/>
        <v>6</v>
      </c>
      <c r="Q226" s="116">
        <f t="shared" si="7"/>
        <v>0</v>
      </c>
    </row>
    <row r="227" spans="1:17">
      <c r="A227" s="108">
        <v>226</v>
      </c>
      <c r="B227" s="109" t="s">
        <v>188</v>
      </c>
      <c r="C227" s="112"/>
      <c r="D227" s="109" t="s">
        <v>189</v>
      </c>
      <c r="E227" s="112"/>
      <c r="F227" s="110" t="s">
        <v>500</v>
      </c>
      <c r="G227" s="111">
        <v>1</v>
      </c>
      <c r="H227" s="112" t="s">
        <v>66</v>
      </c>
      <c r="I227" s="118">
        <v>35</v>
      </c>
      <c r="J227" s="109"/>
      <c r="K227" s="118">
        <v>35</v>
      </c>
      <c r="L227" s="113" t="s">
        <v>191</v>
      </c>
      <c r="M227" s="142">
        <v>46213</v>
      </c>
      <c r="N227" s="143">
        <v>46219</v>
      </c>
      <c r="O227" s="140">
        <v>46219</v>
      </c>
      <c r="P227" s="116">
        <f t="shared" si="6"/>
        <v>6</v>
      </c>
      <c r="Q227" s="116">
        <f t="shared" si="7"/>
        <v>0</v>
      </c>
    </row>
    <row r="228" spans="1:17">
      <c r="A228" s="108">
        <v>227</v>
      </c>
      <c r="B228" s="109" t="s">
        <v>188</v>
      </c>
      <c r="C228" s="112"/>
      <c r="D228" s="109" t="s">
        <v>189</v>
      </c>
      <c r="E228" s="112"/>
      <c r="F228" s="110" t="s">
        <v>501</v>
      </c>
      <c r="G228" s="111">
        <v>3</v>
      </c>
      <c r="H228" s="112" t="s">
        <v>66</v>
      </c>
      <c r="I228" s="118">
        <v>18</v>
      </c>
      <c r="J228" s="109"/>
      <c r="K228" s="118">
        <v>54</v>
      </c>
      <c r="L228" s="113" t="s">
        <v>191</v>
      </c>
      <c r="M228" s="142">
        <v>46213</v>
      </c>
      <c r="N228" s="143">
        <v>46219</v>
      </c>
      <c r="O228" s="140">
        <v>46219</v>
      </c>
      <c r="P228" s="116">
        <f t="shared" si="6"/>
        <v>6</v>
      </c>
      <c r="Q228" s="116">
        <f t="shared" si="7"/>
        <v>0</v>
      </c>
    </row>
    <row r="229" spans="1:17">
      <c r="A229" s="108">
        <v>228</v>
      </c>
      <c r="B229" s="109" t="s">
        <v>188</v>
      </c>
      <c r="C229" s="112"/>
      <c r="D229" s="109" t="s">
        <v>189</v>
      </c>
      <c r="E229" s="112"/>
      <c r="F229" s="110" t="s">
        <v>502</v>
      </c>
      <c r="G229" s="111">
        <v>2</v>
      </c>
      <c r="H229" s="112" t="s">
        <v>66</v>
      </c>
      <c r="I229" s="118">
        <v>113</v>
      </c>
      <c r="J229" s="109"/>
      <c r="K229" s="118">
        <v>226</v>
      </c>
      <c r="L229" s="113" t="s">
        <v>191</v>
      </c>
      <c r="M229" s="142">
        <v>46213</v>
      </c>
      <c r="N229" s="143">
        <v>46219</v>
      </c>
      <c r="O229" s="140">
        <v>46219</v>
      </c>
      <c r="P229" s="116">
        <f t="shared" si="6"/>
        <v>6</v>
      </c>
      <c r="Q229" s="116">
        <f t="shared" si="7"/>
        <v>0</v>
      </c>
    </row>
    <row r="230" spans="1:17">
      <c r="A230" s="108">
        <v>229</v>
      </c>
      <c r="B230" s="109" t="s">
        <v>188</v>
      </c>
      <c r="C230" s="112"/>
      <c r="D230" s="109" t="s">
        <v>189</v>
      </c>
      <c r="E230" s="112"/>
      <c r="F230" s="110" t="s">
        <v>503</v>
      </c>
      <c r="G230" s="111">
        <v>2</v>
      </c>
      <c r="H230" s="112" t="s">
        <v>66</v>
      </c>
      <c r="I230" s="118">
        <v>105</v>
      </c>
      <c r="J230" s="109"/>
      <c r="K230" s="118">
        <v>210</v>
      </c>
      <c r="L230" s="113" t="s">
        <v>191</v>
      </c>
      <c r="M230" s="142">
        <v>46213</v>
      </c>
      <c r="N230" s="143">
        <v>46219</v>
      </c>
      <c r="O230" s="140">
        <v>46219</v>
      </c>
      <c r="P230" s="116">
        <f t="shared" si="6"/>
        <v>6</v>
      </c>
      <c r="Q230" s="116">
        <f t="shared" si="7"/>
        <v>0</v>
      </c>
    </row>
    <row r="231" spans="1:17">
      <c r="A231" s="108">
        <v>230</v>
      </c>
      <c r="B231" s="109" t="s">
        <v>188</v>
      </c>
      <c r="C231" s="112"/>
      <c r="D231" s="109" t="s">
        <v>189</v>
      </c>
      <c r="E231" s="112"/>
      <c r="F231" s="110" t="s">
        <v>504</v>
      </c>
      <c r="G231" s="111">
        <v>1</v>
      </c>
      <c r="H231" s="112" t="s">
        <v>66</v>
      </c>
      <c r="I231" s="118">
        <v>1050</v>
      </c>
      <c r="J231" s="109"/>
      <c r="K231" s="118">
        <v>1050</v>
      </c>
      <c r="L231" s="113" t="s">
        <v>191</v>
      </c>
      <c r="M231" s="142">
        <v>46213</v>
      </c>
      <c r="N231" s="143">
        <v>46219</v>
      </c>
      <c r="O231" s="140">
        <v>46219</v>
      </c>
      <c r="P231" s="116">
        <f t="shared" si="6"/>
        <v>6</v>
      </c>
      <c r="Q231" s="116">
        <f t="shared" si="7"/>
        <v>0</v>
      </c>
    </row>
    <row r="232" spans="1:17">
      <c r="A232" s="108">
        <v>231</v>
      </c>
      <c r="B232" s="109" t="s">
        <v>188</v>
      </c>
      <c r="C232" s="112"/>
      <c r="D232" s="109" t="s">
        <v>189</v>
      </c>
      <c r="E232" s="112"/>
      <c r="F232" s="110" t="s">
        <v>505</v>
      </c>
      <c r="G232" s="111">
        <v>4</v>
      </c>
      <c r="H232" s="112" t="s">
        <v>66</v>
      </c>
      <c r="I232" s="118">
        <v>2287.5</v>
      </c>
      <c r="J232" s="109"/>
      <c r="K232" s="118">
        <v>9150</v>
      </c>
      <c r="L232" s="113" t="s">
        <v>191</v>
      </c>
      <c r="M232" s="142">
        <v>46213</v>
      </c>
      <c r="N232" s="143">
        <v>46219</v>
      </c>
      <c r="O232" s="140">
        <v>46219</v>
      </c>
      <c r="P232" s="116">
        <f t="shared" si="6"/>
        <v>6</v>
      </c>
      <c r="Q232" s="116">
        <f t="shared" si="7"/>
        <v>0</v>
      </c>
    </row>
    <row r="233" spans="1:17">
      <c r="A233" s="108">
        <v>232</v>
      </c>
      <c r="B233" s="109" t="s">
        <v>188</v>
      </c>
      <c r="C233" s="112"/>
      <c r="D233" s="109" t="s">
        <v>189</v>
      </c>
      <c r="E233" s="112"/>
      <c r="F233" s="110" t="s">
        <v>506</v>
      </c>
      <c r="G233" s="111">
        <v>2</v>
      </c>
      <c r="H233" s="112" t="s">
        <v>66</v>
      </c>
      <c r="I233" s="118">
        <v>113</v>
      </c>
      <c r="J233" s="109"/>
      <c r="K233" s="118">
        <v>226</v>
      </c>
      <c r="L233" s="113" t="s">
        <v>191</v>
      </c>
      <c r="M233" s="142">
        <v>46213</v>
      </c>
      <c r="N233" s="143">
        <v>46219</v>
      </c>
      <c r="O233" s="140">
        <v>46219</v>
      </c>
      <c r="P233" s="116">
        <f t="shared" si="6"/>
        <v>6</v>
      </c>
      <c r="Q233" s="116">
        <f t="shared" si="7"/>
        <v>0</v>
      </c>
    </row>
    <row r="234" spans="1:17">
      <c r="A234" s="108">
        <v>233</v>
      </c>
      <c r="B234" s="109" t="s">
        <v>188</v>
      </c>
      <c r="C234" s="112"/>
      <c r="D234" s="109" t="s">
        <v>189</v>
      </c>
      <c r="E234" s="112"/>
      <c r="F234" s="110" t="s">
        <v>507</v>
      </c>
      <c r="G234" s="111">
        <v>14</v>
      </c>
      <c r="H234" s="112" t="s">
        <v>66</v>
      </c>
      <c r="I234" s="118">
        <v>25</v>
      </c>
      <c r="J234" s="109"/>
      <c r="K234" s="118">
        <v>350</v>
      </c>
      <c r="L234" s="113" t="s">
        <v>191</v>
      </c>
      <c r="M234" s="142">
        <v>46213</v>
      </c>
      <c r="N234" s="143">
        <v>46219</v>
      </c>
      <c r="O234" s="140">
        <v>46219</v>
      </c>
      <c r="P234" s="116">
        <f t="shared" si="6"/>
        <v>6</v>
      </c>
      <c r="Q234" s="116">
        <f t="shared" si="7"/>
        <v>0</v>
      </c>
    </row>
    <row r="235" spans="1:17">
      <c r="A235" s="108">
        <v>234</v>
      </c>
      <c r="B235" s="109" t="s">
        <v>188</v>
      </c>
      <c r="C235" s="112"/>
      <c r="D235" s="109" t="s">
        <v>189</v>
      </c>
      <c r="E235" s="112"/>
      <c r="F235" s="110" t="s">
        <v>508</v>
      </c>
      <c r="G235" s="111">
        <v>4</v>
      </c>
      <c r="H235" s="112" t="s">
        <v>66</v>
      </c>
      <c r="I235" s="118">
        <v>57</v>
      </c>
      <c r="J235" s="109"/>
      <c r="K235" s="118">
        <v>228</v>
      </c>
      <c r="L235" s="113" t="s">
        <v>191</v>
      </c>
      <c r="M235" s="142">
        <v>46213</v>
      </c>
      <c r="N235" s="143">
        <v>46219</v>
      </c>
      <c r="O235" s="140">
        <v>46219</v>
      </c>
      <c r="P235" s="116">
        <f t="shared" si="6"/>
        <v>6</v>
      </c>
      <c r="Q235" s="116">
        <f t="shared" si="7"/>
        <v>0</v>
      </c>
    </row>
    <row r="236" spans="1:17">
      <c r="A236" s="108">
        <v>235</v>
      </c>
      <c r="B236" s="109" t="s">
        <v>188</v>
      </c>
      <c r="C236" s="112"/>
      <c r="D236" s="109" t="s">
        <v>189</v>
      </c>
      <c r="E236" s="112"/>
      <c r="F236" s="110" t="s">
        <v>509</v>
      </c>
      <c r="G236" s="111">
        <v>4</v>
      </c>
      <c r="H236" s="112" t="s">
        <v>66</v>
      </c>
      <c r="I236" s="118">
        <v>55</v>
      </c>
      <c r="J236" s="109"/>
      <c r="K236" s="118">
        <v>220</v>
      </c>
      <c r="L236" s="113" t="s">
        <v>191</v>
      </c>
      <c r="M236" s="142">
        <v>46213</v>
      </c>
      <c r="N236" s="143">
        <v>46219</v>
      </c>
      <c r="O236" s="140">
        <v>46219</v>
      </c>
      <c r="P236" s="116">
        <f t="shared" si="6"/>
        <v>6</v>
      </c>
      <c r="Q236" s="116">
        <f t="shared" si="7"/>
        <v>0</v>
      </c>
    </row>
    <row r="237" spans="1:17">
      <c r="A237" s="108">
        <v>236</v>
      </c>
      <c r="B237" s="109" t="s">
        <v>188</v>
      </c>
      <c r="C237" s="112"/>
      <c r="D237" s="109" t="s">
        <v>189</v>
      </c>
      <c r="E237" s="112"/>
      <c r="F237" s="110" t="s">
        <v>510</v>
      </c>
      <c r="G237" s="111">
        <v>8</v>
      </c>
      <c r="H237" s="112" t="s">
        <v>66</v>
      </c>
      <c r="I237" s="118">
        <v>44</v>
      </c>
      <c r="J237" s="109"/>
      <c r="K237" s="118">
        <v>352</v>
      </c>
      <c r="L237" s="113" t="s">
        <v>191</v>
      </c>
      <c r="M237" s="142">
        <v>46213</v>
      </c>
      <c r="N237" s="143">
        <v>46219</v>
      </c>
      <c r="O237" s="140">
        <v>46219</v>
      </c>
      <c r="P237" s="116">
        <f t="shared" si="6"/>
        <v>6</v>
      </c>
      <c r="Q237" s="116">
        <f t="shared" si="7"/>
        <v>0</v>
      </c>
    </row>
    <row r="238" spans="1:17">
      <c r="A238" s="108">
        <v>237</v>
      </c>
      <c r="B238" s="109" t="s">
        <v>188</v>
      </c>
      <c r="C238" s="112"/>
      <c r="D238" s="109" t="s">
        <v>189</v>
      </c>
      <c r="E238" s="112"/>
      <c r="F238" s="110" t="s">
        <v>511</v>
      </c>
      <c r="G238" s="111">
        <v>1</v>
      </c>
      <c r="H238" s="112" t="s">
        <v>66</v>
      </c>
      <c r="I238" s="118">
        <v>3200</v>
      </c>
      <c r="J238" s="109"/>
      <c r="K238" s="118">
        <v>3200</v>
      </c>
      <c r="L238" s="113" t="s">
        <v>191</v>
      </c>
      <c r="M238" s="142">
        <v>46213</v>
      </c>
      <c r="N238" s="143">
        <v>46219</v>
      </c>
      <c r="O238" s="140">
        <v>46219</v>
      </c>
      <c r="P238" s="116">
        <f t="shared" si="6"/>
        <v>6</v>
      </c>
      <c r="Q238" s="116">
        <f t="shared" si="7"/>
        <v>0</v>
      </c>
    </row>
    <row r="239" spans="1:17">
      <c r="A239" s="108">
        <v>238</v>
      </c>
      <c r="B239" s="109" t="s">
        <v>188</v>
      </c>
      <c r="C239" s="112"/>
      <c r="D239" s="109" t="s">
        <v>189</v>
      </c>
      <c r="E239" s="112"/>
      <c r="F239" s="110" t="s">
        <v>512</v>
      </c>
      <c r="G239" s="111">
        <v>1</v>
      </c>
      <c r="H239" s="112" t="s">
        <v>66</v>
      </c>
      <c r="I239" s="118">
        <v>105</v>
      </c>
      <c r="J239" s="109"/>
      <c r="K239" s="118">
        <v>105</v>
      </c>
      <c r="L239" s="113" t="s">
        <v>191</v>
      </c>
      <c r="M239" s="142">
        <v>46213</v>
      </c>
      <c r="N239" s="143">
        <v>46219</v>
      </c>
      <c r="O239" s="140">
        <v>46219</v>
      </c>
      <c r="P239" s="116">
        <f t="shared" si="6"/>
        <v>6</v>
      </c>
      <c r="Q239" s="116">
        <f t="shared" si="7"/>
        <v>0</v>
      </c>
    </row>
    <row r="240" spans="1:17">
      <c r="A240" s="108">
        <v>239</v>
      </c>
      <c r="B240" s="109" t="s">
        <v>188</v>
      </c>
      <c r="C240" s="112"/>
      <c r="D240" s="109" t="s">
        <v>189</v>
      </c>
      <c r="E240" s="112"/>
      <c r="F240" s="110" t="s">
        <v>513</v>
      </c>
      <c r="G240" s="111">
        <v>1</v>
      </c>
      <c r="H240" s="112" t="s">
        <v>66</v>
      </c>
      <c r="I240" s="118">
        <v>1450</v>
      </c>
      <c r="J240" s="109"/>
      <c r="K240" s="118">
        <v>1450</v>
      </c>
      <c r="L240" s="113" t="s">
        <v>191</v>
      </c>
      <c r="M240" s="142">
        <v>46213</v>
      </c>
      <c r="N240" s="143">
        <v>46219</v>
      </c>
      <c r="O240" s="140">
        <v>46219</v>
      </c>
      <c r="P240" s="116">
        <f t="shared" si="6"/>
        <v>6</v>
      </c>
      <c r="Q240" s="116">
        <f t="shared" si="7"/>
        <v>0</v>
      </c>
    </row>
    <row r="241" spans="1:17">
      <c r="A241" s="108">
        <v>240</v>
      </c>
      <c r="B241" s="109" t="s">
        <v>188</v>
      </c>
      <c r="C241" s="112"/>
      <c r="D241" s="109" t="s">
        <v>189</v>
      </c>
      <c r="E241" s="112"/>
      <c r="F241" s="110" t="s">
        <v>514</v>
      </c>
      <c r="G241" s="111">
        <v>6</v>
      </c>
      <c r="H241" s="112" t="s">
        <v>66</v>
      </c>
      <c r="I241" s="118">
        <v>182</v>
      </c>
      <c r="J241" s="109"/>
      <c r="K241" s="118">
        <v>1092</v>
      </c>
      <c r="L241" s="113" t="s">
        <v>191</v>
      </c>
      <c r="M241" s="142">
        <v>46213</v>
      </c>
      <c r="N241" s="143">
        <v>46219</v>
      </c>
      <c r="O241" s="140">
        <v>46219</v>
      </c>
      <c r="P241" s="116">
        <f t="shared" si="6"/>
        <v>6</v>
      </c>
      <c r="Q241" s="116">
        <f t="shared" si="7"/>
        <v>0</v>
      </c>
    </row>
    <row r="242" spans="1:17">
      <c r="A242" s="108">
        <v>241</v>
      </c>
      <c r="B242" s="109" t="s">
        <v>188</v>
      </c>
      <c r="C242" s="112"/>
      <c r="D242" s="109" t="s">
        <v>189</v>
      </c>
      <c r="E242" s="112"/>
      <c r="F242" s="110" t="s">
        <v>515</v>
      </c>
      <c r="G242" s="111">
        <v>10</v>
      </c>
      <c r="H242" s="112" t="s">
        <v>66</v>
      </c>
      <c r="I242" s="118">
        <v>135</v>
      </c>
      <c r="J242" s="109"/>
      <c r="K242" s="118">
        <v>1350</v>
      </c>
      <c r="L242" s="113" t="s">
        <v>191</v>
      </c>
      <c r="M242" s="142">
        <v>46213</v>
      </c>
      <c r="N242" s="143">
        <v>46219</v>
      </c>
      <c r="O242" s="140">
        <v>46219</v>
      </c>
      <c r="P242" s="116">
        <f t="shared" si="6"/>
        <v>6</v>
      </c>
      <c r="Q242" s="116">
        <f t="shared" si="7"/>
        <v>0</v>
      </c>
    </row>
    <row r="243" spans="1:17">
      <c r="A243" s="108">
        <v>242</v>
      </c>
      <c r="B243" s="109" t="s">
        <v>188</v>
      </c>
      <c r="C243" s="112"/>
      <c r="D243" s="109" t="s">
        <v>189</v>
      </c>
      <c r="E243" s="112"/>
      <c r="F243" s="110" t="s">
        <v>516</v>
      </c>
      <c r="G243" s="111">
        <v>5</v>
      </c>
      <c r="H243" s="112" t="s">
        <v>66</v>
      </c>
      <c r="I243" s="118">
        <v>18</v>
      </c>
      <c r="J243" s="109"/>
      <c r="K243" s="118">
        <v>90</v>
      </c>
      <c r="L243" s="113" t="s">
        <v>191</v>
      </c>
      <c r="M243" s="142">
        <v>46213</v>
      </c>
      <c r="N243" s="143">
        <v>46219</v>
      </c>
      <c r="O243" s="140">
        <v>46219</v>
      </c>
      <c r="P243" s="116">
        <f t="shared" si="6"/>
        <v>6</v>
      </c>
      <c r="Q243" s="116">
        <f t="shared" si="7"/>
        <v>0</v>
      </c>
    </row>
    <row r="244" spans="1:17">
      <c r="A244" s="108">
        <v>243</v>
      </c>
      <c r="B244" s="109" t="s">
        <v>188</v>
      </c>
      <c r="C244" s="112"/>
      <c r="D244" s="109" t="s">
        <v>189</v>
      </c>
      <c r="E244" s="112"/>
      <c r="F244" s="110" t="s">
        <v>517</v>
      </c>
      <c r="G244" s="111">
        <v>2</v>
      </c>
      <c r="H244" s="112" t="s">
        <v>66</v>
      </c>
      <c r="I244" s="118">
        <v>6500</v>
      </c>
      <c r="J244" s="109"/>
      <c r="K244" s="118">
        <v>13000</v>
      </c>
      <c r="L244" s="113" t="s">
        <v>191</v>
      </c>
      <c r="M244" s="142">
        <v>46213</v>
      </c>
      <c r="N244" s="143">
        <v>46219</v>
      </c>
      <c r="O244" s="140">
        <v>46219</v>
      </c>
      <c r="P244" s="116">
        <f t="shared" si="6"/>
        <v>6</v>
      </c>
      <c r="Q244" s="116">
        <f t="shared" si="7"/>
        <v>0</v>
      </c>
    </row>
    <row r="245" spans="1:17">
      <c r="A245" s="108">
        <v>244</v>
      </c>
      <c r="B245" s="109" t="s">
        <v>188</v>
      </c>
      <c r="C245" s="112"/>
      <c r="D245" s="109" t="s">
        <v>189</v>
      </c>
      <c r="E245" s="112"/>
      <c r="F245" s="110" t="s">
        <v>518</v>
      </c>
      <c r="G245" s="111">
        <v>4</v>
      </c>
      <c r="H245" s="112" t="s">
        <v>66</v>
      </c>
      <c r="I245" s="118">
        <v>206</v>
      </c>
      <c r="J245" s="109"/>
      <c r="K245" s="118">
        <v>824</v>
      </c>
      <c r="L245" s="113" t="s">
        <v>191</v>
      </c>
      <c r="M245" s="142">
        <v>46213</v>
      </c>
      <c r="N245" s="143">
        <v>46219</v>
      </c>
      <c r="O245" s="140">
        <v>46219</v>
      </c>
      <c r="P245" s="116">
        <f t="shared" si="6"/>
        <v>6</v>
      </c>
      <c r="Q245" s="116">
        <f t="shared" si="7"/>
        <v>0</v>
      </c>
    </row>
    <row r="246" spans="1:17">
      <c r="A246" s="108">
        <v>245</v>
      </c>
      <c r="B246" s="109" t="s">
        <v>188</v>
      </c>
      <c r="C246" s="112"/>
      <c r="D246" s="109" t="s">
        <v>189</v>
      </c>
      <c r="E246" s="112"/>
      <c r="F246" s="110" t="s">
        <v>519</v>
      </c>
      <c r="G246" s="111">
        <v>2</v>
      </c>
      <c r="H246" s="112" t="s">
        <v>66</v>
      </c>
      <c r="I246" s="118">
        <v>7150</v>
      </c>
      <c r="J246" s="109"/>
      <c r="K246" s="118">
        <v>14300</v>
      </c>
      <c r="L246" s="113" t="s">
        <v>191</v>
      </c>
      <c r="M246" s="142">
        <v>46213</v>
      </c>
      <c r="N246" s="143">
        <v>46219</v>
      </c>
      <c r="O246" s="140">
        <v>46219</v>
      </c>
      <c r="P246" s="116">
        <f t="shared" si="6"/>
        <v>6</v>
      </c>
      <c r="Q246" s="116">
        <f t="shared" si="7"/>
        <v>0</v>
      </c>
    </row>
    <row r="247" spans="1:17">
      <c r="A247" s="108">
        <v>246</v>
      </c>
      <c r="B247" s="109" t="s">
        <v>455</v>
      </c>
      <c r="C247" s="112"/>
      <c r="D247" s="109" t="s">
        <v>274</v>
      </c>
      <c r="E247" s="112"/>
      <c r="F247" s="110" t="s">
        <v>520</v>
      </c>
      <c r="G247" s="111">
        <v>5</v>
      </c>
      <c r="H247" s="112" t="s">
        <v>74</v>
      </c>
      <c r="I247" s="118">
        <v>1300</v>
      </c>
      <c r="J247" s="109"/>
      <c r="K247" s="118">
        <v>6500</v>
      </c>
      <c r="L247" s="113" t="s">
        <v>521</v>
      </c>
      <c r="M247" s="142">
        <v>46209</v>
      </c>
      <c r="N247" s="143">
        <v>46220</v>
      </c>
      <c r="O247" s="140">
        <v>46220</v>
      </c>
      <c r="P247" s="116">
        <f t="shared" si="6"/>
        <v>11</v>
      </c>
      <c r="Q247" s="116">
        <f t="shared" si="7"/>
        <v>0</v>
      </c>
    </row>
    <row r="248" spans="1:17">
      <c r="A248" s="108">
        <v>247</v>
      </c>
      <c r="B248" s="109" t="s">
        <v>455</v>
      </c>
      <c r="C248" s="112"/>
      <c r="D248" s="109" t="s">
        <v>274</v>
      </c>
      <c r="E248" s="112"/>
      <c r="F248" s="110" t="s">
        <v>522</v>
      </c>
      <c r="G248" s="111">
        <v>2</v>
      </c>
      <c r="H248" s="112" t="s">
        <v>66</v>
      </c>
      <c r="I248" s="118">
        <v>515</v>
      </c>
      <c r="J248" s="109"/>
      <c r="K248" s="118">
        <v>1030</v>
      </c>
      <c r="L248" s="113" t="s">
        <v>521</v>
      </c>
      <c r="M248" s="142">
        <v>46209</v>
      </c>
      <c r="N248" s="143">
        <v>46220</v>
      </c>
      <c r="O248" s="140">
        <v>46220</v>
      </c>
      <c r="P248" s="116">
        <f t="shared" si="6"/>
        <v>11</v>
      </c>
      <c r="Q248" s="116">
        <f t="shared" si="7"/>
        <v>0</v>
      </c>
    </row>
    <row r="249" spans="1:17">
      <c r="A249" s="108">
        <v>248</v>
      </c>
      <c r="B249" s="109" t="s">
        <v>455</v>
      </c>
      <c r="C249" s="112"/>
      <c r="D249" s="109" t="s">
        <v>274</v>
      </c>
      <c r="E249" s="112"/>
      <c r="F249" s="110" t="s">
        <v>523</v>
      </c>
      <c r="G249" s="111">
        <v>1</v>
      </c>
      <c r="H249" s="112" t="s">
        <v>66</v>
      </c>
      <c r="I249" s="118">
        <v>515</v>
      </c>
      <c r="J249" s="109"/>
      <c r="K249" s="118">
        <v>515</v>
      </c>
      <c r="L249" s="113" t="s">
        <v>521</v>
      </c>
      <c r="M249" s="142">
        <v>46209</v>
      </c>
      <c r="N249" s="143">
        <v>46220</v>
      </c>
      <c r="O249" s="140">
        <v>46220</v>
      </c>
      <c r="P249" s="116">
        <f t="shared" si="6"/>
        <v>11</v>
      </c>
      <c r="Q249" s="116">
        <f t="shared" si="7"/>
        <v>0</v>
      </c>
    </row>
    <row r="250" spans="1:17">
      <c r="A250" s="108">
        <v>249</v>
      </c>
      <c r="B250" s="109" t="s">
        <v>455</v>
      </c>
      <c r="C250" s="112"/>
      <c r="D250" s="109" t="s">
        <v>274</v>
      </c>
      <c r="E250" s="112"/>
      <c r="F250" s="110" t="s">
        <v>524</v>
      </c>
      <c r="G250" s="111">
        <v>2</v>
      </c>
      <c r="H250" s="112" t="s">
        <v>66</v>
      </c>
      <c r="I250" s="118">
        <v>645</v>
      </c>
      <c r="J250" s="109"/>
      <c r="K250" s="118">
        <v>1290</v>
      </c>
      <c r="L250" s="113" t="s">
        <v>521</v>
      </c>
      <c r="M250" s="142">
        <v>46209</v>
      </c>
      <c r="N250" s="143">
        <v>46220</v>
      </c>
      <c r="O250" s="140">
        <v>46220</v>
      </c>
      <c r="P250" s="116">
        <f t="shared" si="6"/>
        <v>11</v>
      </c>
      <c r="Q250" s="116">
        <f t="shared" si="7"/>
        <v>0</v>
      </c>
    </row>
    <row r="251" spans="1:17">
      <c r="A251" s="108">
        <v>250</v>
      </c>
      <c r="B251" s="109" t="s">
        <v>455</v>
      </c>
      <c r="C251" s="112"/>
      <c r="D251" s="109" t="s">
        <v>274</v>
      </c>
      <c r="E251" s="112"/>
      <c r="F251" s="110" t="s">
        <v>525</v>
      </c>
      <c r="G251" s="111">
        <v>2</v>
      </c>
      <c r="H251" s="112" t="s">
        <v>66</v>
      </c>
      <c r="I251" s="118">
        <v>515</v>
      </c>
      <c r="J251" s="109"/>
      <c r="K251" s="118">
        <v>1030</v>
      </c>
      <c r="L251" s="113" t="s">
        <v>521</v>
      </c>
      <c r="M251" s="142">
        <v>46209</v>
      </c>
      <c r="N251" s="143">
        <v>46220</v>
      </c>
      <c r="O251" s="140">
        <v>46220</v>
      </c>
      <c r="P251" s="116">
        <f t="shared" si="6"/>
        <v>11</v>
      </c>
      <c r="Q251" s="116">
        <f t="shared" si="7"/>
        <v>0</v>
      </c>
    </row>
    <row r="252" spans="1:17">
      <c r="A252" s="108">
        <v>251</v>
      </c>
      <c r="B252" s="109" t="s">
        <v>455</v>
      </c>
      <c r="C252" s="112"/>
      <c r="D252" s="109" t="s">
        <v>274</v>
      </c>
      <c r="E252" s="112"/>
      <c r="F252" s="110" t="s">
        <v>526</v>
      </c>
      <c r="G252" s="111">
        <v>4</v>
      </c>
      <c r="H252" s="112" t="s">
        <v>66</v>
      </c>
      <c r="I252" s="118">
        <v>105</v>
      </c>
      <c r="J252" s="109"/>
      <c r="K252" s="118">
        <v>420</v>
      </c>
      <c r="L252" s="113" t="s">
        <v>521</v>
      </c>
      <c r="M252" s="142">
        <v>46209</v>
      </c>
      <c r="N252" s="143">
        <v>46220</v>
      </c>
      <c r="O252" s="140">
        <v>46220</v>
      </c>
      <c r="P252" s="116">
        <f t="shared" si="6"/>
        <v>11</v>
      </c>
      <c r="Q252" s="116">
        <f t="shared" si="7"/>
        <v>0</v>
      </c>
    </row>
    <row r="253" spans="1:17">
      <c r="A253" s="108">
        <v>252</v>
      </c>
      <c r="B253" s="109" t="s">
        <v>455</v>
      </c>
      <c r="C253" s="112"/>
      <c r="D253" s="109" t="s">
        <v>274</v>
      </c>
      <c r="E253" s="112"/>
      <c r="F253" s="110" t="s">
        <v>527</v>
      </c>
      <c r="G253" s="111">
        <v>15</v>
      </c>
      <c r="H253" s="112" t="s">
        <v>66</v>
      </c>
      <c r="I253" s="118">
        <v>85</v>
      </c>
      <c r="J253" s="109"/>
      <c r="K253" s="118">
        <v>1275</v>
      </c>
      <c r="L253" s="113" t="s">
        <v>521</v>
      </c>
      <c r="M253" s="142">
        <v>46209</v>
      </c>
      <c r="N253" s="143">
        <v>46220</v>
      </c>
      <c r="O253" s="140">
        <v>46220</v>
      </c>
      <c r="P253" s="116">
        <f t="shared" si="6"/>
        <v>11</v>
      </c>
      <c r="Q253" s="116">
        <f t="shared" si="7"/>
        <v>0</v>
      </c>
    </row>
    <row r="254" spans="1:17">
      <c r="A254" s="108">
        <v>253</v>
      </c>
      <c r="B254" s="109" t="s">
        <v>455</v>
      </c>
      <c r="C254" s="112"/>
      <c r="D254" s="109" t="s">
        <v>274</v>
      </c>
      <c r="E254" s="112"/>
      <c r="F254" s="110" t="s">
        <v>528</v>
      </c>
      <c r="G254" s="111">
        <v>1</v>
      </c>
      <c r="H254" s="112" t="s">
        <v>66</v>
      </c>
      <c r="I254" s="118">
        <v>105</v>
      </c>
      <c r="J254" s="109"/>
      <c r="K254" s="118">
        <v>105</v>
      </c>
      <c r="L254" s="113" t="s">
        <v>521</v>
      </c>
      <c r="M254" s="142">
        <v>46209</v>
      </c>
      <c r="N254" s="143">
        <v>46220</v>
      </c>
      <c r="O254" s="140">
        <v>46220</v>
      </c>
      <c r="P254" s="116">
        <f t="shared" si="6"/>
        <v>11</v>
      </c>
      <c r="Q254" s="116">
        <f t="shared" si="7"/>
        <v>0</v>
      </c>
    </row>
    <row r="255" spans="1:17">
      <c r="A255" s="108">
        <v>254</v>
      </c>
      <c r="B255" s="109" t="s">
        <v>529</v>
      </c>
      <c r="C255" s="112"/>
      <c r="D255" s="109" t="s">
        <v>70</v>
      </c>
      <c r="E255" s="112"/>
      <c r="F255" s="110" t="s">
        <v>530</v>
      </c>
      <c r="G255" s="111">
        <v>30</v>
      </c>
      <c r="H255" s="112" t="s">
        <v>66</v>
      </c>
      <c r="I255" s="118">
        <v>0.22</v>
      </c>
      <c r="J255" s="109"/>
      <c r="K255" s="118">
        <v>6.6</v>
      </c>
      <c r="L255" s="113" t="s">
        <v>531</v>
      </c>
      <c r="M255" s="142">
        <v>46212</v>
      </c>
      <c r="N255" s="143">
        <v>46224</v>
      </c>
      <c r="O255" s="140">
        <v>46224</v>
      </c>
      <c r="P255" s="116">
        <f t="shared" si="6"/>
        <v>12</v>
      </c>
      <c r="Q255" s="116">
        <f t="shared" si="7"/>
        <v>0</v>
      </c>
    </row>
    <row r="256" spans="1:17">
      <c r="A256" s="108">
        <v>255</v>
      </c>
      <c r="B256" s="109" t="s">
        <v>529</v>
      </c>
      <c r="C256" s="112"/>
      <c r="D256" s="109" t="s">
        <v>70</v>
      </c>
      <c r="E256" s="112"/>
      <c r="F256" s="110" t="s">
        <v>532</v>
      </c>
      <c r="G256" s="111">
        <v>30</v>
      </c>
      <c r="H256" s="112" t="s">
        <v>66</v>
      </c>
      <c r="I256" s="118">
        <v>0.2</v>
      </c>
      <c r="J256" s="109"/>
      <c r="K256" s="118">
        <v>6</v>
      </c>
      <c r="L256" s="113" t="s">
        <v>531</v>
      </c>
      <c r="M256" s="142">
        <v>46212</v>
      </c>
      <c r="N256" s="143">
        <v>46224</v>
      </c>
      <c r="O256" s="140">
        <v>46224</v>
      </c>
      <c r="P256" s="116">
        <f t="shared" si="6"/>
        <v>12</v>
      </c>
      <c r="Q256" s="116">
        <f t="shared" si="7"/>
        <v>0</v>
      </c>
    </row>
    <row r="257" spans="1:17">
      <c r="A257" s="108">
        <v>256</v>
      </c>
      <c r="B257" s="109" t="s">
        <v>529</v>
      </c>
      <c r="C257" s="112"/>
      <c r="D257" s="109" t="s">
        <v>70</v>
      </c>
      <c r="E257" s="112"/>
      <c r="F257" s="110" t="s">
        <v>533</v>
      </c>
      <c r="G257" s="111">
        <v>30</v>
      </c>
      <c r="H257" s="112" t="s">
        <v>66</v>
      </c>
      <c r="I257" s="118">
        <v>4</v>
      </c>
      <c r="J257" s="109"/>
      <c r="K257" s="118">
        <v>120</v>
      </c>
      <c r="L257" s="113" t="s">
        <v>531</v>
      </c>
      <c r="M257" s="142">
        <v>46212</v>
      </c>
      <c r="N257" s="143">
        <v>46224</v>
      </c>
      <c r="O257" s="140">
        <v>46224</v>
      </c>
      <c r="P257" s="116">
        <f t="shared" si="6"/>
        <v>12</v>
      </c>
      <c r="Q257" s="116">
        <f t="shared" si="7"/>
        <v>0</v>
      </c>
    </row>
    <row r="258" spans="1:17">
      <c r="A258" s="108">
        <v>257</v>
      </c>
      <c r="B258" s="109" t="s">
        <v>529</v>
      </c>
      <c r="C258" s="112"/>
      <c r="D258" s="109" t="s">
        <v>70</v>
      </c>
      <c r="E258" s="112"/>
      <c r="F258" s="110" t="s">
        <v>534</v>
      </c>
      <c r="G258" s="111">
        <v>50</v>
      </c>
      <c r="H258" s="112" t="s">
        <v>66</v>
      </c>
      <c r="I258" s="118">
        <v>4</v>
      </c>
      <c r="J258" s="109"/>
      <c r="K258" s="118">
        <v>200</v>
      </c>
      <c r="L258" s="113" t="s">
        <v>531</v>
      </c>
      <c r="M258" s="142">
        <v>46212</v>
      </c>
      <c r="N258" s="143">
        <v>46224</v>
      </c>
      <c r="O258" s="140">
        <v>46224</v>
      </c>
      <c r="P258" s="116">
        <f t="shared" ref="P258:P321" si="8">O258-M258</f>
        <v>12</v>
      </c>
      <c r="Q258" s="116">
        <f t="shared" ref="Q258:Q321" si="9">N258-O258</f>
        <v>0</v>
      </c>
    </row>
    <row r="259" spans="1:17">
      <c r="A259" s="108">
        <v>258</v>
      </c>
      <c r="B259" s="109" t="s">
        <v>529</v>
      </c>
      <c r="C259" s="112"/>
      <c r="D259" s="109" t="s">
        <v>70</v>
      </c>
      <c r="E259" s="112"/>
      <c r="F259" s="110" t="s">
        <v>535</v>
      </c>
      <c r="G259" s="111">
        <v>34</v>
      </c>
      <c r="H259" s="112" t="s">
        <v>66</v>
      </c>
      <c r="I259" s="118">
        <v>0.5</v>
      </c>
      <c r="J259" s="109"/>
      <c r="K259" s="118">
        <v>17</v>
      </c>
      <c r="L259" s="113" t="s">
        <v>531</v>
      </c>
      <c r="M259" s="142">
        <v>46212</v>
      </c>
      <c r="N259" s="143">
        <v>46224</v>
      </c>
      <c r="O259" s="140">
        <v>46224</v>
      </c>
      <c r="P259" s="116">
        <f t="shared" si="8"/>
        <v>12</v>
      </c>
      <c r="Q259" s="116">
        <f t="shared" si="9"/>
        <v>0</v>
      </c>
    </row>
    <row r="260" spans="1:17">
      <c r="A260" s="108">
        <v>259</v>
      </c>
      <c r="B260" s="109" t="s">
        <v>529</v>
      </c>
      <c r="C260" s="112"/>
      <c r="D260" s="109" t="s">
        <v>70</v>
      </c>
      <c r="E260" s="112"/>
      <c r="F260" s="110" t="s">
        <v>536</v>
      </c>
      <c r="G260" s="111">
        <v>8</v>
      </c>
      <c r="H260" s="112" t="s">
        <v>66</v>
      </c>
      <c r="I260" s="118">
        <v>4</v>
      </c>
      <c r="J260" s="109"/>
      <c r="K260" s="118">
        <v>32</v>
      </c>
      <c r="L260" s="113" t="s">
        <v>531</v>
      </c>
      <c r="M260" s="142">
        <v>46212</v>
      </c>
      <c r="N260" s="143">
        <v>46224</v>
      </c>
      <c r="O260" s="140">
        <v>46224</v>
      </c>
      <c r="P260" s="116">
        <f t="shared" si="8"/>
        <v>12</v>
      </c>
      <c r="Q260" s="116">
        <f t="shared" si="9"/>
        <v>0</v>
      </c>
    </row>
    <row r="261" spans="1:17">
      <c r="A261" s="108">
        <v>260</v>
      </c>
      <c r="B261" s="109" t="s">
        <v>529</v>
      </c>
      <c r="C261" s="112"/>
      <c r="D261" s="109" t="s">
        <v>70</v>
      </c>
      <c r="E261" s="112"/>
      <c r="F261" s="110" t="s">
        <v>537</v>
      </c>
      <c r="G261" s="111">
        <v>8</v>
      </c>
      <c r="H261" s="112" t="s">
        <v>66</v>
      </c>
      <c r="I261" s="118">
        <v>2.25</v>
      </c>
      <c r="J261" s="109"/>
      <c r="K261" s="118">
        <v>18</v>
      </c>
      <c r="L261" s="113" t="s">
        <v>531</v>
      </c>
      <c r="M261" s="142">
        <v>46212</v>
      </c>
      <c r="N261" s="143">
        <v>46224</v>
      </c>
      <c r="O261" s="140">
        <v>46224</v>
      </c>
      <c r="P261" s="116">
        <f t="shared" si="8"/>
        <v>12</v>
      </c>
      <c r="Q261" s="116">
        <f t="shared" si="9"/>
        <v>0</v>
      </c>
    </row>
    <row r="262" spans="1:17">
      <c r="A262" s="108">
        <v>261</v>
      </c>
      <c r="B262" s="109" t="s">
        <v>538</v>
      </c>
      <c r="C262" s="112"/>
      <c r="D262" s="109" t="s">
        <v>189</v>
      </c>
      <c r="E262" s="112"/>
      <c r="F262" s="110" t="s">
        <v>539</v>
      </c>
      <c r="G262" s="111">
        <v>2</v>
      </c>
      <c r="H262" s="112" t="s">
        <v>66</v>
      </c>
      <c r="I262" s="118">
        <v>2700</v>
      </c>
      <c r="J262" s="109"/>
      <c r="K262" s="118">
        <v>5400</v>
      </c>
      <c r="L262" s="113" t="s">
        <v>540</v>
      </c>
      <c r="M262" s="142">
        <v>46218</v>
      </c>
      <c r="N262" s="143">
        <v>46224</v>
      </c>
      <c r="O262" s="140">
        <v>46224</v>
      </c>
      <c r="P262" s="116">
        <f t="shared" si="8"/>
        <v>6</v>
      </c>
      <c r="Q262" s="116">
        <f t="shared" si="9"/>
        <v>0</v>
      </c>
    </row>
    <row r="263" spans="1:17">
      <c r="A263" s="108">
        <v>262</v>
      </c>
      <c r="B263" s="109" t="s">
        <v>159</v>
      </c>
      <c r="C263" s="112"/>
      <c r="D263" s="109" t="s">
        <v>189</v>
      </c>
      <c r="E263" s="112"/>
      <c r="F263" s="110" t="s">
        <v>541</v>
      </c>
      <c r="G263" s="111">
        <v>2</v>
      </c>
      <c r="H263" s="112" t="s">
        <v>66</v>
      </c>
      <c r="I263" s="118">
        <v>500</v>
      </c>
      <c r="J263" s="109"/>
      <c r="K263" s="118">
        <v>1000</v>
      </c>
      <c r="L263" s="113" t="s">
        <v>542</v>
      </c>
      <c r="M263" s="142">
        <v>46216</v>
      </c>
      <c r="N263" s="143">
        <v>46225</v>
      </c>
      <c r="O263" s="140">
        <v>46225</v>
      </c>
      <c r="P263" s="116">
        <f t="shared" si="8"/>
        <v>9</v>
      </c>
      <c r="Q263" s="116">
        <f t="shared" si="9"/>
        <v>0</v>
      </c>
    </row>
    <row r="264" spans="1:17">
      <c r="A264" s="108">
        <v>263</v>
      </c>
      <c r="B264" s="109" t="s">
        <v>543</v>
      </c>
      <c r="C264" s="112"/>
      <c r="D264" s="109" t="s">
        <v>544</v>
      </c>
      <c r="E264" s="112"/>
      <c r="F264" s="110" t="s">
        <v>545</v>
      </c>
      <c r="G264" s="111">
        <v>1</v>
      </c>
      <c r="H264" s="112" t="s">
        <v>105</v>
      </c>
      <c r="I264" s="118">
        <v>13780</v>
      </c>
      <c r="J264" s="119">
        <v>7027.8</v>
      </c>
      <c r="K264" s="118">
        <v>6752.2</v>
      </c>
      <c r="L264" s="113" t="s">
        <v>546</v>
      </c>
      <c r="M264" s="142">
        <v>46216</v>
      </c>
      <c r="N264" s="143">
        <v>46226</v>
      </c>
      <c r="O264" s="140">
        <v>46226</v>
      </c>
      <c r="P264" s="116">
        <f t="shared" si="8"/>
        <v>10</v>
      </c>
      <c r="Q264" s="116">
        <f t="shared" si="9"/>
        <v>0</v>
      </c>
    </row>
    <row r="265" spans="1:17">
      <c r="A265" s="108">
        <v>264</v>
      </c>
      <c r="B265" s="109" t="s">
        <v>547</v>
      </c>
      <c r="C265" s="112"/>
      <c r="D265" s="109" t="s">
        <v>548</v>
      </c>
      <c r="E265" s="112"/>
      <c r="F265" s="110" t="s">
        <v>549</v>
      </c>
      <c r="G265" s="111">
        <v>1</v>
      </c>
      <c r="H265" s="112" t="s">
        <v>63</v>
      </c>
      <c r="I265" s="118">
        <v>319</v>
      </c>
      <c r="J265" s="119">
        <v>64</v>
      </c>
      <c r="K265" s="118">
        <v>255</v>
      </c>
      <c r="L265" s="113" t="s">
        <v>550</v>
      </c>
      <c r="M265" s="142">
        <v>46224</v>
      </c>
      <c r="N265" s="143">
        <v>46226</v>
      </c>
      <c r="O265" s="140">
        <v>46226</v>
      </c>
      <c r="P265" s="116">
        <f t="shared" si="8"/>
        <v>2</v>
      </c>
      <c r="Q265" s="116">
        <f t="shared" si="9"/>
        <v>0</v>
      </c>
    </row>
    <row r="266" spans="1:17">
      <c r="A266" s="108">
        <v>265</v>
      </c>
      <c r="B266" s="109" t="s">
        <v>551</v>
      </c>
      <c r="C266" s="112"/>
      <c r="D266" s="109" t="s">
        <v>113</v>
      </c>
      <c r="E266" s="112"/>
      <c r="F266" s="110" t="s">
        <v>552</v>
      </c>
      <c r="G266" s="111">
        <v>2</v>
      </c>
      <c r="H266" s="112" t="s">
        <v>66</v>
      </c>
      <c r="I266" s="118">
        <v>19300</v>
      </c>
      <c r="J266" s="119">
        <v>23932</v>
      </c>
      <c r="K266" s="118">
        <v>14668</v>
      </c>
      <c r="L266" s="113" t="s">
        <v>553</v>
      </c>
      <c r="M266" s="142">
        <v>46223</v>
      </c>
      <c r="N266" s="143">
        <v>46227</v>
      </c>
      <c r="O266" s="140">
        <v>46227</v>
      </c>
      <c r="P266" s="116">
        <f t="shared" si="8"/>
        <v>4</v>
      </c>
      <c r="Q266" s="116">
        <f t="shared" si="9"/>
        <v>0</v>
      </c>
    </row>
    <row r="267" spans="1:17">
      <c r="A267" s="108">
        <v>266</v>
      </c>
      <c r="B267" s="109" t="s">
        <v>551</v>
      </c>
      <c r="C267" s="112"/>
      <c r="D267" s="109" t="s">
        <v>113</v>
      </c>
      <c r="E267" s="112"/>
      <c r="F267" s="110" t="s">
        <v>554</v>
      </c>
      <c r="G267" s="111">
        <v>3</v>
      </c>
      <c r="H267" s="112" t="s">
        <v>66</v>
      </c>
      <c r="I267" s="118">
        <v>16900</v>
      </c>
      <c r="J267" s="119">
        <v>31434</v>
      </c>
      <c r="K267" s="118">
        <v>19266</v>
      </c>
      <c r="L267" s="113" t="s">
        <v>553</v>
      </c>
      <c r="M267" s="142">
        <v>46223</v>
      </c>
      <c r="N267" s="143">
        <v>46227</v>
      </c>
      <c r="O267" s="140">
        <v>46227</v>
      </c>
      <c r="P267" s="116">
        <f t="shared" si="8"/>
        <v>4</v>
      </c>
      <c r="Q267" s="116">
        <f t="shared" si="9"/>
        <v>0</v>
      </c>
    </row>
    <row r="268" spans="1:17">
      <c r="A268" s="108">
        <v>267</v>
      </c>
      <c r="B268" s="109" t="s">
        <v>216</v>
      </c>
      <c r="C268" s="112"/>
      <c r="D268" s="109" t="s">
        <v>95</v>
      </c>
      <c r="E268" s="112"/>
      <c r="F268" s="110" t="s">
        <v>555</v>
      </c>
      <c r="G268" s="111">
        <v>25</v>
      </c>
      <c r="H268" s="112" t="s">
        <v>66</v>
      </c>
      <c r="I268" s="118">
        <v>10.95</v>
      </c>
      <c r="J268" s="109"/>
      <c r="K268" s="118">
        <v>273.75</v>
      </c>
      <c r="L268" s="113" t="s">
        <v>556</v>
      </c>
      <c r="M268" s="142">
        <v>46219</v>
      </c>
      <c r="N268" s="143">
        <v>46227</v>
      </c>
      <c r="O268" s="140">
        <v>46227</v>
      </c>
      <c r="P268" s="116">
        <f t="shared" si="8"/>
        <v>8</v>
      </c>
      <c r="Q268" s="116">
        <f t="shared" si="9"/>
        <v>0</v>
      </c>
    </row>
    <row r="269" spans="1:17">
      <c r="A269" s="108">
        <v>268</v>
      </c>
      <c r="B269" s="109" t="s">
        <v>259</v>
      </c>
      <c r="C269" s="112"/>
      <c r="D269" s="109" t="s">
        <v>557</v>
      </c>
      <c r="E269" s="112"/>
      <c r="F269" s="110" t="s">
        <v>558</v>
      </c>
      <c r="G269" s="111">
        <v>1</v>
      </c>
      <c r="H269" s="112" t="s">
        <v>66</v>
      </c>
      <c r="I269" s="118">
        <v>1100</v>
      </c>
      <c r="J269" s="109"/>
      <c r="K269" s="118">
        <v>1100</v>
      </c>
      <c r="L269" s="113" t="s">
        <v>559</v>
      </c>
      <c r="M269" s="142">
        <v>46223</v>
      </c>
      <c r="N269" s="143">
        <v>46227</v>
      </c>
      <c r="O269" s="140">
        <v>46227</v>
      </c>
      <c r="P269" s="116">
        <f t="shared" si="8"/>
        <v>4</v>
      </c>
      <c r="Q269" s="116">
        <f t="shared" si="9"/>
        <v>0</v>
      </c>
    </row>
    <row r="270" spans="1:17">
      <c r="A270" s="108">
        <v>269</v>
      </c>
      <c r="B270" s="109" t="s">
        <v>259</v>
      </c>
      <c r="C270" s="112"/>
      <c r="D270" s="109" t="s">
        <v>557</v>
      </c>
      <c r="E270" s="112"/>
      <c r="F270" s="110" t="s">
        <v>560</v>
      </c>
      <c r="G270" s="111">
        <v>1</v>
      </c>
      <c r="H270" s="112" t="s">
        <v>66</v>
      </c>
      <c r="I270" s="118">
        <v>3300</v>
      </c>
      <c r="J270" s="109"/>
      <c r="K270" s="118">
        <v>3300</v>
      </c>
      <c r="L270" s="113" t="s">
        <v>559</v>
      </c>
      <c r="M270" s="142">
        <v>46223</v>
      </c>
      <c r="N270" s="143">
        <v>46227</v>
      </c>
      <c r="O270" s="140">
        <v>46227</v>
      </c>
      <c r="P270" s="116">
        <f t="shared" si="8"/>
        <v>4</v>
      </c>
      <c r="Q270" s="116">
        <f t="shared" si="9"/>
        <v>0</v>
      </c>
    </row>
    <row r="271" spans="1:17">
      <c r="A271" s="108">
        <v>270</v>
      </c>
      <c r="B271" s="109" t="s">
        <v>259</v>
      </c>
      <c r="C271" s="112"/>
      <c r="D271" s="109" t="s">
        <v>557</v>
      </c>
      <c r="E271" s="112"/>
      <c r="F271" s="110" t="s">
        <v>561</v>
      </c>
      <c r="G271" s="111">
        <v>1</v>
      </c>
      <c r="H271" s="112" t="s">
        <v>66</v>
      </c>
      <c r="I271" s="118">
        <v>8950</v>
      </c>
      <c r="J271" s="109"/>
      <c r="K271" s="118">
        <v>8950</v>
      </c>
      <c r="L271" s="113" t="s">
        <v>559</v>
      </c>
      <c r="M271" s="142">
        <v>46223</v>
      </c>
      <c r="N271" s="143">
        <v>46227</v>
      </c>
      <c r="O271" s="140">
        <v>46227</v>
      </c>
      <c r="P271" s="116">
        <f t="shared" si="8"/>
        <v>4</v>
      </c>
      <c r="Q271" s="116">
        <f t="shared" si="9"/>
        <v>0</v>
      </c>
    </row>
    <row r="272" spans="1:17">
      <c r="A272" s="108">
        <v>271</v>
      </c>
      <c r="B272" s="109" t="s">
        <v>259</v>
      </c>
      <c r="C272" s="112"/>
      <c r="D272" s="109" t="s">
        <v>562</v>
      </c>
      <c r="E272" s="112"/>
      <c r="F272" s="110" t="s">
        <v>563</v>
      </c>
      <c r="G272" s="111">
        <v>1</v>
      </c>
      <c r="H272" s="112" t="s">
        <v>66</v>
      </c>
      <c r="I272" s="118">
        <v>1900</v>
      </c>
      <c r="J272" s="119"/>
      <c r="K272" s="118">
        <v>1900</v>
      </c>
      <c r="L272" s="113" t="s">
        <v>564</v>
      </c>
      <c r="M272" s="142">
        <v>46224</v>
      </c>
      <c r="N272" s="143">
        <v>46227</v>
      </c>
      <c r="O272" s="140">
        <v>46227</v>
      </c>
      <c r="P272" s="116">
        <f t="shared" si="8"/>
        <v>3</v>
      </c>
      <c r="Q272" s="116">
        <f t="shared" si="9"/>
        <v>0</v>
      </c>
    </row>
    <row r="273" spans="1:17">
      <c r="A273" s="108">
        <v>272</v>
      </c>
      <c r="B273" s="109" t="s">
        <v>565</v>
      </c>
      <c r="C273" s="112"/>
      <c r="D273" s="109" t="s">
        <v>189</v>
      </c>
      <c r="E273" s="112"/>
      <c r="F273" s="110" t="s">
        <v>566</v>
      </c>
      <c r="G273" s="111">
        <v>1</v>
      </c>
      <c r="H273" s="112" t="s">
        <v>66</v>
      </c>
      <c r="I273" s="118">
        <v>3700</v>
      </c>
      <c r="J273" s="119"/>
      <c r="K273" s="118">
        <v>3700</v>
      </c>
      <c r="L273" s="113" t="s">
        <v>567</v>
      </c>
      <c r="M273" s="142">
        <v>46223</v>
      </c>
      <c r="N273" s="143">
        <v>46227</v>
      </c>
      <c r="O273" s="140">
        <v>46227</v>
      </c>
      <c r="P273" s="116">
        <f t="shared" si="8"/>
        <v>4</v>
      </c>
      <c r="Q273" s="116">
        <f t="shared" si="9"/>
        <v>0</v>
      </c>
    </row>
    <row r="274" spans="1:17">
      <c r="A274" s="108">
        <v>273</v>
      </c>
      <c r="B274" s="109" t="s">
        <v>337</v>
      </c>
      <c r="C274" s="112"/>
      <c r="D274" s="109" t="s">
        <v>568</v>
      </c>
      <c r="E274" s="112"/>
      <c r="F274" s="110" t="s">
        <v>569</v>
      </c>
      <c r="G274" s="111">
        <v>2</v>
      </c>
      <c r="H274" s="112" t="s">
        <v>570</v>
      </c>
      <c r="I274" s="118">
        <v>230</v>
      </c>
      <c r="J274" s="109"/>
      <c r="K274" s="118">
        <v>460</v>
      </c>
      <c r="L274" s="113" t="s">
        <v>571</v>
      </c>
      <c r="M274" s="142">
        <v>46220</v>
      </c>
      <c r="N274" s="143">
        <v>46227</v>
      </c>
      <c r="O274" s="140">
        <v>46227</v>
      </c>
      <c r="P274" s="116">
        <f t="shared" si="8"/>
        <v>7</v>
      </c>
      <c r="Q274" s="116">
        <f t="shared" si="9"/>
        <v>0</v>
      </c>
    </row>
    <row r="275" spans="1:17">
      <c r="A275" s="108">
        <v>274</v>
      </c>
      <c r="B275" s="109" t="s">
        <v>565</v>
      </c>
      <c r="C275" s="112"/>
      <c r="D275" s="109" t="s">
        <v>572</v>
      </c>
      <c r="E275" s="112"/>
      <c r="F275" s="110" t="s">
        <v>573</v>
      </c>
      <c r="G275" s="111">
        <v>1</v>
      </c>
      <c r="H275" s="112" t="s">
        <v>63</v>
      </c>
      <c r="I275" s="118">
        <v>130</v>
      </c>
      <c r="J275" s="109"/>
      <c r="K275" s="118">
        <v>130</v>
      </c>
      <c r="L275" s="113" t="s">
        <v>574</v>
      </c>
      <c r="M275" s="142">
        <v>46223</v>
      </c>
      <c r="N275" s="143">
        <v>46230</v>
      </c>
      <c r="O275" s="140">
        <v>46230</v>
      </c>
      <c r="P275" s="116">
        <f t="shared" si="8"/>
        <v>7</v>
      </c>
      <c r="Q275" s="116">
        <f t="shared" si="9"/>
        <v>0</v>
      </c>
    </row>
    <row r="276" spans="1:17">
      <c r="A276" s="108">
        <v>275</v>
      </c>
      <c r="B276" s="109" t="s">
        <v>565</v>
      </c>
      <c r="C276" s="112"/>
      <c r="D276" s="109" t="s">
        <v>572</v>
      </c>
      <c r="E276" s="112"/>
      <c r="F276" s="110" t="s">
        <v>575</v>
      </c>
      <c r="G276" s="111">
        <v>5</v>
      </c>
      <c r="H276" s="112" t="s">
        <v>63</v>
      </c>
      <c r="I276" s="118">
        <v>28</v>
      </c>
      <c r="J276" s="109"/>
      <c r="K276" s="118">
        <v>140</v>
      </c>
      <c r="L276" s="113" t="s">
        <v>574</v>
      </c>
      <c r="M276" s="142">
        <v>46223</v>
      </c>
      <c r="N276" s="143">
        <v>46230</v>
      </c>
      <c r="O276" s="140">
        <v>46230</v>
      </c>
      <c r="P276" s="116">
        <f t="shared" si="8"/>
        <v>7</v>
      </c>
      <c r="Q276" s="116">
        <f t="shared" si="9"/>
        <v>0</v>
      </c>
    </row>
    <row r="277" spans="1:17">
      <c r="A277" s="108">
        <v>276</v>
      </c>
      <c r="B277" s="109" t="s">
        <v>565</v>
      </c>
      <c r="C277" s="112"/>
      <c r="D277" s="109" t="s">
        <v>572</v>
      </c>
      <c r="E277" s="112"/>
      <c r="F277" s="110" t="s">
        <v>576</v>
      </c>
      <c r="G277" s="111">
        <v>1</v>
      </c>
      <c r="H277" s="112" t="s">
        <v>63</v>
      </c>
      <c r="I277" s="118">
        <v>120</v>
      </c>
      <c r="J277" s="109"/>
      <c r="K277" s="118">
        <v>120</v>
      </c>
      <c r="L277" s="113" t="s">
        <v>574</v>
      </c>
      <c r="M277" s="142">
        <v>46223</v>
      </c>
      <c r="N277" s="143">
        <v>46230</v>
      </c>
      <c r="O277" s="140">
        <v>46230</v>
      </c>
      <c r="P277" s="116">
        <f t="shared" si="8"/>
        <v>7</v>
      </c>
      <c r="Q277" s="116">
        <f t="shared" si="9"/>
        <v>0</v>
      </c>
    </row>
    <row r="278" spans="1:17">
      <c r="A278" s="108">
        <v>277</v>
      </c>
      <c r="B278" s="109" t="s">
        <v>188</v>
      </c>
      <c r="C278" s="112"/>
      <c r="D278" s="109" t="s">
        <v>189</v>
      </c>
      <c r="E278" s="112"/>
      <c r="F278" s="110" t="s">
        <v>577</v>
      </c>
      <c r="G278" s="111">
        <v>2</v>
      </c>
      <c r="H278" s="112" t="s">
        <v>66</v>
      </c>
      <c r="I278" s="118">
        <v>70</v>
      </c>
      <c r="J278" s="109"/>
      <c r="K278" s="118">
        <v>140</v>
      </c>
      <c r="L278" s="113" t="s">
        <v>191</v>
      </c>
      <c r="M278" s="142">
        <v>46213</v>
      </c>
      <c r="N278" s="143">
        <v>46230</v>
      </c>
      <c r="O278" s="140">
        <v>46230</v>
      </c>
      <c r="P278" s="116">
        <f t="shared" si="8"/>
        <v>17</v>
      </c>
      <c r="Q278" s="116">
        <f t="shared" si="9"/>
        <v>0</v>
      </c>
    </row>
    <row r="279" spans="1:17">
      <c r="A279" s="108">
        <v>278</v>
      </c>
      <c r="B279" s="109" t="s">
        <v>188</v>
      </c>
      <c r="C279" s="112"/>
      <c r="D279" s="109" t="s">
        <v>189</v>
      </c>
      <c r="E279" s="112"/>
      <c r="F279" s="110" t="s">
        <v>578</v>
      </c>
      <c r="G279" s="111">
        <v>1</v>
      </c>
      <c r="H279" s="112" t="s">
        <v>66</v>
      </c>
      <c r="I279" s="118">
        <v>10600</v>
      </c>
      <c r="J279" s="109"/>
      <c r="K279" s="118">
        <v>10600</v>
      </c>
      <c r="L279" s="113" t="s">
        <v>191</v>
      </c>
      <c r="M279" s="142">
        <v>46213</v>
      </c>
      <c r="N279" s="143">
        <v>46230</v>
      </c>
      <c r="O279" s="140">
        <v>46230</v>
      </c>
      <c r="P279" s="116">
        <f t="shared" si="8"/>
        <v>17</v>
      </c>
      <c r="Q279" s="116">
        <f t="shared" si="9"/>
        <v>0</v>
      </c>
    </row>
    <row r="280" spans="1:17">
      <c r="A280" s="108">
        <v>279</v>
      </c>
      <c r="B280" s="109" t="s">
        <v>259</v>
      </c>
      <c r="C280" s="112"/>
      <c r="D280" s="109" t="s">
        <v>421</v>
      </c>
      <c r="E280" s="112"/>
      <c r="F280" s="110" t="s">
        <v>579</v>
      </c>
      <c r="G280" s="111">
        <v>3</v>
      </c>
      <c r="H280" s="112" t="s">
        <v>66</v>
      </c>
      <c r="I280" s="118">
        <v>350</v>
      </c>
      <c r="J280" s="109"/>
      <c r="K280" s="118">
        <v>1050</v>
      </c>
      <c r="L280" s="113" t="s">
        <v>580</v>
      </c>
      <c r="M280" s="142">
        <v>46223</v>
      </c>
      <c r="N280" s="143">
        <v>46230</v>
      </c>
      <c r="O280" s="140">
        <v>46230</v>
      </c>
      <c r="P280" s="116">
        <f t="shared" si="8"/>
        <v>7</v>
      </c>
      <c r="Q280" s="116">
        <f t="shared" si="9"/>
        <v>0</v>
      </c>
    </row>
    <row r="281" spans="1:17">
      <c r="A281" s="108">
        <v>280</v>
      </c>
      <c r="B281" s="109" t="s">
        <v>259</v>
      </c>
      <c r="C281" s="112"/>
      <c r="D281" s="109" t="s">
        <v>421</v>
      </c>
      <c r="E281" s="112"/>
      <c r="F281" s="110" t="s">
        <v>581</v>
      </c>
      <c r="G281" s="111">
        <v>2</v>
      </c>
      <c r="H281" s="112" t="s">
        <v>66</v>
      </c>
      <c r="I281" s="118">
        <v>820</v>
      </c>
      <c r="J281" s="109"/>
      <c r="K281" s="118">
        <v>1640</v>
      </c>
      <c r="L281" s="113" t="s">
        <v>580</v>
      </c>
      <c r="M281" s="142">
        <v>46223</v>
      </c>
      <c r="N281" s="143">
        <v>46230</v>
      </c>
      <c r="O281" s="140">
        <v>46230</v>
      </c>
      <c r="P281" s="116">
        <f t="shared" si="8"/>
        <v>7</v>
      </c>
      <c r="Q281" s="116">
        <f t="shared" si="9"/>
        <v>0</v>
      </c>
    </row>
    <row r="282" spans="1:17">
      <c r="A282" s="108">
        <v>281</v>
      </c>
      <c r="B282" s="109" t="s">
        <v>259</v>
      </c>
      <c r="C282" s="112"/>
      <c r="D282" s="109" t="s">
        <v>421</v>
      </c>
      <c r="E282" s="112"/>
      <c r="F282" s="110" t="s">
        <v>582</v>
      </c>
      <c r="G282" s="111">
        <v>1</v>
      </c>
      <c r="H282" s="112" t="s">
        <v>66</v>
      </c>
      <c r="I282" s="118">
        <v>310</v>
      </c>
      <c r="J282" s="109"/>
      <c r="K282" s="118">
        <v>310</v>
      </c>
      <c r="L282" s="113" t="s">
        <v>580</v>
      </c>
      <c r="M282" s="142">
        <v>46223</v>
      </c>
      <c r="N282" s="143">
        <v>46230</v>
      </c>
      <c r="O282" s="140">
        <v>46230</v>
      </c>
      <c r="P282" s="116">
        <f t="shared" si="8"/>
        <v>7</v>
      </c>
      <c r="Q282" s="116">
        <f t="shared" si="9"/>
        <v>0</v>
      </c>
    </row>
    <row r="283" spans="1:17">
      <c r="A283" s="108">
        <v>282</v>
      </c>
      <c r="B283" s="109" t="s">
        <v>259</v>
      </c>
      <c r="C283" s="112"/>
      <c r="D283" s="109" t="s">
        <v>421</v>
      </c>
      <c r="E283" s="112"/>
      <c r="F283" s="110" t="s">
        <v>583</v>
      </c>
      <c r="G283" s="111">
        <v>5</v>
      </c>
      <c r="H283" s="112" t="s">
        <v>66</v>
      </c>
      <c r="I283" s="118">
        <v>280</v>
      </c>
      <c r="J283" s="109"/>
      <c r="K283" s="118">
        <v>1400</v>
      </c>
      <c r="L283" s="113" t="s">
        <v>580</v>
      </c>
      <c r="M283" s="142">
        <v>46223</v>
      </c>
      <c r="N283" s="143">
        <v>46230</v>
      </c>
      <c r="O283" s="140">
        <v>46230</v>
      </c>
      <c r="P283" s="116">
        <f t="shared" si="8"/>
        <v>7</v>
      </c>
      <c r="Q283" s="116">
        <f t="shared" si="9"/>
        <v>0</v>
      </c>
    </row>
    <row r="284" spans="1:17">
      <c r="A284" s="108">
        <v>283</v>
      </c>
      <c r="B284" s="109" t="s">
        <v>259</v>
      </c>
      <c r="C284" s="112"/>
      <c r="D284" s="109" t="s">
        <v>421</v>
      </c>
      <c r="E284" s="112"/>
      <c r="F284" s="110" t="s">
        <v>584</v>
      </c>
      <c r="G284" s="111">
        <v>1</v>
      </c>
      <c r="H284" s="112" t="s">
        <v>66</v>
      </c>
      <c r="I284" s="118">
        <v>280</v>
      </c>
      <c r="J284" s="109"/>
      <c r="K284" s="118">
        <v>280</v>
      </c>
      <c r="L284" s="113" t="s">
        <v>580</v>
      </c>
      <c r="M284" s="142">
        <v>46223</v>
      </c>
      <c r="N284" s="143">
        <v>46230</v>
      </c>
      <c r="O284" s="140">
        <v>46230</v>
      </c>
      <c r="P284" s="116">
        <f t="shared" si="8"/>
        <v>7</v>
      </c>
      <c r="Q284" s="116">
        <f t="shared" si="9"/>
        <v>0</v>
      </c>
    </row>
    <row r="285" spans="1:17">
      <c r="A285" s="108">
        <v>284</v>
      </c>
      <c r="B285" s="109" t="s">
        <v>259</v>
      </c>
      <c r="C285" s="112"/>
      <c r="D285" s="109" t="s">
        <v>421</v>
      </c>
      <c r="E285" s="112"/>
      <c r="F285" s="110" t="s">
        <v>585</v>
      </c>
      <c r="G285" s="111">
        <v>1</v>
      </c>
      <c r="H285" s="112" t="s">
        <v>66</v>
      </c>
      <c r="I285" s="118">
        <v>1200</v>
      </c>
      <c r="J285" s="109"/>
      <c r="K285" s="118">
        <v>1200</v>
      </c>
      <c r="L285" s="113" t="s">
        <v>580</v>
      </c>
      <c r="M285" s="142">
        <v>46223</v>
      </c>
      <c r="N285" s="143">
        <v>46230</v>
      </c>
      <c r="O285" s="140">
        <v>46230</v>
      </c>
      <c r="P285" s="116">
        <f t="shared" si="8"/>
        <v>7</v>
      </c>
      <c r="Q285" s="116">
        <f t="shared" si="9"/>
        <v>0</v>
      </c>
    </row>
    <row r="286" spans="1:17">
      <c r="A286" s="108">
        <v>285</v>
      </c>
      <c r="B286" s="109" t="s">
        <v>259</v>
      </c>
      <c r="C286" s="112"/>
      <c r="D286" s="109" t="s">
        <v>421</v>
      </c>
      <c r="E286" s="112"/>
      <c r="F286" s="110" t="s">
        <v>586</v>
      </c>
      <c r="G286" s="111">
        <v>1</v>
      </c>
      <c r="H286" s="112" t="s">
        <v>66</v>
      </c>
      <c r="I286" s="118">
        <v>280</v>
      </c>
      <c r="J286" s="109"/>
      <c r="K286" s="118">
        <v>280</v>
      </c>
      <c r="L286" s="113" t="s">
        <v>580</v>
      </c>
      <c r="M286" s="142">
        <v>46223</v>
      </c>
      <c r="N286" s="143">
        <v>46230</v>
      </c>
      <c r="O286" s="140">
        <v>46230</v>
      </c>
      <c r="P286" s="116">
        <f t="shared" si="8"/>
        <v>7</v>
      </c>
      <c r="Q286" s="116">
        <f t="shared" si="9"/>
        <v>0</v>
      </c>
    </row>
    <row r="287" spans="1:17">
      <c r="A287" s="108">
        <v>286</v>
      </c>
      <c r="B287" s="109" t="s">
        <v>259</v>
      </c>
      <c r="C287" s="112"/>
      <c r="D287" s="109" t="s">
        <v>421</v>
      </c>
      <c r="E287" s="112"/>
      <c r="F287" s="110" t="s">
        <v>587</v>
      </c>
      <c r="G287" s="111">
        <v>2</v>
      </c>
      <c r="H287" s="112" t="s">
        <v>66</v>
      </c>
      <c r="I287" s="118">
        <v>700</v>
      </c>
      <c r="J287" s="109"/>
      <c r="K287" s="118">
        <v>1400</v>
      </c>
      <c r="L287" s="113" t="s">
        <v>580</v>
      </c>
      <c r="M287" s="142">
        <v>46223</v>
      </c>
      <c r="N287" s="143">
        <v>46230</v>
      </c>
      <c r="O287" s="140">
        <v>46230</v>
      </c>
      <c r="P287" s="116">
        <f t="shared" si="8"/>
        <v>7</v>
      </c>
      <c r="Q287" s="116">
        <f t="shared" si="9"/>
        <v>0</v>
      </c>
    </row>
    <row r="288" spans="1:17">
      <c r="A288" s="108">
        <v>287</v>
      </c>
      <c r="B288" s="109" t="s">
        <v>259</v>
      </c>
      <c r="C288" s="112"/>
      <c r="D288" s="109" t="s">
        <v>421</v>
      </c>
      <c r="E288" s="112"/>
      <c r="F288" s="110" t="s">
        <v>588</v>
      </c>
      <c r="G288" s="111">
        <v>2</v>
      </c>
      <c r="H288" s="112" t="s">
        <v>66</v>
      </c>
      <c r="I288" s="118">
        <v>280</v>
      </c>
      <c r="J288" s="109"/>
      <c r="K288" s="118">
        <v>560</v>
      </c>
      <c r="L288" s="113" t="s">
        <v>580</v>
      </c>
      <c r="M288" s="142">
        <v>46223</v>
      </c>
      <c r="N288" s="143">
        <v>46230</v>
      </c>
      <c r="O288" s="140">
        <v>46230</v>
      </c>
      <c r="P288" s="116">
        <f t="shared" si="8"/>
        <v>7</v>
      </c>
      <c r="Q288" s="116">
        <f t="shared" si="9"/>
        <v>0</v>
      </c>
    </row>
    <row r="289" spans="1:17">
      <c r="A289" s="108">
        <v>288</v>
      </c>
      <c r="B289" s="109" t="s">
        <v>259</v>
      </c>
      <c r="C289" s="112"/>
      <c r="D289" s="109" t="s">
        <v>421</v>
      </c>
      <c r="E289" s="112"/>
      <c r="F289" s="110" t="s">
        <v>589</v>
      </c>
      <c r="G289" s="111">
        <v>1</v>
      </c>
      <c r="H289" s="112" t="s">
        <v>66</v>
      </c>
      <c r="I289" s="118">
        <v>3730</v>
      </c>
      <c r="J289" s="109"/>
      <c r="K289" s="118">
        <v>3730</v>
      </c>
      <c r="L289" s="113" t="s">
        <v>580</v>
      </c>
      <c r="M289" s="142">
        <v>46223</v>
      </c>
      <c r="N289" s="143">
        <v>46230</v>
      </c>
      <c r="O289" s="140">
        <v>46230</v>
      </c>
      <c r="P289" s="116">
        <f t="shared" si="8"/>
        <v>7</v>
      </c>
      <c r="Q289" s="116">
        <f t="shared" si="9"/>
        <v>0</v>
      </c>
    </row>
    <row r="290" spans="1:17">
      <c r="A290" s="108">
        <v>289</v>
      </c>
      <c r="B290" s="109" t="s">
        <v>76</v>
      </c>
      <c r="C290" s="112"/>
      <c r="D290" s="109" t="s">
        <v>77</v>
      </c>
      <c r="E290" s="112" t="s">
        <v>590</v>
      </c>
      <c r="F290" s="110" t="s">
        <v>591</v>
      </c>
      <c r="G290" s="111">
        <v>3</v>
      </c>
      <c r="H290" s="112" t="s">
        <v>66</v>
      </c>
      <c r="I290" s="118">
        <v>240</v>
      </c>
      <c r="J290" s="109"/>
      <c r="K290" s="118">
        <v>720</v>
      </c>
      <c r="L290" s="113" t="s">
        <v>592</v>
      </c>
      <c r="M290" s="114">
        <v>46230</v>
      </c>
      <c r="N290" s="115">
        <v>46230</v>
      </c>
      <c r="O290" s="140">
        <v>46230</v>
      </c>
      <c r="P290" s="116">
        <f t="shared" si="8"/>
        <v>0</v>
      </c>
      <c r="Q290" s="116">
        <f t="shared" si="9"/>
        <v>0</v>
      </c>
    </row>
    <row r="291" spans="1:17">
      <c r="A291" s="108">
        <v>290</v>
      </c>
      <c r="B291" s="109" t="s">
        <v>76</v>
      </c>
      <c r="C291" s="112"/>
      <c r="D291" s="109" t="s">
        <v>77</v>
      </c>
      <c r="E291" s="112" t="s">
        <v>593</v>
      </c>
      <c r="F291" s="110" t="s">
        <v>594</v>
      </c>
      <c r="G291" s="111">
        <v>1</v>
      </c>
      <c r="H291" s="112" t="s">
        <v>66</v>
      </c>
      <c r="I291" s="118">
        <v>170</v>
      </c>
      <c r="J291" s="109"/>
      <c r="K291" s="118">
        <v>170</v>
      </c>
      <c r="L291" s="113" t="s">
        <v>592</v>
      </c>
      <c r="M291" s="114">
        <v>46230</v>
      </c>
      <c r="N291" s="115">
        <v>46230</v>
      </c>
      <c r="O291" s="140">
        <v>46230</v>
      </c>
      <c r="P291" s="116">
        <f t="shared" si="8"/>
        <v>0</v>
      </c>
      <c r="Q291" s="116">
        <f t="shared" si="9"/>
        <v>0</v>
      </c>
    </row>
    <row r="292" spans="1:17">
      <c r="A292" s="108">
        <v>291</v>
      </c>
      <c r="B292" s="109" t="s">
        <v>76</v>
      </c>
      <c r="C292" s="112"/>
      <c r="D292" s="109" t="s">
        <v>77</v>
      </c>
      <c r="E292" s="112" t="s">
        <v>595</v>
      </c>
      <c r="F292" s="110" t="s">
        <v>596</v>
      </c>
      <c r="G292" s="111">
        <v>1</v>
      </c>
      <c r="H292" s="112" t="s">
        <v>66</v>
      </c>
      <c r="I292" s="118">
        <v>750</v>
      </c>
      <c r="J292" s="109"/>
      <c r="K292" s="118">
        <v>750</v>
      </c>
      <c r="L292" s="113" t="s">
        <v>592</v>
      </c>
      <c r="M292" s="114">
        <v>46230</v>
      </c>
      <c r="N292" s="115">
        <v>46230</v>
      </c>
      <c r="O292" s="140">
        <v>46230</v>
      </c>
      <c r="P292" s="116">
        <f t="shared" si="8"/>
        <v>0</v>
      </c>
      <c r="Q292" s="116">
        <f t="shared" si="9"/>
        <v>0</v>
      </c>
    </row>
    <row r="293" spans="1:17">
      <c r="A293" s="108">
        <v>292</v>
      </c>
      <c r="B293" s="109" t="s">
        <v>259</v>
      </c>
      <c r="C293" s="112"/>
      <c r="D293" s="109" t="s">
        <v>597</v>
      </c>
      <c r="E293" s="112"/>
      <c r="F293" s="110" t="s">
        <v>598</v>
      </c>
      <c r="G293" s="111">
        <v>1</v>
      </c>
      <c r="H293" s="112" t="s">
        <v>66</v>
      </c>
      <c r="I293" s="118">
        <v>2750</v>
      </c>
      <c r="J293" s="109"/>
      <c r="K293" s="118">
        <v>2750</v>
      </c>
      <c r="L293" s="113" t="s">
        <v>599</v>
      </c>
      <c r="M293" s="142">
        <v>46223</v>
      </c>
      <c r="N293" s="143">
        <v>46232</v>
      </c>
      <c r="O293" s="140">
        <v>46232</v>
      </c>
      <c r="P293" s="116">
        <f t="shared" si="8"/>
        <v>9</v>
      </c>
      <c r="Q293" s="116">
        <f t="shared" si="9"/>
        <v>0</v>
      </c>
    </row>
    <row r="294" spans="1:17">
      <c r="A294" s="108">
        <v>293</v>
      </c>
      <c r="B294" s="109" t="s">
        <v>159</v>
      </c>
      <c r="C294" s="112"/>
      <c r="D294" s="109" t="s">
        <v>95</v>
      </c>
      <c r="E294" s="112"/>
      <c r="F294" s="110" t="s">
        <v>600</v>
      </c>
      <c r="G294" s="111">
        <v>4</v>
      </c>
      <c r="H294" s="112" t="s">
        <v>63</v>
      </c>
      <c r="I294" s="118">
        <v>207</v>
      </c>
      <c r="J294" s="109"/>
      <c r="K294" s="118">
        <v>828</v>
      </c>
      <c r="L294" s="113" t="s">
        <v>161</v>
      </c>
      <c r="M294" s="142">
        <v>46216</v>
      </c>
      <c r="N294" s="143">
        <v>46233</v>
      </c>
      <c r="O294" s="140">
        <v>46233</v>
      </c>
      <c r="P294" s="116">
        <f t="shared" si="8"/>
        <v>17</v>
      </c>
      <c r="Q294" s="116">
        <f t="shared" si="9"/>
        <v>0</v>
      </c>
    </row>
    <row r="295" spans="1:17">
      <c r="A295" s="108">
        <v>294</v>
      </c>
      <c r="B295" s="109" t="s">
        <v>159</v>
      </c>
      <c r="C295" s="112"/>
      <c r="D295" s="109" t="s">
        <v>95</v>
      </c>
      <c r="E295" s="112"/>
      <c r="F295" s="110" t="s">
        <v>601</v>
      </c>
      <c r="G295" s="111">
        <v>1</v>
      </c>
      <c r="H295" s="112" t="s">
        <v>66</v>
      </c>
      <c r="I295" s="118">
        <v>2861.99</v>
      </c>
      <c r="J295" s="109"/>
      <c r="K295" s="118">
        <v>2861.99</v>
      </c>
      <c r="L295" s="113" t="s">
        <v>161</v>
      </c>
      <c r="M295" s="142">
        <v>46216</v>
      </c>
      <c r="N295" s="143">
        <v>46233</v>
      </c>
      <c r="O295" s="140">
        <v>46233</v>
      </c>
      <c r="P295" s="116">
        <f t="shared" si="8"/>
        <v>17</v>
      </c>
      <c r="Q295" s="116">
        <f t="shared" si="9"/>
        <v>0</v>
      </c>
    </row>
    <row r="296" spans="1:17">
      <c r="A296" s="108">
        <v>295</v>
      </c>
      <c r="B296" s="109" t="s">
        <v>602</v>
      </c>
      <c r="C296" s="112" t="s">
        <v>603</v>
      </c>
      <c r="D296" s="109" t="s">
        <v>95</v>
      </c>
      <c r="E296" s="112" t="s">
        <v>604</v>
      </c>
      <c r="F296" s="110" t="s">
        <v>605</v>
      </c>
      <c r="G296" s="111">
        <v>20</v>
      </c>
      <c r="H296" s="112" t="s">
        <v>606</v>
      </c>
      <c r="I296" s="118">
        <v>10.95</v>
      </c>
      <c r="J296" s="109"/>
      <c r="K296" s="118">
        <v>219</v>
      </c>
      <c r="L296" s="113" t="s">
        <v>556</v>
      </c>
      <c r="M296" s="142">
        <v>46219</v>
      </c>
      <c r="N296" s="143">
        <v>46233</v>
      </c>
      <c r="O296" s="140">
        <v>46233</v>
      </c>
      <c r="P296" s="116">
        <f t="shared" si="8"/>
        <v>14</v>
      </c>
      <c r="Q296" s="116">
        <f t="shared" si="9"/>
        <v>0</v>
      </c>
    </row>
    <row r="297" spans="1:17">
      <c r="A297" s="108">
        <v>296</v>
      </c>
      <c r="B297" s="109" t="s">
        <v>607</v>
      </c>
      <c r="C297" s="112"/>
      <c r="D297" s="109" t="s">
        <v>608</v>
      </c>
      <c r="E297" s="112"/>
      <c r="F297" s="110" t="s">
        <v>609</v>
      </c>
      <c r="G297" s="111">
        <v>1</v>
      </c>
      <c r="H297" s="112" t="s">
        <v>66</v>
      </c>
      <c r="I297" s="118">
        <v>315</v>
      </c>
      <c r="J297" s="109"/>
      <c r="K297" s="118">
        <v>315</v>
      </c>
      <c r="L297" s="113" t="s">
        <v>610</v>
      </c>
      <c r="M297" s="142">
        <v>46205</v>
      </c>
      <c r="N297" s="143">
        <v>46205</v>
      </c>
      <c r="O297" s="140">
        <v>46204</v>
      </c>
      <c r="P297" s="116">
        <f t="shared" si="8"/>
        <v>-1</v>
      </c>
      <c r="Q297" s="116">
        <f t="shared" si="9"/>
        <v>1</v>
      </c>
    </row>
    <row r="298" spans="1:17">
      <c r="A298" s="108">
        <v>297</v>
      </c>
      <c r="B298" s="109" t="s">
        <v>607</v>
      </c>
      <c r="C298" s="112"/>
      <c r="D298" s="109" t="s">
        <v>608</v>
      </c>
      <c r="E298" s="112"/>
      <c r="F298" s="110" t="s">
        <v>611</v>
      </c>
      <c r="G298" s="111">
        <v>4</v>
      </c>
      <c r="H298" s="112" t="s">
        <v>66</v>
      </c>
      <c r="I298" s="118">
        <v>90</v>
      </c>
      <c r="J298" s="109"/>
      <c r="K298" s="118">
        <v>360</v>
      </c>
      <c r="L298" s="113" t="s">
        <v>612</v>
      </c>
      <c r="M298" s="142">
        <v>46205</v>
      </c>
      <c r="N298" s="143">
        <v>46205</v>
      </c>
      <c r="O298" s="140">
        <v>46204</v>
      </c>
      <c r="P298" s="116">
        <f t="shared" si="8"/>
        <v>-1</v>
      </c>
      <c r="Q298" s="116">
        <f t="shared" si="9"/>
        <v>1</v>
      </c>
    </row>
    <row r="299" spans="1:17">
      <c r="A299" s="108">
        <v>298</v>
      </c>
      <c r="B299" s="109" t="s">
        <v>607</v>
      </c>
      <c r="C299" s="112"/>
      <c r="D299" s="109" t="s">
        <v>608</v>
      </c>
      <c r="E299" s="112"/>
      <c r="F299" s="110" t="s">
        <v>613</v>
      </c>
      <c r="G299" s="111">
        <v>1</v>
      </c>
      <c r="H299" s="112" t="s">
        <v>88</v>
      </c>
      <c r="I299" s="118">
        <v>110</v>
      </c>
      <c r="J299" s="109"/>
      <c r="K299" s="118">
        <v>110</v>
      </c>
      <c r="L299" s="113" t="s">
        <v>612</v>
      </c>
      <c r="M299" s="142">
        <v>46205</v>
      </c>
      <c r="N299" s="143">
        <v>46205</v>
      </c>
      <c r="O299" s="140">
        <v>46204</v>
      </c>
      <c r="P299" s="116">
        <f t="shared" si="8"/>
        <v>-1</v>
      </c>
      <c r="Q299" s="116">
        <f t="shared" si="9"/>
        <v>1</v>
      </c>
    </row>
    <row r="300" spans="1:17">
      <c r="A300" s="108">
        <v>299</v>
      </c>
      <c r="B300" s="109" t="s">
        <v>607</v>
      </c>
      <c r="C300" s="112"/>
      <c r="D300" s="109" t="s">
        <v>608</v>
      </c>
      <c r="E300" s="112"/>
      <c r="F300" s="110" t="s">
        <v>614</v>
      </c>
      <c r="G300" s="111">
        <v>1</v>
      </c>
      <c r="H300" s="112" t="s">
        <v>66</v>
      </c>
      <c r="I300" s="118">
        <v>65</v>
      </c>
      <c r="J300" s="109"/>
      <c r="K300" s="118">
        <v>65</v>
      </c>
      <c r="L300" s="113" t="s">
        <v>612</v>
      </c>
      <c r="M300" s="142">
        <v>46205</v>
      </c>
      <c r="N300" s="143">
        <v>46205</v>
      </c>
      <c r="O300" s="140">
        <v>46204</v>
      </c>
      <c r="P300" s="116">
        <f t="shared" si="8"/>
        <v>-1</v>
      </c>
      <c r="Q300" s="116">
        <f t="shared" si="9"/>
        <v>1</v>
      </c>
    </row>
    <row r="301" spans="1:17">
      <c r="A301" s="108">
        <v>300</v>
      </c>
      <c r="B301" s="109" t="s">
        <v>299</v>
      </c>
      <c r="C301" s="112"/>
      <c r="D301" s="109" t="s">
        <v>245</v>
      </c>
      <c r="E301" s="112"/>
      <c r="F301" s="110" t="s">
        <v>615</v>
      </c>
      <c r="G301" s="111">
        <v>1</v>
      </c>
      <c r="H301" s="112" t="s">
        <v>66</v>
      </c>
      <c r="I301" s="118">
        <v>4800</v>
      </c>
      <c r="J301" s="109"/>
      <c r="K301" s="118">
        <v>4800</v>
      </c>
      <c r="L301" s="113" t="s">
        <v>616</v>
      </c>
      <c r="M301" s="142">
        <v>46195</v>
      </c>
      <c r="N301" s="143">
        <v>46205</v>
      </c>
      <c r="O301" s="140">
        <v>46204</v>
      </c>
      <c r="P301" s="116">
        <f t="shared" si="8"/>
        <v>9</v>
      </c>
      <c r="Q301" s="116">
        <f t="shared" si="9"/>
        <v>1</v>
      </c>
    </row>
    <row r="302" spans="1:17">
      <c r="A302" s="108">
        <v>301</v>
      </c>
      <c r="B302" s="109" t="s">
        <v>299</v>
      </c>
      <c r="C302" s="112"/>
      <c r="D302" s="109" t="s">
        <v>617</v>
      </c>
      <c r="E302" s="112"/>
      <c r="F302" s="110" t="s">
        <v>618</v>
      </c>
      <c r="G302" s="111">
        <v>1</v>
      </c>
      <c r="H302" s="112" t="s">
        <v>66</v>
      </c>
      <c r="I302" s="118">
        <v>7258</v>
      </c>
      <c r="J302" s="109"/>
      <c r="K302" s="118">
        <v>7258</v>
      </c>
      <c r="L302" s="113" t="s">
        <v>619</v>
      </c>
      <c r="M302" s="142">
        <v>46195</v>
      </c>
      <c r="N302" s="143">
        <v>46206</v>
      </c>
      <c r="O302" s="140">
        <v>46205</v>
      </c>
      <c r="P302" s="116">
        <f t="shared" si="8"/>
        <v>10</v>
      </c>
      <c r="Q302" s="116">
        <f t="shared" si="9"/>
        <v>1</v>
      </c>
    </row>
    <row r="303" spans="1:17">
      <c r="A303" s="108">
        <v>302</v>
      </c>
      <c r="B303" s="109" t="s">
        <v>299</v>
      </c>
      <c r="C303" s="112"/>
      <c r="D303" s="109" t="s">
        <v>617</v>
      </c>
      <c r="E303" s="112"/>
      <c r="F303" s="110" t="s">
        <v>620</v>
      </c>
      <c r="G303" s="111">
        <v>1</v>
      </c>
      <c r="H303" s="112" t="s">
        <v>66</v>
      </c>
      <c r="I303" s="118">
        <v>564</v>
      </c>
      <c r="J303" s="109"/>
      <c r="K303" s="118">
        <v>564</v>
      </c>
      <c r="L303" s="113" t="s">
        <v>619</v>
      </c>
      <c r="M303" s="142">
        <v>46195</v>
      </c>
      <c r="N303" s="143">
        <v>46206</v>
      </c>
      <c r="O303" s="140">
        <v>46205</v>
      </c>
      <c r="P303" s="116">
        <f t="shared" si="8"/>
        <v>10</v>
      </c>
      <c r="Q303" s="116">
        <f t="shared" si="9"/>
        <v>1</v>
      </c>
    </row>
    <row r="304" spans="1:17">
      <c r="A304" s="108">
        <v>303</v>
      </c>
      <c r="B304" s="109" t="s">
        <v>299</v>
      </c>
      <c r="C304" s="112"/>
      <c r="D304" s="109" t="s">
        <v>617</v>
      </c>
      <c r="E304" s="112"/>
      <c r="F304" s="110" t="s">
        <v>621</v>
      </c>
      <c r="G304" s="111">
        <v>1</v>
      </c>
      <c r="H304" s="112" t="s">
        <v>66</v>
      </c>
      <c r="I304" s="118">
        <v>2822</v>
      </c>
      <c r="J304" s="109"/>
      <c r="K304" s="118">
        <v>2822</v>
      </c>
      <c r="L304" s="113" t="s">
        <v>619</v>
      </c>
      <c r="M304" s="142">
        <v>46195</v>
      </c>
      <c r="N304" s="143">
        <v>46206</v>
      </c>
      <c r="O304" s="140">
        <v>46205</v>
      </c>
      <c r="P304" s="116">
        <f t="shared" si="8"/>
        <v>10</v>
      </c>
      <c r="Q304" s="116">
        <f t="shared" si="9"/>
        <v>1</v>
      </c>
    </row>
    <row r="305" spans="1:17">
      <c r="A305" s="108">
        <v>304</v>
      </c>
      <c r="B305" s="109" t="s">
        <v>299</v>
      </c>
      <c r="C305" s="112"/>
      <c r="D305" s="109" t="s">
        <v>617</v>
      </c>
      <c r="E305" s="112"/>
      <c r="F305" s="110" t="s">
        <v>622</v>
      </c>
      <c r="G305" s="111">
        <v>1</v>
      </c>
      <c r="H305" s="112" t="s">
        <v>66</v>
      </c>
      <c r="I305" s="118">
        <v>2950</v>
      </c>
      <c r="J305" s="109"/>
      <c r="K305" s="118">
        <v>2950</v>
      </c>
      <c r="L305" s="113" t="s">
        <v>619</v>
      </c>
      <c r="M305" s="142">
        <v>46195</v>
      </c>
      <c r="N305" s="143">
        <v>46206</v>
      </c>
      <c r="O305" s="140">
        <v>46205</v>
      </c>
      <c r="P305" s="116">
        <f t="shared" si="8"/>
        <v>10</v>
      </c>
      <c r="Q305" s="116">
        <f t="shared" si="9"/>
        <v>1</v>
      </c>
    </row>
    <row r="306" spans="1:17">
      <c r="A306" s="108">
        <v>305</v>
      </c>
      <c r="B306" s="109" t="s">
        <v>299</v>
      </c>
      <c r="C306" s="112"/>
      <c r="D306" s="109" t="s">
        <v>617</v>
      </c>
      <c r="E306" s="112"/>
      <c r="F306" s="110" t="s">
        <v>623</v>
      </c>
      <c r="G306" s="111">
        <v>1</v>
      </c>
      <c r="H306" s="112" t="s">
        <v>66</v>
      </c>
      <c r="I306" s="118">
        <v>16738</v>
      </c>
      <c r="J306" s="109"/>
      <c r="K306" s="118">
        <v>16738</v>
      </c>
      <c r="L306" s="113" t="s">
        <v>619</v>
      </c>
      <c r="M306" s="142">
        <v>46195</v>
      </c>
      <c r="N306" s="143">
        <v>46206</v>
      </c>
      <c r="O306" s="140">
        <v>46205</v>
      </c>
      <c r="P306" s="116">
        <f t="shared" si="8"/>
        <v>10</v>
      </c>
      <c r="Q306" s="116">
        <f t="shared" si="9"/>
        <v>1</v>
      </c>
    </row>
    <row r="307" spans="1:17">
      <c r="A307" s="108">
        <v>306</v>
      </c>
      <c r="B307" s="109" t="s">
        <v>299</v>
      </c>
      <c r="C307" s="112"/>
      <c r="D307" s="109" t="s">
        <v>617</v>
      </c>
      <c r="E307" s="112"/>
      <c r="F307" s="110" t="s">
        <v>624</v>
      </c>
      <c r="G307" s="111">
        <v>1</v>
      </c>
      <c r="H307" s="112" t="s">
        <v>66</v>
      </c>
      <c r="I307" s="118">
        <v>7439</v>
      </c>
      <c r="J307" s="109"/>
      <c r="K307" s="118">
        <v>7439</v>
      </c>
      <c r="L307" s="113" t="s">
        <v>619</v>
      </c>
      <c r="M307" s="142">
        <v>46195</v>
      </c>
      <c r="N307" s="143">
        <v>46206</v>
      </c>
      <c r="O307" s="140">
        <v>46205</v>
      </c>
      <c r="P307" s="116">
        <f t="shared" si="8"/>
        <v>10</v>
      </c>
      <c r="Q307" s="116">
        <f t="shared" si="9"/>
        <v>1</v>
      </c>
    </row>
    <row r="308" spans="1:17">
      <c r="A308" s="108">
        <v>307</v>
      </c>
      <c r="B308" s="109" t="s">
        <v>299</v>
      </c>
      <c r="C308" s="112"/>
      <c r="D308" s="109" t="s">
        <v>617</v>
      </c>
      <c r="E308" s="112"/>
      <c r="F308" s="110" t="s">
        <v>625</v>
      </c>
      <c r="G308" s="111">
        <v>1</v>
      </c>
      <c r="H308" s="112" t="s">
        <v>66</v>
      </c>
      <c r="I308" s="118">
        <v>2693</v>
      </c>
      <c r="J308" s="109"/>
      <c r="K308" s="118">
        <v>2693</v>
      </c>
      <c r="L308" s="113" t="s">
        <v>619</v>
      </c>
      <c r="M308" s="142">
        <v>46195</v>
      </c>
      <c r="N308" s="143">
        <v>46206</v>
      </c>
      <c r="O308" s="140">
        <v>46205</v>
      </c>
      <c r="P308" s="116">
        <f t="shared" si="8"/>
        <v>10</v>
      </c>
      <c r="Q308" s="116">
        <f t="shared" si="9"/>
        <v>1</v>
      </c>
    </row>
    <row r="309" spans="1:17">
      <c r="A309" s="108">
        <v>308</v>
      </c>
      <c r="B309" s="109" t="s">
        <v>299</v>
      </c>
      <c r="C309" s="112"/>
      <c r="D309" s="109" t="s">
        <v>617</v>
      </c>
      <c r="E309" s="112"/>
      <c r="F309" s="110" t="s">
        <v>626</v>
      </c>
      <c r="G309" s="111">
        <v>1</v>
      </c>
      <c r="H309" s="112" t="s">
        <v>66</v>
      </c>
      <c r="I309" s="118">
        <v>2693</v>
      </c>
      <c r="J309" s="109"/>
      <c r="K309" s="118">
        <v>2693</v>
      </c>
      <c r="L309" s="113" t="s">
        <v>619</v>
      </c>
      <c r="M309" s="142">
        <v>46195</v>
      </c>
      <c r="N309" s="143">
        <v>46206</v>
      </c>
      <c r="O309" s="140">
        <v>46205</v>
      </c>
      <c r="P309" s="116">
        <f t="shared" si="8"/>
        <v>10</v>
      </c>
      <c r="Q309" s="116">
        <f t="shared" si="9"/>
        <v>1</v>
      </c>
    </row>
    <row r="310" spans="1:17">
      <c r="A310" s="108">
        <v>309</v>
      </c>
      <c r="B310" s="109" t="s">
        <v>299</v>
      </c>
      <c r="C310" s="112"/>
      <c r="D310" s="109" t="s">
        <v>617</v>
      </c>
      <c r="E310" s="112"/>
      <c r="F310" s="110" t="s">
        <v>627</v>
      </c>
      <c r="G310" s="111">
        <v>1</v>
      </c>
      <c r="H310" s="112" t="s">
        <v>66</v>
      </c>
      <c r="I310" s="118">
        <v>4874</v>
      </c>
      <c r="J310" s="109"/>
      <c r="K310" s="118">
        <v>4874</v>
      </c>
      <c r="L310" s="113" t="s">
        <v>619</v>
      </c>
      <c r="M310" s="142">
        <v>46195</v>
      </c>
      <c r="N310" s="143">
        <v>46206</v>
      </c>
      <c r="O310" s="140">
        <v>46205</v>
      </c>
      <c r="P310" s="116">
        <f t="shared" si="8"/>
        <v>10</v>
      </c>
      <c r="Q310" s="116">
        <f t="shared" si="9"/>
        <v>1</v>
      </c>
    </row>
    <row r="311" spans="1:17">
      <c r="A311" s="108">
        <v>310</v>
      </c>
      <c r="B311" s="109" t="s">
        <v>299</v>
      </c>
      <c r="C311" s="112"/>
      <c r="D311" s="109" t="s">
        <v>617</v>
      </c>
      <c r="E311" s="112"/>
      <c r="F311" s="110" t="s">
        <v>628</v>
      </c>
      <c r="G311" s="111">
        <v>2</v>
      </c>
      <c r="H311" s="112" t="s">
        <v>66</v>
      </c>
      <c r="I311" s="118">
        <v>875</v>
      </c>
      <c r="J311" s="109"/>
      <c r="K311" s="118">
        <v>1750</v>
      </c>
      <c r="L311" s="113" t="s">
        <v>619</v>
      </c>
      <c r="M311" s="142">
        <v>46195</v>
      </c>
      <c r="N311" s="143">
        <v>46206</v>
      </c>
      <c r="O311" s="140">
        <v>46205</v>
      </c>
      <c r="P311" s="116">
        <f t="shared" si="8"/>
        <v>10</v>
      </c>
      <c r="Q311" s="116">
        <f t="shared" si="9"/>
        <v>1</v>
      </c>
    </row>
    <row r="312" spans="1:17">
      <c r="A312" s="108">
        <v>311</v>
      </c>
      <c r="B312" s="109" t="s">
        <v>629</v>
      </c>
      <c r="C312" s="112"/>
      <c r="D312" s="109" t="s">
        <v>80</v>
      </c>
      <c r="E312" s="112"/>
      <c r="F312" s="110" t="s">
        <v>630</v>
      </c>
      <c r="G312" s="111">
        <v>1</v>
      </c>
      <c r="H312" s="112" t="s">
        <v>66</v>
      </c>
      <c r="I312" s="118">
        <v>280</v>
      </c>
      <c r="J312" s="109"/>
      <c r="K312" s="118">
        <v>280</v>
      </c>
      <c r="L312" s="113" t="s">
        <v>631</v>
      </c>
      <c r="M312" s="142">
        <v>46198</v>
      </c>
      <c r="N312" s="143">
        <v>46210</v>
      </c>
      <c r="O312" s="140">
        <v>46209</v>
      </c>
      <c r="P312" s="116">
        <f t="shared" si="8"/>
        <v>11</v>
      </c>
      <c r="Q312" s="116">
        <f t="shared" si="9"/>
        <v>1</v>
      </c>
    </row>
    <row r="313" spans="1:17">
      <c r="A313" s="108">
        <v>312</v>
      </c>
      <c r="B313" s="109" t="s">
        <v>629</v>
      </c>
      <c r="C313" s="112"/>
      <c r="D313" s="109" t="s">
        <v>80</v>
      </c>
      <c r="E313" s="112"/>
      <c r="F313" s="110" t="s">
        <v>632</v>
      </c>
      <c r="G313" s="111">
        <v>1</v>
      </c>
      <c r="H313" s="112" t="s">
        <v>66</v>
      </c>
      <c r="I313" s="118">
        <v>280</v>
      </c>
      <c r="J313" s="109"/>
      <c r="K313" s="118">
        <v>280</v>
      </c>
      <c r="L313" s="113" t="s">
        <v>631</v>
      </c>
      <c r="M313" s="142">
        <v>46198</v>
      </c>
      <c r="N313" s="143">
        <v>46210</v>
      </c>
      <c r="O313" s="140">
        <v>46209</v>
      </c>
      <c r="P313" s="116">
        <f t="shared" si="8"/>
        <v>11</v>
      </c>
      <c r="Q313" s="116">
        <f t="shared" si="9"/>
        <v>1</v>
      </c>
    </row>
    <row r="314" spans="1:17">
      <c r="A314" s="108">
        <v>313</v>
      </c>
      <c r="B314" s="109" t="s">
        <v>629</v>
      </c>
      <c r="C314" s="112"/>
      <c r="D314" s="109" t="s">
        <v>80</v>
      </c>
      <c r="E314" s="112"/>
      <c r="F314" s="110" t="s">
        <v>633</v>
      </c>
      <c r="G314" s="111">
        <v>1</v>
      </c>
      <c r="H314" s="112" t="s">
        <v>66</v>
      </c>
      <c r="I314" s="118">
        <v>280</v>
      </c>
      <c r="J314" s="109"/>
      <c r="K314" s="118">
        <v>280</v>
      </c>
      <c r="L314" s="113" t="s">
        <v>631</v>
      </c>
      <c r="M314" s="142">
        <v>46198</v>
      </c>
      <c r="N314" s="143">
        <v>46210</v>
      </c>
      <c r="O314" s="140">
        <v>46209</v>
      </c>
      <c r="P314" s="116">
        <f t="shared" si="8"/>
        <v>11</v>
      </c>
      <c r="Q314" s="116">
        <f t="shared" si="9"/>
        <v>1</v>
      </c>
    </row>
    <row r="315" spans="1:17">
      <c r="A315" s="108">
        <v>314</v>
      </c>
      <c r="B315" s="109" t="s">
        <v>79</v>
      </c>
      <c r="C315" s="112"/>
      <c r="D315" s="109" t="s">
        <v>634</v>
      </c>
      <c r="E315" s="112"/>
      <c r="F315" s="110" t="s">
        <v>635</v>
      </c>
      <c r="G315" s="111">
        <v>1</v>
      </c>
      <c r="H315" s="112" t="s">
        <v>72</v>
      </c>
      <c r="I315" s="118">
        <v>1177</v>
      </c>
      <c r="J315" s="119">
        <v>236</v>
      </c>
      <c r="K315" s="118">
        <v>941</v>
      </c>
      <c r="L315" s="113" t="s">
        <v>636</v>
      </c>
      <c r="M315" s="142">
        <v>46204</v>
      </c>
      <c r="N315" s="143">
        <v>46212</v>
      </c>
      <c r="O315" s="140">
        <v>46211</v>
      </c>
      <c r="P315" s="116">
        <f t="shared" si="8"/>
        <v>7</v>
      </c>
      <c r="Q315" s="116">
        <f t="shared" si="9"/>
        <v>1</v>
      </c>
    </row>
    <row r="316" spans="1:17">
      <c r="A316" s="108">
        <v>315</v>
      </c>
      <c r="B316" s="109" t="s">
        <v>455</v>
      </c>
      <c r="C316" s="112"/>
      <c r="D316" s="109" t="s">
        <v>67</v>
      </c>
      <c r="E316" s="112"/>
      <c r="F316" s="110" t="s">
        <v>637</v>
      </c>
      <c r="G316" s="111">
        <v>2</v>
      </c>
      <c r="H316" s="112" t="s">
        <v>66</v>
      </c>
      <c r="I316" s="118">
        <v>377.52</v>
      </c>
      <c r="J316" s="109"/>
      <c r="K316" s="118">
        <v>755.04</v>
      </c>
      <c r="L316" s="113" t="s">
        <v>638</v>
      </c>
      <c r="M316" s="142">
        <v>46209</v>
      </c>
      <c r="N316" s="143">
        <v>46213</v>
      </c>
      <c r="O316" s="140">
        <v>46212</v>
      </c>
      <c r="P316" s="116">
        <f t="shared" si="8"/>
        <v>3</v>
      </c>
      <c r="Q316" s="116">
        <f t="shared" si="9"/>
        <v>1</v>
      </c>
    </row>
    <row r="317" spans="1:17">
      <c r="A317" s="108">
        <v>316</v>
      </c>
      <c r="B317" s="109" t="s">
        <v>455</v>
      </c>
      <c r="C317" s="112"/>
      <c r="D317" s="109" t="s">
        <v>456</v>
      </c>
      <c r="E317" s="112"/>
      <c r="F317" s="110" t="s">
        <v>639</v>
      </c>
      <c r="G317" s="111">
        <v>2</v>
      </c>
      <c r="H317" s="112" t="s">
        <v>66</v>
      </c>
      <c r="I317" s="118">
        <v>927.53</v>
      </c>
      <c r="J317" s="109"/>
      <c r="K317" s="118">
        <v>1855.06</v>
      </c>
      <c r="L317" s="113" t="s">
        <v>458</v>
      </c>
      <c r="M317" s="142">
        <v>46209</v>
      </c>
      <c r="N317" s="143">
        <v>46213</v>
      </c>
      <c r="O317" s="140">
        <v>46212</v>
      </c>
      <c r="P317" s="116">
        <f t="shared" si="8"/>
        <v>3</v>
      </c>
      <c r="Q317" s="116">
        <f t="shared" si="9"/>
        <v>1</v>
      </c>
    </row>
    <row r="318" spans="1:17">
      <c r="A318" s="108">
        <v>317</v>
      </c>
      <c r="B318" s="109" t="s">
        <v>318</v>
      </c>
      <c r="C318" s="112"/>
      <c r="D318" s="109" t="s">
        <v>452</v>
      </c>
      <c r="E318" s="112"/>
      <c r="F318" s="110" t="s">
        <v>640</v>
      </c>
      <c r="G318" s="111">
        <v>50</v>
      </c>
      <c r="H318" s="112" t="s">
        <v>66</v>
      </c>
      <c r="I318" s="118">
        <v>8</v>
      </c>
      <c r="J318" s="109"/>
      <c r="K318" s="118">
        <v>400</v>
      </c>
      <c r="L318" s="113" t="s">
        <v>641</v>
      </c>
      <c r="M318" s="142">
        <v>46209</v>
      </c>
      <c r="N318" s="143">
        <v>46213</v>
      </c>
      <c r="O318" s="140">
        <v>46212</v>
      </c>
      <c r="P318" s="116">
        <f t="shared" si="8"/>
        <v>3</v>
      </c>
      <c r="Q318" s="116">
        <f t="shared" si="9"/>
        <v>1</v>
      </c>
    </row>
    <row r="319" spans="1:17">
      <c r="A319" s="108">
        <v>318</v>
      </c>
      <c r="B319" s="109" t="s">
        <v>642</v>
      </c>
      <c r="C319" s="112"/>
      <c r="D319" s="109" t="s">
        <v>67</v>
      </c>
      <c r="E319" s="112"/>
      <c r="F319" s="110" t="s">
        <v>643</v>
      </c>
      <c r="G319" s="111">
        <v>2</v>
      </c>
      <c r="H319" s="112" t="s">
        <v>66</v>
      </c>
      <c r="I319" s="118">
        <v>260.58999999999997</v>
      </c>
      <c r="J319" s="109"/>
      <c r="K319" s="118">
        <v>521.17999999999995</v>
      </c>
      <c r="L319" s="113" t="s">
        <v>644</v>
      </c>
      <c r="M319" s="142">
        <v>46210</v>
      </c>
      <c r="N319" s="143">
        <v>46213</v>
      </c>
      <c r="O319" s="140">
        <v>46212</v>
      </c>
      <c r="P319" s="116">
        <f t="shared" si="8"/>
        <v>2</v>
      </c>
      <c r="Q319" s="116">
        <f t="shared" si="9"/>
        <v>1</v>
      </c>
    </row>
    <row r="320" spans="1:17">
      <c r="A320" s="108">
        <v>319</v>
      </c>
      <c r="B320" s="109" t="s">
        <v>645</v>
      </c>
      <c r="C320" s="112"/>
      <c r="D320" s="109" t="s">
        <v>67</v>
      </c>
      <c r="E320" s="112"/>
      <c r="F320" s="110" t="s">
        <v>646</v>
      </c>
      <c r="G320" s="111">
        <v>2</v>
      </c>
      <c r="H320" s="112" t="s">
        <v>63</v>
      </c>
      <c r="I320" s="118">
        <v>3271.63</v>
      </c>
      <c r="J320" s="109"/>
      <c r="K320" s="118">
        <v>6543.26</v>
      </c>
      <c r="L320" s="113" t="s">
        <v>647</v>
      </c>
      <c r="M320" s="142">
        <v>46210</v>
      </c>
      <c r="N320" s="143">
        <v>46213</v>
      </c>
      <c r="O320" s="140">
        <v>46212</v>
      </c>
      <c r="P320" s="116">
        <f t="shared" si="8"/>
        <v>2</v>
      </c>
      <c r="Q320" s="116">
        <f t="shared" si="9"/>
        <v>1</v>
      </c>
    </row>
    <row r="321" spans="1:17">
      <c r="A321" s="108">
        <v>320</v>
      </c>
      <c r="B321" s="109" t="s">
        <v>76</v>
      </c>
      <c r="C321" s="112"/>
      <c r="D321" s="109" t="s">
        <v>77</v>
      </c>
      <c r="E321" s="112"/>
      <c r="F321" s="110" t="s">
        <v>395</v>
      </c>
      <c r="G321" s="111">
        <v>2</v>
      </c>
      <c r="H321" s="112" t="s">
        <v>66</v>
      </c>
      <c r="I321" s="118">
        <v>170</v>
      </c>
      <c r="J321" s="109"/>
      <c r="K321" s="118">
        <v>340</v>
      </c>
      <c r="L321" s="113" t="s">
        <v>648</v>
      </c>
      <c r="M321" s="142">
        <v>46213</v>
      </c>
      <c r="N321" s="143">
        <v>46213</v>
      </c>
      <c r="O321" s="140">
        <v>46212</v>
      </c>
      <c r="P321" s="116">
        <f t="shared" si="8"/>
        <v>-1</v>
      </c>
      <c r="Q321" s="116">
        <f t="shared" si="9"/>
        <v>1</v>
      </c>
    </row>
    <row r="322" spans="1:17">
      <c r="A322" s="108">
        <v>321</v>
      </c>
      <c r="B322" s="109" t="s">
        <v>76</v>
      </c>
      <c r="C322" s="112"/>
      <c r="D322" s="109" t="s">
        <v>77</v>
      </c>
      <c r="E322" s="112"/>
      <c r="F322" s="110" t="s">
        <v>112</v>
      </c>
      <c r="G322" s="111">
        <v>2</v>
      </c>
      <c r="H322" s="112" t="s">
        <v>66</v>
      </c>
      <c r="I322" s="118">
        <v>350</v>
      </c>
      <c r="J322" s="109"/>
      <c r="K322" s="118">
        <v>700</v>
      </c>
      <c r="L322" s="113" t="s">
        <v>648</v>
      </c>
      <c r="M322" s="142">
        <v>46213</v>
      </c>
      <c r="N322" s="143">
        <v>46213</v>
      </c>
      <c r="O322" s="140">
        <v>46212</v>
      </c>
      <c r="P322" s="116">
        <f t="shared" ref="P322:P385" si="10">O322-M322</f>
        <v>-1</v>
      </c>
      <c r="Q322" s="116">
        <f t="shared" ref="Q322:Q385" si="11">N322-O322</f>
        <v>1</v>
      </c>
    </row>
    <row r="323" spans="1:17">
      <c r="A323" s="108">
        <v>322</v>
      </c>
      <c r="B323" s="109" t="s">
        <v>649</v>
      </c>
      <c r="C323" s="112"/>
      <c r="D323" s="109" t="s">
        <v>64</v>
      </c>
      <c r="E323" s="112"/>
      <c r="F323" s="110" t="s">
        <v>650</v>
      </c>
      <c r="G323" s="111">
        <v>1</v>
      </c>
      <c r="H323" s="112" t="s">
        <v>88</v>
      </c>
      <c r="I323" s="118">
        <v>245</v>
      </c>
      <c r="J323" s="109"/>
      <c r="K323" s="118">
        <v>245</v>
      </c>
      <c r="L323" s="113" t="s">
        <v>651</v>
      </c>
      <c r="M323" s="142">
        <v>46213</v>
      </c>
      <c r="N323" s="143">
        <v>46213</v>
      </c>
      <c r="O323" s="140">
        <v>46212</v>
      </c>
      <c r="P323" s="116">
        <f t="shared" si="10"/>
        <v>-1</v>
      </c>
      <c r="Q323" s="116">
        <f t="shared" si="11"/>
        <v>1</v>
      </c>
    </row>
    <row r="324" spans="1:17">
      <c r="A324" s="108">
        <v>323</v>
      </c>
      <c r="B324" s="109" t="s">
        <v>649</v>
      </c>
      <c r="C324" s="112"/>
      <c r="D324" s="109" t="s">
        <v>64</v>
      </c>
      <c r="E324" s="112"/>
      <c r="F324" s="110" t="s">
        <v>652</v>
      </c>
      <c r="G324" s="111">
        <v>1</v>
      </c>
      <c r="H324" s="112" t="s">
        <v>168</v>
      </c>
      <c r="I324" s="118">
        <v>1840</v>
      </c>
      <c r="J324" s="109"/>
      <c r="K324" s="118">
        <v>1840</v>
      </c>
      <c r="L324" s="113" t="s">
        <v>651</v>
      </c>
      <c r="M324" s="142">
        <v>46213</v>
      </c>
      <c r="N324" s="143">
        <v>46213</v>
      </c>
      <c r="O324" s="140">
        <v>46212</v>
      </c>
      <c r="P324" s="116">
        <f t="shared" si="10"/>
        <v>-1</v>
      </c>
      <c r="Q324" s="116">
        <f t="shared" si="11"/>
        <v>1</v>
      </c>
    </row>
    <row r="325" spans="1:17">
      <c r="A325" s="108">
        <v>324</v>
      </c>
      <c r="B325" s="109" t="s">
        <v>649</v>
      </c>
      <c r="C325" s="112"/>
      <c r="D325" s="109" t="s">
        <v>64</v>
      </c>
      <c r="E325" s="112"/>
      <c r="F325" s="110" t="s">
        <v>653</v>
      </c>
      <c r="G325" s="111">
        <v>2</v>
      </c>
      <c r="H325" s="112" t="s">
        <v>168</v>
      </c>
      <c r="I325" s="118">
        <v>16</v>
      </c>
      <c r="J325" s="109"/>
      <c r="K325" s="118">
        <v>32</v>
      </c>
      <c r="L325" s="113" t="s">
        <v>651</v>
      </c>
      <c r="M325" s="142">
        <v>46213</v>
      </c>
      <c r="N325" s="143">
        <v>46213</v>
      </c>
      <c r="O325" s="140">
        <v>46212</v>
      </c>
      <c r="P325" s="116">
        <f t="shared" si="10"/>
        <v>-1</v>
      </c>
      <c r="Q325" s="116">
        <f t="shared" si="11"/>
        <v>1</v>
      </c>
    </row>
    <row r="326" spans="1:17">
      <c r="A326" s="108">
        <v>325</v>
      </c>
      <c r="B326" s="109" t="s">
        <v>649</v>
      </c>
      <c r="C326" s="112"/>
      <c r="D326" s="109" t="s">
        <v>64</v>
      </c>
      <c r="E326" s="112"/>
      <c r="F326" s="110" t="s">
        <v>654</v>
      </c>
      <c r="G326" s="111">
        <v>2</v>
      </c>
      <c r="H326" s="112" t="s">
        <v>66</v>
      </c>
      <c r="I326" s="118">
        <v>67</v>
      </c>
      <c r="J326" s="109"/>
      <c r="K326" s="118">
        <v>134</v>
      </c>
      <c r="L326" s="113" t="s">
        <v>651</v>
      </c>
      <c r="M326" s="142">
        <v>46213</v>
      </c>
      <c r="N326" s="143">
        <v>46213</v>
      </c>
      <c r="O326" s="140">
        <v>46212</v>
      </c>
      <c r="P326" s="116">
        <f t="shared" si="10"/>
        <v>-1</v>
      </c>
      <c r="Q326" s="116">
        <f t="shared" si="11"/>
        <v>1</v>
      </c>
    </row>
    <row r="327" spans="1:17">
      <c r="A327" s="108">
        <v>326</v>
      </c>
      <c r="B327" s="109" t="s">
        <v>649</v>
      </c>
      <c r="C327" s="112"/>
      <c r="D327" s="109" t="s">
        <v>64</v>
      </c>
      <c r="E327" s="112"/>
      <c r="F327" s="110" t="s">
        <v>655</v>
      </c>
      <c r="G327" s="111">
        <v>2</v>
      </c>
      <c r="H327" s="112" t="s">
        <v>66</v>
      </c>
      <c r="I327" s="118">
        <v>5.5</v>
      </c>
      <c r="J327" s="109"/>
      <c r="K327" s="118">
        <v>11</v>
      </c>
      <c r="L327" s="113" t="s">
        <v>651</v>
      </c>
      <c r="M327" s="142">
        <v>46213</v>
      </c>
      <c r="N327" s="143">
        <v>46213</v>
      </c>
      <c r="O327" s="140">
        <v>46212</v>
      </c>
      <c r="P327" s="116">
        <f t="shared" si="10"/>
        <v>-1</v>
      </c>
      <c r="Q327" s="116">
        <f t="shared" si="11"/>
        <v>1</v>
      </c>
    </row>
    <row r="328" spans="1:17">
      <c r="A328" s="108">
        <v>327</v>
      </c>
      <c r="B328" s="109" t="s">
        <v>649</v>
      </c>
      <c r="C328" s="112"/>
      <c r="D328" s="109" t="s">
        <v>64</v>
      </c>
      <c r="E328" s="112"/>
      <c r="F328" s="110" t="s">
        <v>656</v>
      </c>
      <c r="G328" s="111">
        <v>2</v>
      </c>
      <c r="H328" s="112" t="s">
        <v>88</v>
      </c>
      <c r="I328" s="118">
        <v>40</v>
      </c>
      <c r="J328" s="109"/>
      <c r="K328" s="118">
        <v>80</v>
      </c>
      <c r="L328" s="113" t="s">
        <v>651</v>
      </c>
      <c r="M328" s="142">
        <v>46213</v>
      </c>
      <c r="N328" s="143">
        <v>46213</v>
      </c>
      <c r="O328" s="140">
        <v>46212</v>
      </c>
      <c r="P328" s="116">
        <f t="shared" si="10"/>
        <v>-1</v>
      </c>
      <c r="Q328" s="116">
        <f t="shared" si="11"/>
        <v>1</v>
      </c>
    </row>
    <row r="329" spans="1:17">
      <c r="A329" s="108">
        <v>328</v>
      </c>
      <c r="B329" s="109" t="s">
        <v>649</v>
      </c>
      <c r="C329" s="112"/>
      <c r="D329" s="109" t="s">
        <v>64</v>
      </c>
      <c r="E329" s="112"/>
      <c r="F329" s="110" t="s">
        <v>657</v>
      </c>
      <c r="G329" s="111">
        <v>3</v>
      </c>
      <c r="H329" s="112" t="s">
        <v>66</v>
      </c>
      <c r="I329" s="118">
        <v>14</v>
      </c>
      <c r="J329" s="109"/>
      <c r="K329" s="118">
        <v>42</v>
      </c>
      <c r="L329" s="113" t="s">
        <v>651</v>
      </c>
      <c r="M329" s="142">
        <v>46213</v>
      </c>
      <c r="N329" s="143">
        <v>46213</v>
      </c>
      <c r="O329" s="140">
        <v>46212</v>
      </c>
      <c r="P329" s="116">
        <f t="shared" si="10"/>
        <v>-1</v>
      </c>
      <c r="Q329" s="116">
        <f t="shared" si="11"/>
        <v>1</v>
      </c>
    </row>
    <row r="330" spans="1:17">
      <c r="A330" s="108">
        <v>329</v>
      </c>
      <c r="B330" s="109" t="s">
        <v>649</v>
      </c>
      <c r="C330" s="112"/>
      <c r="D330" s="109" t="s">
        <v>64</v>
      </c>
      <c r="E330" s="112"/>
      <c r="F330" s="110" t="s">
        <v>658</v>
      </c>
      <c r="G330" s="111">
        <v>2</v>
      </c>
      <c r="H330" s="112" t="s">
        <v>66</v>
      </c>
      <c r="I330" s="118">
        <v>13</v>
      </c>
      <c r="J330" s="109"/>
      <c r="K330" s="118">
        <v>26</v>
      </c>
      <c r="L330" s="113" t="s">
        <v>651</v>
      </c>
      <c r="M330" s="142">
        <v>46213</v>
      </c>
      <c r="N330" s="143">
        <v>46213</v>
      </c>
      <c r="O330" s="140">
        <v>46212</v>
      </c>
      <c r="P330" s="116">
        <f t="shared" si="10"/>
        <v>-1</v>
      </c>
      <c r="Q330" s="116">
        <f t="shared" si="11"/>
        <v>1</v>
      </c>
    </row>
    <row r="331" spans="1:17">
      <c r="A331" s="108">
        <v>330</v>
      </c>
      <c r="B331" s="109" t="s">
        <v>649</v>
      </c>
      <c r="C331" s="112"/>
      <c r="D331" s="109" t="s">
        <v>64</v>
      </c>
      <c r="E331" s="112"/>
      <c r="F331" s="110" t="s">
        <v>659</v>
      </c>
      <c r="G331" s="111">
        <v>2</v>
      </c>
      <c r="H331" s="112" t="s">
        <v>66</v>
      </c>
      <c r="I331" s="118">
        <v>50</v>
      </c>
      <c r="J331" s="109"/>
      <c r="K331" s="118">
        <v>100</v>
      </c>
      <c r="L331" s="113" t="s">
        <v>651</v>
      </c>
      <c r="M331" s="142">
        <v>46213</v>
      </c>
      <c r="N331" s="143">
        <v>46213</v>
      </c>
      <c r="O331" s="140">
        <v>46212</v>
      </c>
      <c r="P331" s="116">
        <f t="shared" si="10"/>
        <v>-1</v>
      </c>
      <c r="Q331" s="116">
        <f t="shared" si="11"/>
        <v>1</v>
      </c>
    </row>
    <row r="332" spans="1:17">
      <c r="A332" s="108">
        <v>331</v>
      </c>
      <c r="B332" s="109" t="s">
        <v>649</v>
      </c>
      <c r="C332" s="112"/>
      <c r="D332" s="109" t="s">
        <v>64</v>
      </c>
      <c r="E332" s="112"/>
      <c r="F332" s="110" t="s">
        <v>660</v>
      </c>
      <c r="G332" s="111">
        <v>3</v>
      </c>
      <c r="H332" s="112" t="s">
        <v>66</v>
      </c>
      <c r="I332" s="118">
        <v>20</v>
      </c>
      <c r="J332" s="109"/>
      <c r="K332" s="118">
        <v>60</v>
      </c>
      <c r="L332" s="113" t="s">
        <v>651</v>
      </c>
      <c r="M332" s="142">
        <v>46213</v>
      </c>
      <c r="N332" s="143">
        <v>46213</v>
      </c>
      <c r="O332" s="140">
        <v>46212</v>
      </c>
      <c r="P332" s="116">
        <f t="shared" si="10"/>
        <v>-1</v>
      </c>
      <c r="Q332" s="116">
        <f t="shared" si="11"/>
        <v>1</v>
      </c>
    </row>
    <row r="333" spans="1:17">
      <c r="A333" s="108">
        <v>332</v>
      </c>
      <c r="B333" s="109" t="s">
        <v>649</v>
      </c>
      <c r="C333" s="112"/>
      <c r="D333" s="109" t="s">
        <v>64</v>
      </c>
      <c r="E333" s="112"/>
      <c r="F333" s="110" t="s">
        <v>661</v>
      </c>
      <c r="G333" s="111">
        <v>4</v>
      </c>
      <c r="H333" s="112" t="s">
        <v>66</v>
      </c>
      <c r="I333" s="118">
        <v>12</v>
      </c>
      <c r="J333" s="109"/>
      <c r="K333" s="118">
        <v>48</v>
      </c>
      <c r="L333" s="113" t="s">
        <v>651</v>
      </c>
      <c r="M333" s="142">
        <v>46213</v>
      </c>
      <c r="N333" s="143">
        <v>46213</v>
      </c>
      <c r="O333" s="140">
        <v>46212</v>
      </c>
      <c r="P333" s="116">
        <f t="shared" si="10"/>
        <v>-1</v>
      </c>
      <c r="Q333" s="116">
        <f t="shared" si="11"/>
        <v>1</v>
      </c>
    </row>
    <row r="334" spans="1:17">
      <c r="A334" s="108">
        <v>333</v>
      </c>
      <c r="B334" s="109" t="s">
        <v>662</v>
      </c>
      <c r="C334" s="112"/>
      <c r="D334" s="109" t="s">
        <v>70</v>
      </c>
      <c r="E334" s="112"/>
      <c r="F334" s="110" t="s">
        <v>663</v>
      </c>
      <c r="G334" s="111">
        <v>1</v>
      </c>
      <c r="H334" s="112" t="s">
        <v>74</v>
      </c>
      <c r="I334" s="118">
        <v>320</v>
      </c>
      <c r="J334" s="109"/>
      <c r="K334" s="118">
        <v>320</v>
      </c>
      <c r="L334" s="113" t="s">
        <v>664</v>
      </c>
      <c r="M334" s="142">
        <v>46213</v>
      </c>
      <c r="N334" s="143">
        <v>46213</v>
      </c>
      <c r="O334" s="140">
        <v>46212</v>
      </c>
      <c r="P334" s="116">
        <f t="shared" si="10"/>
        <v>-1</v>
      </c>
      <c r="Q334" s="116">
        <f t="shared" si="11"/>
        <v>1</v>
      </c>
    </row>
    <row r="335" spans="1:17">
      <c r="A335" s="108">
        <v>334</v>
      </c>
      <c r="B335" s="109" t="s">
        <v>665</v>
      </c>
      <c r="C335" s="112"/>
      <c r="D335" s="109" t="s">
        <v>666</v>
      </c>
      <c r="E335" s="112"/>
      <c r="F335" s="110" t="s">
        <v>667</v>
      </c>
      <c r="G335" s="111">
        <v>1</v>
      </c>
      <c r="H335" s="112" t="s">
        <v>66</v>
      </c>
      <c r="I335" s="118">
        <v>17865.419999999998</v>
      </c>
      <c r="J335" s="109"/>
      <c r="K335" s="118">
        <v>17865.419999999998</v>
      </c>
      <c r="L335" s="113" t="s">
        <v>668</v>
      </c>
      <c r="M335" s="142">
        <v>46210</v>
      </c>
      <c r="N335" s="143">
        <v>46213</v>
      </c>
      <c r="O335" s="140">
        <v>46212</v>
      </c>
      <c r="P335" s="116">
        <f t="shared" si="10"/>
        <v>2</v>
      </c>
      <c r="Q335" s="116">
        <f t="shared" si="11"/>
        <v>1</v>
      </c>
    </row>
    <row r="336" spans="1:17">
      <c r="A336" s="108">
        <v>335</v>
      </c>
      <c r="B336" s="109" t="s">
        <v>455</v>
      </c>
      <c r="C336" s="112"/>
      <c r="D336" s="109" t="s">
        <v>67</v>
      </c>
      <c r="E336" s="112"/>
      <c r="F336" s="110" t="s">
        <v>669</v>
      </c>
      <c r="G336" s="111">
        <v>1</v>
      </c>
      <c r="H336" s="112" t="s">
        <v>66</v>
      </c>
      <c r="I336" s="118">
        <v>1577.03</v>
      </c>
      <c r="J336" s="109"/>
      <c r="K336" s="118">
        <v>1577.03</v>
      </c>
      <c r="L336" s="113" t="s">
        <v>638</v>
      </c>
      <c r="M336" s="142">
        <v>46209</v>
      </c>
      <c r="N336" s="143">
        <v>46213</v>
      </c>
      <c r="O336" s="140">
        <v>46212</v>
      </c>
      <c r="P336" s="116">
        <f t="shared" si="10"/>
        <v>3</v>
      </c>
      <c r="Q336" s="116">
        <f t="shared" si="11"/>
        <v>1</v>
      </c>
    </row>
    <row r="337" spans="1:17">
      <c r="A337" s="108">
        <v>336</v>
      </c>
      <c r="B337" s="109" t="s">
        <v>670</v>
      </c>
      <c r="C337" s="112"/>
      <c r="D337" s="109" t="s">
        <v>67</v>
      </c>
      <c r="E337" s="112"/>
      <c r="F337" s="110" t="s">
        <v>671</v>
      </c>
      <c r="G337" s="111">
        <v>4</v>
      </c>
      <c r="H337" s="112" t="s">
        <v>63</v>
      </c>
      <c r="I337" s="118">
        <v>340.51</v>
      </c>
      <c r="J337" s="109"/>
      <c r="K337" s="118">
        <v>1362.04</v>
      </c>
      <c r="L337" s="113" t="s">
        <v>672</v>
      </c>
      <c r="M337" s="142">
        <v>46203</v>
      </c>
      <c r="N337" s="143">
        <v>46218</v>
      </c>
      <c r="O337" s="140">
        <v>46217</v>
      </c>
      <c r="P337" s="116">
        <f t="shared" si="10"/>
        <v>14</v>
      </c>
      <c r="Q337" s="116">
        <f t="shared" si="11"/>
        <v>1</v>
      </c>
    </row>
    <row r="338" spans="1:17">
      <c r="A338" s="108">
        <v>337</v>
      </c>
      <c r="B338" s="109" t="s">
        <v>337</v>
      </c>
      <c r="C338" s="112"/>
      <c r="D338" s="109" t="s">
        <v>109</v>
      </c>
      <c r="E338" s="112"/>
      <c r="F338" s="110" t="s">
        <v>673</v>
      </c>
      <c r="G338" s="111">
        <v>1</v>
      </c>
      <c r="H338" s="112" t="s">
        <v>66</v>
      </c>
      <c r="I338" s="118">
        <v>495</v>
      </c>
      <c r="J338" s="109"/>
      <c r="K338" s="118">
        <v>495</v>
      </c>
      <c r="L338" s="113" t="s">
        <v>674</v>
      </c>
      <c r="M338" s="142">
        <v>46219</v>
      </c>
      <c r="N338" s="143">
        <v>46226</v>
      </c>
      <c r="O338" s="140">
        <v>46225</v>
      </c>
      <c r="P338" s="116">
        <f t="shared" si="10"/>
        <v>6</v>
      </c>
      <c r="Q338" s="116">
        <f t="shared" si="11"/>
        <v>1</v>
      </c>
    </row>
    <row r="339" spans="1:17">
      <c r="A339" s="108">
        <v>338</v>
      </c>
      <c r="B339" s="109" t="s">
        <v>259</v>
      </c>
      <c r="C339" s="112"/>
      <c r="D339" s="109" t="s">
        <v>73</v>
      </c>
      <c r="E339" s="112"/>
      <c r="F339" s="110" t="s">
        <v>675</v>
      </c>
      <c r="G339" s="111">
        <v>1</v>
      </c>
      <c r="H339" s="112" t="s">
        <v>66</v>
      </c>
      <c r="I339" s="118">
        <v>880</v>
      </c>
      <c r="J339" s="109"/>
      <c r="K339" s="118">
        <v>880</v>
      </c>
      <c r="L339" s="113" t="s">
        <v>676</v>
      </c>
      <c r="M339" s="142">
        <v>46223</v>
      </c>
      <c r="N339" s="143">
        <v>46227</v>
      </c>
      <c r="O339" s="140">
        <v>46226</v>
      </c>
      <c r="P339" s="116">
        <f t="shared" si="10"/>
        <v>3</v>
      </c>
      <c r="Q339" s="116">
        <f t="shared" si="11"/>
        <v>1</v>
      </c>
    </row>
    <row r="340" spans="1:17">
      <c r="A340" s="108">
        <v>339</v>
      </c>
      <c r="B340" s="154" t="s">
        <v>677</v>
      </c>
      <c r="C340" s="155"/>
      <c r="D340" s="154" t="s">
        <v>64</v>
      </c>
      <c r="E340" s="155" t="s">
        <v>678</v>
      </c>
      <c r="F340" s="154" t="s">
        <v>679</v>
      </c>
      <c r="G340" s="156">
        <v>4</v>
      </c>
      <c r="H340" s="155" t="s">
        <v>66</v>
      </c>
      <c r="I340" s="157">
        <v>50</v>
      </c>
      <c r="J340" s="157">
        <v>0</v>
      </c>
      <c r="K340" s="157">
        <v>200</v>
      </c>
      <c r="L340" s="158" t="s">
        <v>680</v>
      </c>
      <c r="M340" s="159">
        <v>46227</v>
      </c>
      <c r="N340" s="160">
        <v>46227</v>
      </c>
      <c r="O340" s="140">
        <v>46226</v>
      </c>
      <c r="P340" s="116">
        <f t="shared" si="10"/>
        <v>-1</v>
      </c>
      <c r="Q340" s="116">
        <f t="shared" si="11"/>
        <v>1</v>
      </c>
    </row>
    <row r="341" spans="1:17">
      <c r="A341" s="108">
        <v>340</v>
      </c>
      <c r="B341" s="154" t="s">
        <v>677</v>
      </c>
      <c r="C341" s="155"/>
      <c r="D341" s="154" t="s">
        <v>64</v>
      </c>
      <c r="E341" s="155" t="s">
        <v>681</v>
      </c>
      <c r="F341" s="154" t="s">
        <v>682</v>
      </c>
      <c r="G341" s="156">
        <v>1</v>
      </c>
      <c r="H341" s="155" t="s">
        <v>168</v>
      </c>
      <c r="I341" s="157">
        <v>2245</v>
      </c>
      <c r="J341" s="157">
        <v>0</v>
      </c>
      <c r="K341" s="157">
        <v>2245</v>
      </c>
      <c r="L341" s="158" t="s">
        <v>680</v>
      </c>
      <c r="M341" s="159">
        <v>46227</v>
      </c>
      <c r="N341" s="160">
        <v>46227</v>
      </c>
      <c r="O341" s="140">
        <v>46226</v>
      </c>
      <c r="P341" s="116">
        <f t="shared" si="10"/>
        <v>-1</v>
      </c>
      <c r="Q341" s="116">
        <f t="shared" si="11"/>
        <v>1</v>
      </c>
    </row>
    <row r="342" spans="1:17">
      <c r="A342" s="108">
        <v>341</v>
      </c>
      <c r="B342" s="154" t="s">
        <v>677</v>
      </c>
      <c r="C342" s="155"/>
      <c r="D342" s="154" t="s">
        <v>64</v>
      </c>
      <c r="E342" s="155" t="s">
        <v>683</v>
      </c>
      <c r="F342" s="154" t="s">
        <v>684</v>
      </c>
      <c r="G342" s="156">
        <v>2</v>
      </c>
      <c r="H342" s="155" t="s">
        <v>66</v>
      </c>
      <c r="I342" s="157">
        <v>50</v>
      </c>
      <c r="J342" s="157">
        <v>0</v>
      </c>
      <c r="K342" s="157">
        <v>100</v>
      </c>
      <c r="L342" s="158" t="s">
        <v>685</v>
      </c>
      <c r="M342" s="159">
        <v>46227</v>
      </c>
      <c r="N342" s="160">
        <v>46227</v>
      </c>
      <c r="O342" s="140">
        <v>46226</v>
      </c>
      <c r="P342" s="116">
        <f t="shared" si="10"/>
        <v>-1</v>
      </c>
      <c r="Q342" s="116">
        <f t="shared" si="11"/>
        <v>1</v>
      </c>
    </row>
    <row r="343" spans="1:17">
      <c r="A343" s="108">
        <v>342</v>
      </c>
      <c r="B343" s="154" t="s">
        <v>677</v>
      </c>
      <c r="C343" s="155"/>
      <c r="D343" s="154" t="s">
        <v>64</v>
      </c>
      <c r="E343" s="155" t="s">
        <v>686</v>
      </c>
      <c r="F343" s="154" t="s">
        <v>687</v>
      </c>
      <c r="G343" s="156">
        <v>1</v>
      </c>
      <c r="H343" s="155" t="s">
        <v>88</v>
      </c>
      <c r="I343" s="157">
        <v>21</v>
      </c>
      <c r="J343" s="157">
        <v>0</v>
      </c>
      <c r="K343" s="157">
        <v>21</v>
      </c>
      <c r="L343" s="158" t="s">
        <v>685</v>
      </c>
      <c r="M343" s="159">
        <v>46227</v>
      </c>
      <c r="N343" s="160">
        <v>46227</v>
      </c>
      <c r="O343" s="140">
        <v>46226</v>
      </c>
      <c r="P343" s="116">
        <f t="shared" si="10"/>
        <v>-1</v>
      </c>
      <c r="Q343" s="116">
        <f t="shared" si="11"/>
        <v>1</v>
      </c>
    </row>
    <row r="344" spans="1:17">
      <c r="A344" s="108">
        <v>343</v>
      </c>
      <c r="B344" s="154" t="s">
        <v>688</v>
      </c>
      <c r="C344" s="155" t="s">
        <v>689</v>
      </c>
      <c r="D344" s="154" t="s">
        <v>405</v>
      </c>
      <c r="E344" s="155" t="s">
        <v>690</v>
      </c>
      <c r="F344" s="154" t="s">
        <v>691</v>
      </c>
      <c r="G344" s="156">
        <v>1</v>
      </c>
      <c r="H344" s="155" t="s">
        <v>66</v>
      </c>
      <c r="I344" s="157">
        <v>3500</v>
      </c>
      <c r="J344" s="157">
        <v>583.33000000000004</v>
      </c>
      <c r="K344" s="157">
        <v>2916.67</v>
      </c>
      <c r="L344" s="158" t="s">
        <v>692</v>
      </c>
      <c r="M344" s="159">
        <v>46226</v>
      </c>
      <c r="N344" s="160">
        <v>46227</v>
      </c>
      <c r="O344" s="140">
        <v>46226</v>
      </c>
      <c r="P344" s="116">
        <f t="shared" si="10"/>
        <v>0</v>
      </c>
      <c r="Q344" s="116">
        <f t="shared" si="11"/>
        <v>1</v>
      </c>
    </row>
    <row r="345" spans="1:17">
      <c r="A345" s="108">
        <v>344</v>
      </c>
      <c r="B345" s="154" t="s">
        <v>688</v>
      </c>
      <c r="C345" s="155" t="s">
        <v>689</v>
      </c>
      <c r="D345" s="154" t="s">
        <v>405</v>
      </c>
      <c r="E345" s="155" t="s">
        <v>693</v>
      </c>
      <c r="F345" s="154" t="s">
        <v>694</v>
      </c>
      <c r="G345" s="156">
        <v>1</v>
      </c>
      <c r="H345" s="155" t="s">
        <v>66</v>
      </c>
      <c r="I345" s="157">
        <v>1300</v>
      </c>
      <c r="J345" s="157">
        <v>216.67</v>
      </c>
      <c r="K345" s="157">
        <v>1083.33</v>
      </c>
      <c r="L345" s="158" t="s">
        <v>692</v>
      </c>
      <c r="M345" s="159">
        <v>46226</v>
      </c>
      <c r="N345" s="160">
        <v>46227</v>
      </c>
      <c r="O345" s="140">
        <v>46226</v>
      </c>
      <c r="P345" s="116">
        <f t="shared" si="10"/>
        <v>0</v>
      </c>
      <c r="Q345" s="116">
        <f t="shared" si="11"/>
        <v>1</v>
      </c>
    </row>
    <row r="346" spans="1:17">
      <c r="A346" s="108">
        <v>345</v>
      </c>
      <c r="B346" s="154" t="s">
        <v>695</v>
      </c>
      <c r="C346" s="155" t="s">
        <v>696</v>
      </c>
      <c r="D346" s="154" t="s">
        <v>189</v>
      </c>
      <c r="E346" s="155" t="s">
        <v>697</v>
      </c>
      <c r="F346" s="154" t="s">
        <v>698</v>
      </c>
      <c r="G346" s="156">
        <v>1</v>
      </c>
      <c r="H346" s="155" t="s">
        <v>66</v>
      </c>
      <c r="I346" s="157">
        <v>5500</v>
      </c>
      <c r="J346" s="157">
        <v>0</v>
      </c>
      <c r="K346" s="157">
        <v>5500</v>
      </c>
      <c r="L346" s="158" t="s">
        <v>699</v>
      </c>
      <c r="M346" s="159">
        <v>46226</v>
      </c>
      <c r="N346" s="160">
        <v>46231</v>
      </c>
      <c r="O346" s="140">
        <v>46230</v>
      </c>
      <c r="P346" s="116">
        <f t="shared" si="10"/>
        <v>4</v>
      </c>
      <c r="Q346" s="116">
        <f t="shared" si="11"/>
        <v>1</v>
      </c>
    </row>
    <row r="347" spans="1:17">
      <c r="A347" s="108">
        <v>346</v>
      </c>
      <c r="B347" s="109" t="s">
        <v>700</v>
      </c>
      <c r="C347" s="112"/>
      <c r="D347" s="109" t="s">
        <v>296</v>
      </c>
      <c r="E347" s="112"/>
      <c r="F347" s="110" t="s">
        <v>701</v>
      </c>
      <c r="G347" s="111">
        <v>2</v>
      </c>
      <c r="H347" s="112" t="s">
        <v>66</v>
      </c>
      <c r="I347" s="118">
        <v>2900</v>
      </c>
      <c r="J347" s="109"/>
      <c r="K347" s="118">
        <v>5800</v>
      </c>
      <c r="L347" s="113" t="s">
        <v>702</v>
      </c>
      <c r="M347" s="142">
        <v>46220</v>
      </c>
      <c r="N347" s="143">
        <v>46234</v>
      </c>
      <c r="O347" s="140">
        <v>46233</v>
      </c>
      <c r="P347" s="116">
        <f t="shared" si="10"/>
        <v>13</v>
      </c>
      <c r="Q347" s="116">
        <f t="shared" si="11"/>
        <v>1</v>
      </c>
    </row>
    <row r="348" spans="1:17">
      <c r="A348" s="108">
        <v>347</v>
      </c>
      <c r="B348" s="109" t="s">
        <v>700</v>
      </c>
      <c r="C348" s="112"/>
      <c r="D348" s="109" t="s">
        <v>296</v>
      </c>
      <c r="E348" s="112"/>
      <c r="F348" s="110" t="s">
        <v>703</v>
      </c>
      <c r="G348" s="111">
        <v>1</v>
      </c>
      <c r="H348" s="112" t="s">
        <v>66</v>
      </c>
      <c r="I348" s="118">
        <v>9300</v>
      </c>
      <c r="J348" s="109"/>
      <c r="K348" s="118">
        <v>9300</v>
      </c>
      <c r="L348" s="113" t="s">
        <v>702</v>
      </c>
      <c r="M348" s="142">
        <v>46220</v>
      </c>
      <c r="N348" s="143">
        <v>46234</v>
      </c>
      <c r="O348" s="140">
        <v>46233</v>
      </c>
      <c r="P348" s="116">
        <f t="shared" si="10"/>
        <v>13</v>
      </c>
      <c r="Q348" s="116">
        <f t="shared" si="11"/>
        <v>1</v>
      </c>
    </row>
    <row r="349" spans="1:17">
      <c r="A349" s="108">
        <v>348</v>
      </c>
      <c r="B349" s="109" t="s">
        <v>704</v>
      </c>
      <c r="C349" s="112" t="s">
        <v>705</v>
      </c>
      <c r="D349" s="109" t="s">
        <v>165</v>
      </c>
      <c r="E349" s="112" t="s">
        <v>706</v>
      </c>
      <c r="F349" s="110" t="s">
        <v>707</v>
      </c>
      <c r="G349" s="111">
        <v>16</v>
      </c>
      <c r="H349" s="112" t="s">
        <v>606</v>
      </c>
      <c r="I349" s="118">
        <v>18.5</v>
      </c>
      <c r="J349" s="109"/>
      <c r="K349" s="118">
        <v>296</v>
      </c>
      <c r="L349" s="113" t="s">
        <v>708</v>
      </c>
      <c r="M349" s="114">
        <v>46230</v>
      </c>
      <c r="N349" s="115">
        <v>46234</v>
      </c>
      <c r="O349" s="140">
        <v>46233</v>
      </c>
      <c r="P349" s="116">
        <f t="shared" si="10"/>
        <v>3</v>
      </c>
      <c r="Q349" s="116">
        <f t="shared" si="11"/>
        <v>1</v>
      </c>
    </row>
    <row r="350" spans="1:17">
      <c r="A350" s="108">
        <v>349</v>
      </c>
      <c r="B350" s="109" t="s">
        <v>704</v>
      </c>
      <c r="C350" s="112" t="s">
        <v>705</v>
      </c>
      <c r="D350" s="109" t="s">
        <v>165</v>
      </c>
      <c r="E350" s="112" t="s">
        <v>709</v>
      </c>
      <c r="F350" s="110" t="s">
        <v>710</v>
      </c>
      <c r="G350" s="111">
        <v>1</v>
      </c>
      <c r="H350" s="112" t="s">
        <v>606</v>
      </c>
      <c r="I350" s="118">
        <v>25</v>
      </c>
      <c r="J350" s="109"/>
      <c r="K350" s="118">
        <v>25</v>
      </c>
      <c r="L350" s="113" t="s">
        <v>708</v>
      </c>
      <c r="M350" s="114">
        <v>46230</v>
      </c>
      <c r="N350" s="115">
        <v>46234</v>
      </c>
      <c r="O350" s="140">
        <v>46233</v>
      </c>
      <c r="P350" s="116">
        <f t="shared" si="10"/>
        <v>3</v>
      </c>
      <c r="Q350" s="116">
        <f t="shared" si="11"/>
        <v>1</v>
      </c>
    </row>
    <row r="351" spans="1:17">
      <c r="A351" s="108">
        <v>350</v>
      </c>
      <c r="B351" s="109" t="s">
        <v>704</v>
      </c>
      <c r="C351" s="112" t="s">
        <v>705</v>
      </c>
      <c r="D351" s="109" t="s">
        <v>165</v>
      </c>
      <c r="E351" s="112" t="s">
        <v>709</v>
      </c>
      <c r="F351" s="110" t="s">
        <v>711</v>
      </c>
      <c r="G351" s="111">
        <v>2</v>
      </c>
      <c r="H351" s="112" t="s">
        <v>606</v>
      </c>
      <c r="I351" s="118">
        <v>44</v>
      </c>
      <c r="J351" s="109"/>
      <c r="K351" s="118">
        <v>88</v>
      </c>
      <c r="L351" s="113" t="s">
        <v>708</v>
      </c>
      <c r="M351" s="114">
        <v>46230</v>
      </c>
      <c r="N351" s="115">
        <v>46234</v>
      </c>
      <c r="O351" s="140">
        <v>46233</v>
      </c>
      <c r="P351" s="116">
        <f t="shared" si="10"/>
        <v>3</v>
      </c>
      <c r="Q351" s="116">
        <f t="shared" si="11"/>
        <v>1</v>
      </c>
    </row>
    <row r="352" spans="1:17">
      <c r="A352" s="108">
        <v>351</v>
      </c>
      <c r="B352" s="109" t="s">
        <v>629</v>
      </c>
      <c r="C352" s="112"/>
      <c r="D352" s="109" t="s">
        <v>84</v>
      </c>
      <c r="E352" s="112"/>
      <c r="F352" s="110" t="s">
        <v>712</v>
      </c>
      <c r="G352" s="111">
        <v>4</v>
      </c>
      <c r="H352" s="112" t="s">
        <v>66</v>
      </c>
      <c r="I352" s="118">
        <v>280</v>
      </c>
      <c r="J352" s="109"/>
      <c r="K352" s="118">
        <v>1120</v>
      </c>
      <c r="L352" s="113" t="s">
        <v>713</v>
      </c>
      <c r="M352" s="142">
        <v>46197</v>
      </c>
      <c r="N352" s="143">
        <v>46206</v>
      </c>
      <c r="O352" s="140">
        <v>46204</v>
      </c>
      <c r="P352" s="116">
        <f t="shared" si="10"/>
        <v>7</v>
      </c>
      <c r="Q352" s="116">
        <f t="shared" si="11"/>
        <v>2</v>
      </c>
    </row>
    <row r="353" spans="1:17">
      <c r="A353" s="108">
        <v>352</v>
      </c>
      <c r="B353" s="109" t="s">
        <v>629</v>
      </c>
      <c r="C353" s="112"/>
      <c r="D353" s="109" t="s">
        <v>84</v>
      </c>
      <c r="E353" s="112"/>
      <c r="F353" s="110" t="s">
        <v>714</v>
      </c>
      <c r="G353" s="111">
        <v>10</v>
      </c>
      <c r="H353" s="112" t="s">
        <v>66</v>
      </c>
      <c r="I353" s="118">
        <v>10.25</v>
      </c>
      <c r="J353" s="109"/>
      <c r="K353" s="118">
        <v>102.5</v>
      </c>
      <c r="L353" s="113" t="s">
        <v>713</v>
      </c>
      <c r="M353" s="142">
        <v>46197</v>
      </c>
      <c r="N353" s="143">
        <v>46206</v>
      </c>
      <c r="O353" s="140">
        <v>46204</v>
      </c>
      <c r="P353" s="116">
        <f t="shared" si="10"/>
        <v>7</v>
      </c>
      <c r="Q353" s="116">
        <f t="shared" si="11"/>
        <v>2</v>
      </c>
    </row>
    <row r="354" spans="1:17">
      <c r="A354" s="108">
        <v>353</v>
      </c>
      <c r="B354" s="109" t="s">
        <v>629</v>
      </c>
      <c r="C354" s="112"/>
      <c r="D354" s="109" t="s">
        <v>84</v>
      </c>
      <c r="E354" s="112"/>
      <c r="F354" s="110" t="s">
        <v>715</v>
      </c>
      <c r="G354" s="111">
        <v>20</v>
      </c>
      <c r="H354" s="112" t="s">
        <v>66</v>
      </c>
      <c r="I354" s="118">
        <v>60</v>
      </c>
      <c r="J354" s="109"/>
      <c r="K354" s="118">
        <v>1200</v>
      </c>
      <c r="L354" s="113" t="s">
        <v>713</v>
      </c>
      <c r="M354" s="142">
        <v>46197</v>
      </c>
      <c r="N354" s="143">
        <v>46206</v>
      </c>
      <c r="O354" s="140">
        <v>46204</v>
      </c>
      <c r="P354" s="116">
        <f t="shared" si="10"/>
        <v>7</v>
      </c>
      <c r="Q354" s="116">
        <f t="shared" si="11"/>
        <v>2</v>
      </c>
    </row>
    <row r="355" spans="1:17">
      <c r="A355" s="108">
        <v>354</v>
      </c>
      <c r="B355" s="109" t="s">
        <v>629</v>
      </c>
      <c r="C355" s="112"/>
      <c r="D355" s="109" t="s">
        <v>84</v>
      </c>
      <c r="E355" s="112"/>
      <c r="F355" s="110" t="s">
        <v>716</v>
      </c>
      <c r="G355" s="111">
        <v>2</v>
      </c>
      <c r="H355" s="112" t="s">
        <v>66</v>
      </c>
      <c r="I355" s="118">
        <v>26.2</v>
      </c>
      <c r="J355" s="109"/>
      <c r="K355" s="118">
        <v>52.4</v>
      </c>
      <c r="L355" s="113" t="s">
        <v>713</v>
      </c>
      <c r="M355" s="142">
        <v>46197</v>
      </c>
      <c r="N355" s="143">
        <v>46206</v>
      </c>
      <c r="O355" s="140">
        <v>46204</v>
      </c>
      <c r="P355" s="116">
        <f t="shared" si="10"/>
        <v>7</v>
      </c>
      <c r="Q355" s="116">
        <f t="shared" si="11"/>
        <v>2</v>
      </c>
    </row>
    <row r="356" spans="1:17">
      <c r="A356" s="108">
        <v>355</v>
      </c>
      <c r="B356" s="109" t="s">
        <v>629</v>
      </c>
      <c r="C356" s="112"/>
      <c r="D356" s="109" t="s">
        <v>84</v>
      </c>
      <c r="E356" s="112"/>
      <c r="F356" s="110" t="s">
        <v>717</v>
      </c>
      <c r="G356" s="111">
        <v>20</v>
      </c>
      <c r="H356" s="112" t="s">
        <v>66</v>
      </c>
      <c r="I356" s="118">
        <v>23</v>
      </c>
      <c r="J356" s="109"/>
      <c r="K356" s="118">
        <v>460</v>
      </c>
      <c r="L356" s="113" t="s">
        <v>713</v>
      </c>
      <c r="M356" s="142">
        <v>46197</v>
      </c>
      <c r="N356" s="143">
        <v>46206</v>
      </c>
      <c r="O356" s="140">
        <v>46204</v>
      </c>
      <c r="P356" s="116">
        <f t="shared" si="10"/>
        <v>7</v>
      </c>
      <c r="Q356" s="116">
        <f t="shared" si="11"/>
        <v>2</v>
      </c>
    </row>
    <row r="357" spans="1:17">
      <c r="A357" s="108">
        <v>356</v>
      </c>
      <c r="B357" s="109" t="s">
        <v>629</v>
      </c>
      <c r="C357" s="112"/>
      <c r="D357" s="109" t="s">
        <v>84</v>
      </c>
      <c r="E357" s="112"/>
      <c r="F357" s="110" t="s">
        <v>718</v>
      </c>
      <c r="G357" s="111">
        <v>10</v>
      </c>
      <c r="H357" s="112" t="s">
        <v>66</v>
      </c>
      <c r="I357" s="118">
        <v>10.3</v>
      </c>
      <c r="J357" s="109"/>
      <c r="K357" s="118">
        <v>103</v>
      </c>
      <c r="L357" s="113" t="s">
        <v>713</v>
      </c>
      <c r="M357" s="142">
        <v>46197</v>
      </c>
      <c r="N357" s="143">
        <v>46206</v>
      </c>
      <c r="O357" s="140">
        <v>46204</v>
      </c>
      <c r="P357" s="116">
        <f t="shared" si="10"/>
        <v>7</v>
      </c>
      <c r="Q357" s="116">
        <f t="shared" si="11"/>
        <v>2</v>
      </c>
    </row>
    <row r="358" spans="1:17">
      <c r="A358" s="108">
        <v>357</v>
      </c>
      <c r="B358" s="109" t="s">
        <v>629</v>
      </c>
      <c r="C358" s="112"/>
      <c r="D358" s="109" t="s">
        <v>84</v>
      </c>
      <c r="E358" s="112"/>
      <c r="F358" s="110" t="s">
        <v>719</v>
      </c>
      <c r="G358" s="111">
        <v>2</v>
      </c>
      <c r="H358" s="112" t="s">
        <v>66</v>
      </c>
      <c r="I358" s="118">
        <v>170</v>
      </c>
      <c r="J358" s="109"/>
      <c r="K358" s="118">
        <v>340</v>
      </c>
      <c r="L358" s="113" t="s">
        <v>713</v>
      </c>
      <c r="M358" s="142">
        <v>46197</v>
      </c>
      <c r="N358" s="143">
        <v>46206</v>
      </c>
      <c r="O358" s="140">
        <v>46204</v>
      </c>
      <c r="P358" s="116">
        <f t="shared" si="10"/>
        <v>7</v>
      </c>
      <c r="Q358" s="116">
        <f t="shared" si="11"/>
        <v>2</v>
      </c>
    </row>
    <row r="359" spans="1:17">
      <c r="A359" s="108">
        <v>358</v>
      </c>
      <c r="B359" s="109" t="s">
        <v>629</v>
      </c>
      <c r="C359" s="112"/>
      <c r="D359" s="109" t="s">
        <v>84</v>
      </c>
      <c r="E359" s="112"/>
      <c r="F359" s="110" t="s">
        <v>720</v>
      </c>
      <c r="G359" s="111">
        <v>5</v>
      </c>
      <c r="H359" s="112" t="s">
        <v>66</v>
      </c>
      <c r="I359" s="118">
        <v>190</v>
      </c>
      <c r="J359" s="109"/>
      <c r="K359" s="118">
        <v>950</v>
      </c>
      <c r="L359" s="113" t="s">
        <v>713</v>
      </c>
      <c r="M359" s="142">
        <v>46197</v>
      </c>
      <c r="N359" s="143">
        <v>46206</v>
      </c>
      <c r="O359" s="140">
        <v>46204</v>
      </c>
      <c r="P359" s="116">
        <f t="shared" si="10"/>
        <v>7</v>
      </c>
      <c r="Q359" s="116">
        <f t="shared" si="11"/>
        <v>2</v>
      </c>
    </row>
    <row r="360" spans="1:17">
      <c r="A360" s="108">
        <v>359</v>
      </c>
      <c r="B360" s="109" t="s">
        <v>629</v>
      </c>
      <c r="C360" s="112"/>
      <c r="D360" s="109" t="s">
        <v>84</v>
      </c>
      <c r="E360" s="112"/>
      <c r="F360" s="110" t="s">
        <v>721</v>
      </c>
      <c r="G360" s="111">
        <v>10</v>
      </c>
      <c r="H360" s="112" t="s">
        <v>66</v>
      </c>
      <c r="I360" s="118">
        <v>50</v>
      </c>
      <c r="J360" s="109"/>
      <c r="K360" s="118">
        <v>500</v>
      </c>
      <c r="L360" s="113" t="s">
        <v>713</v>
      </c>
      <c r="M360" s="142">
        <v>46197</v>
      </c>
      <c r="N360" s="143">
        <v>46206</v>
      </c>
      <c r="O360" s="140">
        <v>46204</v>
      </c>
      <c r="P360" s="116">
        <f t="shared" si="10"/>
        <v>7</v>
      </c>
      <c r="Q360" s="116">
        <f t="shared" si="11"/>
        <v>2</v>
      </c>
    </row>
    <row r="361" spans="1:17">
      <c r="A361" s="108">
        <v>360</v>
      </c>
      <c r="B361" s="109" t="s">
        <v>629</v>
      </c>
      <c r="C361" s="112"/>
      <c r="D361" s="109" t="s">
        <v>84</v>
      </c>
      <c r="E361" s="112"/>
      <c r="F361" s="110" t="s">
        <v>722</v>
      </c>
      <c r="G361" s="111">
        <v>3</v>
      </c>
      <c r="H361" s="112" t="s">
        <v>66</v>
      </c>
      <c r="I361" s="118">
        <v>65</v>
      </c>
      <c r="J361" s="109"/>
      <c r="K361" s="118">
        <v>195</v>
      </c>
      <c r="L361" s="113" t="s">
        <v>713</v>
      </c>
      <c r="M361" s="142">
        <v>46197</v>
      </c>
      <c r="N361" s="143">
        <v>46206</v>
      </c>
      <c r="O361" s="140">
        <v>46204</v>
      </c>
      <c r="P361" s="116">
        <f t="shared" si="10"/>
        <v>7</v>
      </c>
      <c r="Q361" s="116">
        <f t="shared" si="11"/>
        <v>2</v>
      </c>
    </row>
    <row r="362" spans="1:17">
      <c r="A362" s="108">
        <v>361</v>
      </c>
      <c r="B362" s="109" t="s">
        <v>629</v>
      </c>
      <c r="C362" s="112"/>
      <c r="D362" s="109" t="s">
        <v>84</v>
      </c>
      <c r="E362" s="112"/>
      <c r="F362" s="110" t="s">
        <v>723</v>
      </c>
      <c r="G362" s="111">
        <v>2</v>
      </c>
      <c r="H362" s="112" t="s">
        <v>66</v>
      </c>
      <c r="I362" s="118">
        <v>295</v>
      </c>
      <c r="J362" s="109"/>
      <c r="K362" s="118">
        <v>590</v>
      </c>
      <c r="L362" s="113" t="s">
        <v>713</v>
      </c>
      <c r="M362" s="142">
        <v>46197</v>
      </c>
      <c r="N362" s="143">
        <v>46206</v>
      </c>
      <c r="O362" s="140">
        <v>46204</v>
      </c>
      <c r="P362" s="116">
        <f t="shared" si="10"/>
        <v>7</v>
      </c>
      <c r="Q362" s="116">
        <f t="shared" si="11"/>
        <v>2</v>
      </c>
    </row>
    <row r="363" spans="1:17">
      <c r="A363" s="108">
        <v>362</v>
      </c>
      <c r="B363" s="109" t="s">
        <v>629</v>
      </c>
      <c r="C363" s="112"/>
      <c r="D363" s="109" t="s">
        <v>84</v>
      </c>
      <c r="E363" s="112"/>
      <c r="F363" s="110" t="s">
        <v>724</v>
      </c>
      <c r="G363" s="111">
        <v>1</v>
      </c>
      <c r="H363" s="112" t="s">
        <v>66</v>
      </c>
      <c r="I363" s="118">
        <v>135</v>
      </c>
      <c r="J363" s="109"/>
      <c r="K363" s="118">
        <v>135</v>
      </c>
      <c r="L363" s="113" t="s">
        <v>713</v>
      </c>
      <c r="M363" s="142">
        <v>46197</v>
      </c>
      <c r="N363" s="143">
        <v>46206</v>
      </c>
      <c r="O363" s="140">
        <v>46204</v>
      </c>
      <c r="P363" s="116">
        <f t="shared" si="10"/>
        <v>7</v>
      </c>
      <c r="Q363" s="116">
        <f t="shared" si="11"/>
        <v>2</v>
      </c>
    </row>
    <row r="364" spans="1:17">
      <c r="A364" s="108">
        <v>363</v>
      </c>
      <c r="B364" s="109" t="s">
        <v>629</v>
      </c>
      <c r="C364" s="112"/>
      <c r="D364" s="109" t="s">
        <v>84</v>
      </c>
      <c r="E364" s="112"/>
      <c r="F364" s="110" t="s">
        <v>725</v>
      </c>
      <c r="G364" s="111">
        <v>20</v>
      </c>
      <c r="H364" s="112" t="s">
        <v>66</v>
      </c>
      <c r="I364" s="118">
        <v>22</v>
      </c>
      <c r="J364" s="109"/>
      <c r="K364" s="118">
        <v>440</v>
      </c>
      <c r="L364" s="113" t="s">
        <v>713</v>
      </c>
      <c r="M364" s="142">
        <v>46197</v>
      </c>
      <c r="N364" s="143">
        <v>46206</v>
      </c>
      <c r="O364" s="140">
        <v>46204</v>
      </c>
      <c r="P364" s="116">
        <f t="shared" si="10"/>
        <v>7</v>
      </c>
      <c r="Q364" s="116">
        <f t="shared" si="11"/>
        <v>2</v>
      </c>
    </row>
    <row r="365" spans="1:17">
      <c r="A365" s="108">
        <v>364</v>
      </c>
      <c r="B365" s="109" t="s">
        <v>629</v>
      </c>
      <c r="C365" s="112"/>
      <c r="D365" s="109" t="s">
        <v>84</v>
      </c>
      <c r="E365" s="112"/>
      <c r="F365" s="110" t="s">
        <v>726</v>
      </c>
      <c r="G365" s="111">
        <v>20</v>
      </c>
      <c r="H365" s="112" t="s">
        <v>66</v>
      </c>
      <c r="I365" s="118">
        <v>18</v>
      </c>
      <c r="J365" s="109"/>
      <c r="K365" s="118">
        <v>360</v>
      </c>
      <c r="L365" s="113" t="s">
        <v>713</v>
      </c>
      <c r="M365" s="142">
        <v>46197</v>
      </c>
      <c r="N365" s="143">
        <v>46206</v>
      </c>
      <c r="O365" s="140">
        <v>46204</v>
      </c>
      <c r="P365" s="116">
        <f t="shared" si="10"/>
        <v>7</v>
      </c>
      <c r="Q365" s="116">
        <f t="shared" si="11"/>
        <v>2</v>
      </c>
    </row>
    <row r="366" spans="1:17">
      <c r="A366" s="108">
        <v>365</v>
      </c>
      <c r="B366" s="109" t="s">
        <v>629</v>
      </c>
      <c r="C366" s="112"/>
      <c r="D366" s="109" t="s">
        <v>84</v>
      </c>
      <c r="E366" s="112"/>
      <c r="F366" s="110" t="s">
        <v>727</v>
      </c>
      <c r="G366" s="111">
        <v>50</v>
      </c>
      <c r="H366" s="112" t="s">
        <v>240</v>
      </c>
      <c r="I366" s="118">
        <v>23</v>
      </c>
      <c r="J366" s="109"/>
      <c r="K366" s="118">
        <v>1150</v>
      </c>
      <c r="L366" s="113" t="s">
        <v>713</v>
      </c>
      <c r="M366" s="142">
        <v>46197</v>
      </c>
      <c r="N366" s="143">
        <v>46206</v>
      </c>
      <c r="O366" s="140">
        <v>46204</v>
      </c>
      <c r="P366" s="116">
        <f t="shared" si="10"/>
        <v>7</v>
      </c>
      <c r="Q366" s="116">
        <f t="shared" si="11"/>
        <v>2</v>
      </c>
    </row>
    <row r="367" spans="1:17">
      <c r="A367" s="108">
        <v>366</v>
      </c>
      <c r="B367" s="109" t="s">
        <v>629</v>
      </c>
      <c r="C367" s="112"/>
      <c r="D367" s="109" t="s">
        <v>84</v>
      </c>
      <c r="E367" s="112"/>
      <c r="F367" s="110" t="s">
        <v>728</v>
      </c>
      <c r="G367" s="111">
        <v>50</v>
      </c>
      <c r="H367" s="112" t="s">
        <v>240</v>
      </c>
      <c r="I367" s="118">
        <v>16</v>
      </c>
      <c r="J367" s="109"/>
      <c r="K367" s="118">
        <v>800</v>
      </c>
      <c r="L367" s="113" t="s">
        <v>713</v>
      </c>
      <c r="M367" s="142">
        <v>46197</v>
      </c>
      <c r="N367" s="143">
        <v>46206</v>
      </c>
      <c r="O367" s="140">
        <v>46204</v>
      </c>
      <c r="P367" s="116">
        <f t="shared" si="10"/>
        <v>7</v>
      </c>
      <c r="Q367" s="116">
        <f t="shared" si="11"/>
        <v>2</v>
      </c>
    </row>
    <row r="368" spans="1:17">
      <c r="A368" s="108">
        <v>367</v>
      </c>
      <c r="B368" s="109" t="s">
        <v>629</v>
      </c>
      <c r="C368" s="112"/>
      <c r="D368" s="109" t="s">
        <v>84</v>
      </c>
      <c r="E368" s="112"/>
      <c r="F368" s="110" t="s">
        <v>729</v>
      </c>
      <c r="G368" s="111">
        <v>1</v>
      </c>
      <c r="H368" s="112" t="s">
        <v>66</v>
      </c>
      <c r="I368" s="118">
        <v>2900</v>
      </c>
      <c r="J368" s="109"/>
      <c r="K368" s="118">
        <v>2900</v>
      </c>
      <c r="L368" s="113" t="s">
        <v>713</v>
      </c>
      <c r="M368" s="142">
        <v>46197</v>
      </c>
      <c r="N368" s="143">
        <v>46206</v>
      </c>
      <c r="O368" s="140">
        <v>46204</v>
      </c>
      <c r="P368" s="116">
        <f t="shared" si="10"/>
        <v>7</v>
      </c>
      <c r="Q368" s="116">
        <f t="shared" si="11"/>
        <v>2</v>
      </c>
    </row>
    <row r="369" spans="1:17">
      <c r="A369" s="108">
        <v>368</v>
      </c>
      <c r="B369" s="109" t="s">
        <v>629</v>
      </c>
      <c r="C369" s="112"/>
      <c r="D369" s="109" t="s">
        <v>245</v>
      </c>
      <c r="E369" s="112"/>
      <c r="F369" s="110" t="s">
        <v>730</v>
      </c>
      <c r="G369" s="111">
        <v>1</v>
      </c>
      <c r="H369" s="112" t="s">
        <v>66</v>
      </c>
      <c r="I369" s="118">
        <v>385</v>
      </c>
      <c r="J369" s="111">
        <v>96.25</v>
      </c>
      <c r="K369" s="118">
        <v>288.75</v>
      </c>
      <c r="L369" s="113" t="s">
        <v>731</v>
      </c>
      <c r="M369" s="142">
        <v>46197</v>
      </c>
      <c r="N369" s="143">
        <v>46206</v>
      </c>
      <c r="O369" s="140">
        <v>46204</v>
      </c>
      <c r="P369" s="116">
        <f t="shared" si="10"/>
        <v>7</v>
      </c>
      <c r="Q369" s="116">
        <f t="shared" si="11"/>
        <v>2</v>
      </c>
    </row>
    <row r="370" spans="1:17">
      <c r="A370" s="108">
        <v>369</v>
      </c>
      <c r="B370" s="109" t="s">
        <v>629</v>
      </c>
      <c r="C370" s="112"/>
      <c r="D370" s="109" t="s">
        <v>245</v>
      </c>
      <c r="E370" s="112"/>
      <c r="F370" s="110" t="s">
        <v>732</v>
      </c>
      <c r="G370" s="111">
        <v>1</v>
      </c>
      <c r="H370" s="112" t="s">
        <v>733</v>
      </c>
      <c r="I370" s="118">
        <v>225</v>
      </c>
      <c r="J370" s="111">
        <v>56.25</v>
      </c>
      <c r="K370" s="118">
        <v>168.75</v>
      </c>
      <c r="L370" s="113" t="s">
        <v>731</v>
      </c>
      <c r="M370" s="142">
        <v>46197</v>
      </c>
      <c r="N370" s="143">
        <v>46206</v>
      </c>
      <c r="O370" s="140">
        <v>46204</v>
      </c>
      <c r="P370" s="116">
        <f t="shared" si="10"/>
        <v>7</v>
      </c>
      <c r="Q370" s="116">
        <f t="shared" si="11"/>
        <v>2</v>
      </c>
    </row>
    <row r="371" spans="1:17">
      <c r="A371" s="108">
        <v>370</v>
      </c>
      <c r="B371" s="109" t="s">
        <v>629</v>
      </c>
      <c r="C371" s="112"/>
      <c r="D371" s="109" t="s">
        <v>245</v>
      </c>
      <c r="E371" s="112"/>
      <c r="F371" s="110" t="s">
        <v>734</v>
      </c>
      <c r="G371" s="111">
        <v>1</v>
      </c>
      <c r="H371" s="112" t="s">
        <v>66</v>
      </c>
      <c r="I371" s="118">
        <v>18</v>
      </c>
      <c r="J371" s="111"/>
      <c r="K371" s="118">
        <v>18</v>
      </c>
      <c r="L371" s="113" t="s">
        <v>731</v>
      </c>
      <c r="M371" s="142">
        <v>46197</v>
      </c>
      <c r="N371" s="143">
        <v>46206</v>
      </c>
      <c r="O371" s="140">
        <v>46204</v>
      </c>
      <c r="P371" s="116">
        <f t="shared" si="10"/>
        <v>7</v>
      </c>
      <c r="Q371" s="116">
        <f t="shared" si="11"/>
        <v>2</v>
      </c>
    </row>
    <row r="372" spans="1:17">
      <c r="A372" s="108">
        <v>371</v>
      </c>
      <c r="B372" s="109" t="s">
        <v>629</v>
      </c>
      <c r="C372" s="112"/>
      <c r="D372" s="109" t="s">
        <v>245</v>
      </c>
      <c r="E372" s="112"/>
      <c r="F372" s="110" t="s">
        <v>735</v>
      </c>
      <c r="G372" s="111">
        <v>1</v>
      </c>
      <c r="H372" s="112" t="s">
        <v>733</v>
      </c>
      <c r="I372" s="118">
        <v>10</v>
      </c>
      <c r="J372" s="111"/>
      <c r="K372" s="118">
        <v>10</v>
      </c>
      <c r="L372" s="113" t="s">
        <v>731</v>
      </c>
      <c r="M372" s="142">
        <v>46197</v>
      </c>
      <c r="N372" s="143">
        <v>46206</v>
      </c>
      <c r="O372" s="140">
        <v>46204</v>
      </c>
      <c r="P372" s="116">
        <f t="shared" si="10"/>
        <v>7</v>
      </c>
      <c r="Q372" s="116">
        <f t="shared" si="11"/>
        <v>2</v>
      </c>
    </row>
    <row r="373" spans="1:17">
      <c r="A373" s="108">
        <v>372</v>
      </c>
      <c r="B373" s="109" t="s">
        <v>629</v>
      </c>
      <c r="C373" s="112"/>
      <c r="D373" s="109" t="s">
        <v>245</v>
      </c>
      <c r="E373" s="112"/>
      <c r="F373" s="110" t="s">
        <v>736</v>
      </c>
      <c r="G373" s="111">
        <v>3</v>
      </c>
      <c r="H373" s="112" t="s">
        <v>733</v>
      </c>
      <c r="I373" s="118">
        <v>623</v>
      </c>
      <c r="J373" s="111">
        <v>1121.4000000000001</v>
      </c>
      <c r="K373" s="118">
        <v>747.6</v>
      </c>
      <c r="L373" s="113" t="s">
        <v>731</v>
      </c>
      <c r="M373" s="142">
        <v>46197</v>
      </c>
      <c r="N373" s="143">
        <v>46206</v>
      </c>
      <c r="O373" s="140">
        <v>46204</v>
      </c>
      <c r="P373" s="116">
        <f t="shared" si="10"/>
        <v>7</v>
      </c>
      <c r="Q373" s="116">
        <f t="shared" si="11"/>
        <v>2</v>
      </c>
    </row>
    <row r="374" spans="1:17">
      <c r="A374" s="108">
        <v>373</v>
      </c>
      <c r="B374" s="109" t="s">
        <v>629</v>
      </c>
      <c r="C374" s="112"/>
      <c r="D374" s="109" t="s">
        <v>245</v>
      </c>
      <c r="E374" s="112"/>
      <c r="F374" s="110" t="s">
        <v>737</v>
      </c>
      <c r="G374" s="111">
        <v>2</v>
      </c>
      <c r="H374" s="112" t="s">
        <v>733</v>
      </c>
      <c r="I374" s="118">
        <v>538</v>
      </c>
      <c r="J374" s="111">
        <v>645.6</v>
      </c>
      <c r="K374" s="118">
        <v>430.4</v>
      </c>
      <c r="L374" s="113" t="s">
        <v>731</v>
      </c>
      <c r="M374" s="142">
        <v>46197</v>
      </c>
      <c r="N374" s="143">
        <v>46206</v>
      </c>
      <c r="O374" s="140">
        <v>46204</v>
      </c>
      <c r="P374" s="116">
        <f t="shared" si="10"/>
        <v>7</v>
      </c>
      <c r="Q374" s="116">
        <f t="shared" si="11"/>
        <v>2</v>
      </c>
    </row>
    <row r="375" spans="1:17">
      <c r="A375" s="108">
        <v>374</v>
      </c>
      <c r="B375" s="109" t="s">
        <v>629</v>
      </c>
      <c r="C375" s="112"/>
      <c r="D375" s="109" t="s">
        <v>245</v>
      </c>
      <c r="E375" s="112"/>
      <c r="F375" s="110" t="s">
        <v>738</v>
      </c>
      <c r="G375" s="111">
        <v>2</v>
      </c>
      <c r="H375" s="112" t="s">
        <v>733</v>
      </c>
      <c r="I375" s="118">
        <v>538</v>
      </c>
      <c r="J375" s="111">
        <v>645.6</v>
      </c>
      <c r="K375" s="118">
        <v>430.4</v>
      </c>
      <c r="L375" s="113" t="s">
        <v>731</v>
      </c>
      <c r="M375" s="142">
        <v>46197</v>
      </c>
      <c r="N375" s="143">
        <v>46206</v>
      </c>
      <c r="O375" s="140">
        <v>46204</v>
      </c>
      <c r="P375" s="116">
        <f t="shared" si="10"/>
        <v>7</v>
      </c>
      <c r="Q375" s="116">
        <f t="shared" si="11"/>
        <v>2</v>
      </c>
    </row>
    <row r="376" spans="1:17">
      <c r="A376" s="108">
        <v>375</v>
      </c>
      <c r="B376" s="109" t="s">
        <v>629</v>
      </c>
      <c r="C376" s="112"/>
      <c r="D376" s="109" t="s">
        <v>245</v>
      </c>
      <c r="E376" s="112"/>
      <c r="F376" s="110" t="s">
        <v>739</v>
      </c>
      <c r="G376" s="111">
        <v>20</v>
      </c>
      <c r="H376" s="112" t="s">
        <v>66</v>
      </c>
      <c r="I376" s="118">
        <v>45</v>
      </c>
      <c r="J376" s="111"/>
      <c r="K376" s="118">
        <v>900</v>
      </c>
      <c r="L376" s="113" t="s">
        <v>731</v>
      </c>
      <c r="M376" s="142">
        <v>46197</v>
      </c>
      <c r="N376" s="143">
        <v>46206</v>
      </c>
      <c r="O376" s="140">
        <v>46204</v>
      </c>
      <c r="P376" s="116">
        <f t="shared" si="10"/>
        <v>7</v>
      </c>
      <c r="Q376" s="116">
        <f t="shared" si="11"/>
        <v>2</v>
      </c>
    </row>
    <row r="377" spans="1:17">
      <c r="A377" s="108">
        <v>376</v>
      </c>
      <c r="B377" s="109" t="s">
        <v>629</v>
      </c>
      <c r="C377" s="112"/>
      <c r="D377" s="109" t="s">
        <v>245</v>
      </c>
      <c r="E377" s="112"/>
      <c r="F377" s="110" t="s">
        <v>740</v>
      </c>
      <c r="G377" s="111">
        <v>20</v>
      </c>
      <c r="H377" s="112" t="s">
        <v>66</v>
      </c>
      <c r="I377" s="118">
        <v>5</v>
      </c>
      <c r="J377" s="111"/>
      <c r="K377" s="118">
        <v>100</v>
      </c>
      <c r="L377" s="113" t="s">
        <v>731</v>
      </c>
      <c r="M377" s="142">
        <v>46197</v>
      </c>
      <c r="N377" s="143">
        <v>46206</v>
      </c>
      <c r="O377" s="140">
        <v>46204</v>
      </c>
      <c r="P377" s="116">
        <f t="shared" si="10"/>
        <v>7</v>
      </c>
      <c r="Q377" s="116">
        <f t="shared" si="11"/>
        <v>2</v>
      </c>
    </row>
    <row r="378" spans="1:17">
      <c r="A378" s="108">
        <v>377</v>
      </c>
      <c r="B378" s="109" t="s">
        <v>629</v>
      </c>
      <c r="C378" s="112"/>
      <c r="D378" s="109" t="s">
        <v>245</v>
      </c>
      <c r="E378" s="112"/>
      <c r="F378" s="110" t="s">
        <v>741</v>
      </c>
      <c r="G378" s="111">
        <v>10</v>
      </c>
      <c r="H378" s="112" t="s">
        <v>66</v>
      </c>
      <c r="I378" s="118">
        <v>18</v>
      </c>
      <c r="J378" s="111">
        <v>72</v>
      </c>
      <c r="K378" s="118">
        <v>108</v>
      </c>
      <c r="L378" s="113" t="s">
        <v>731</v>
      </c>
      <c r="M378" s="142">
        <v>46197</v>
      </c>
      <c r="N378" s="143">
        <v>46206</v>
      </c>
      <c r="O378" s="140">
        <v>46204</v>
      </c>
      <c r="P378" s="116">
        <f t="shared" si="10"/>
        <v>7</v>
      </c>
      <c r="Q378" s="116">
        <f t="shared" si="11"/>
        <v>2</v>
      </c>
    </row>
    <row r="379" spans="1:17">
      <c r="A379" s="108">
        <v>378</v>
      </c>
      <c r="B379" s="109" t="s">
        <v>629</v>
      </c>
      <c r="C379" s="112"/>
      <c r="D379" s="109" t="s">
        <v>245</v>
      </c>
      <c r="E379" s="112"/>
      <c r="F379" s="110" t="s">
        <v>742</v>
      </c>
      <c r="G379" s="111">
        <v>10</v>
      </c>
      <c r="H379" s="112" t="s">
        <v>66</v>
      </c>
      <c r="I379" s="118">
        <v>15</v>
      </c>
      <c r="J379" s="111">
        <v>60</v>
      </c>
      <c r="K379" s="118">
        <v>90</v>
      </c>
      <c r="L379" s="113" t="s">
        <v>731</v>
      </c>
      <c r="M379" s="142">
        <v>46197</v>
      </c>
      <c r="N379" s="143">
        <v>46206</v>
      </c>
      <c r="O379" s="140">
        <v>46204</v>
      </c>
      <c r="P379" s="116">
        <f t="shared" si="10"/>
        <v>7</v>
      </c>
      <c r="Q379" s="116">
        <f t="shared" si="11"/>
        <v>2</v>
      </c>
    </row>
    <row r="380" spans="1:17">
      <c r="A380" s="108">
        <v>379</v>
      </c>
      <c r="B380" s="109" t="s">
        <v>629</v>
      </c>
      <c r="C380" s="112"/>
      <c r="D380" s="109" t="s">
        <v>280</v>
      </c>
      <c r="E380" s="112"/>
      <c r="F380" s="110" t="s">
        <v>743</v>
      </c>
      <c r="G380" s="111">
        <v>1</v>
      </c>
      <c r="H380" s="112" t="s">
        <v>66</v>
      </c>
      <c r="I380" s="118">
        <v>1130</v>
      </c>
      <c r="J380" s="109"/>
      <c r="K380" s="118">
        <v>1130</v>
      </c>
      <c r="L380" s="113" t="s">
        <v>744</v>
      </c>
      <c r="M380" s="142">
        <v>46197</v>
      </c>
      <c r="N380" s="143">
        <v>46206</v>
      </c>
      <c r="O380" s="140">
        <v>46204</v>
      </c>
      <c r="P380" s="116">
        <f t="shared" si="10"/>
        <v>7</v>
      </c>
      <c r="Q380" s="116">
        <f t="shared" si="11"/>
        <v>2</v>
      </c>
    </row>
    <row r="381" spans="1:17">
      <c r="A381" s="108">
        <v>380</v>
      </c>
      <c r="B381" s="109" t="s">
        <v>629</v>
      </c>
      <c r="C381" s="112"/>
      <c r="D381" s="109" t="s">
        <v>280</v>
      </c>
      <c r="E381" s="112"/>
      <c r="F381" s="110" t="s">
        <v>745</v>
      </c>
      <c r="G381" s="111">
        <v>1</v>
      </c>
      <c r="H381" s="112" t="s">
        <v>66</v>
      </c>
      <c r="I381" s="118">
        <v>212</v>
      </c>
      <c r="J381" s="111">
        <v>133.56</v>
      </c>
      <c r="K381" s="118">
        <v>78.44</v>
      </c>
      <c r="L381" s="113" t="s">
        <v>744</v>
      </c>
      <c r="M381" s="142">
        <v>46197</v>
      </c>
      <c r="N381" s="143">
        <v>46206</v>
      </c>
      <c r="O381" s="140">
        <v>46204</v>
      </c>
      <c r="P381" s="116">
        <f t="shared" si="10"/>
        <v>7</v>
      </c>
      <c r="Q381" s="116">
        <f t="shared" si="11"/>
        <v>2</v>
      </c>
    </row>
    <row r="382" spans="1:17">
      <c r="A382" s="108">
        <v>381</v>
      </c>
      <c r="B382" s="109" t="s">
        <v>455</v>
      </c>
      <c r="C382" s="112"/>
      <c r="D382" s="109" t="s">
        <v>245</v>
      </c>
      <c r="E382" s="112"/>
      <c r="F382" s="110" t="s">
        <v>746</v>
      </c>
      <c r="G382" s="111">
        <v>10</v>
      </c>
      <c r="H382" s="112" t="s">
        <v>66</v>
      </c>
      <c r="I382" s="118">
        <v>20</v>
      </c>
      <c r="J382" s="119">
        <v>50</v>
      </c>
      <c r="K382" s="118">
        <v>150</v>
      </c>
      <c r="L382" s="113" t="s">
        <v>747</v>
      </c>
      <c r="M382" s="142">
        <v>46209</v>
      </c>
      <c r="N382" s="143">
        <v>46213</v>
      </c>
      <c r="O382" s="140">
        <v>46211</v>
      </c>
      <c r="P382" s="116">
        <f t="shared" si="10"/>
        <v>2</v>
      </c>
      <c r="Q382" s="116">
        <f t="shared" si="11"/>
        <v>2</v>
      </c>
    </row>
    <row r="383" spans="1:17">
      <c r="A383" s="108">
        <v>382</v>
      </c>
      <c r="B383" s="109" t="s">
        <v>455</v>
      </c>
      <c r="C383" s="112"/>
      <c r="D383" s="109" t="s">
        <v>245</v>
      </c>
      <c r="E383" s="112"/>
      <c r="F383" s="110" t="s">
        <v>748</v>
      </c>
      <c r="G383" s="111">
        <v>2</v>
      </c>
      <c r="H383" s="112" t="s">
        <v>66</v>
      </c>
      <c r="I383" s="118">
        <v>2150</v>
      </c>
      <c r="J383" s="119">
        <v>215</v>
      </c>
      <c r="K383" s="118">
        <v>4085</v>
      </c>
      <c r="L383" s="113" t="s">
        <v>747</v>
      </c>
      <c r="M383" s="142">
        <v>46209</v>
      </c>
      <c r="N383" s="143">
        <v>46213</v>
      </c>
      <c r="O383" s="140">
        <v>46211</v>
      </c>
      <c r="P383" s="116">
        <f t="shared" si="10"/>
        <v>2</v>
      </c>
      <c r="Q383" s="116">
        <f t="shared" si="11"/>
        <v>2</v>
      </c>
    </row>
    <row r="384" spans="1:17">
      <c r="A384" s="108">
        <v>383</v>
      </c>
      <c r="B384" s="109" t="s">
        <v>455</v>
      </c>
      <c r="C384" s="112"/>
      <c r="D384" s="109" t="s">
        <v>245</v>
      </c>
      <c r="E384" s="112"/>
      <c r="F384" s="110" t="s">
        <v>749</v>
      </c>
      <c r="G384" s="111">
        <v>2</v>
      </c>
      <c r="H384" s="112" t="s">
        <v>66</v>
      </c>
      <c r="I384" s="118">
        <v>951</v>
      </c>
      <c r="J384" s="119">
        <v>1141.2</v>
      </c>
      <c r="K384" s="118">
        <v>760.8</v>
      </c>
      <c r="L384" s="113" t="s">
        <v>747</v>
      </c>
      <c r="M384" s="142">
        <v>46209</v>
      </c>
      <c r="N384" s="143">
        <v>46213</v>
      </c>
      <c r="O384" s="140">
        <v>46211</v>
      </c>
      <c r="P384" s="116">
        <f t="shared" si="10"/>
        <v>2</v>
      </c>
      <c r="Q384" s="116">
        <f t="shared" si="11"/>
        <v>2</v>
      </c>
    </row>
    <row r="385" spans="1:17">
      <c r="A385" s="108">
        <v>384</v>
      </c>
      <c r="B385" s="109" t="s">
        <v>455</v>
      </c>
      <c r="C385" s="112"/>
      <c r="D385" s="109" t="s">
        <v>245</v>
      </c>
      <c r="E385" s="112"/>
      <c r="F385" s="110" t="s">
        <v>750</v>
      </c>
      <c r="G385" s="111">
        <v>1</v>
      </c>
      <c r="H385" s="112" t="s">
        <v>66</v>
      </c>
      <c r="I385" s="118">
        <v>1078</v>
      </c>
      <c r="J385" s="119">
        <v>646.79999999999995</v>
      </c>
      <c r="K385" s="118">
        <v>431.2</v>
      </c>
      <c r="L385" s="113" t="s">
        <v>747</v>
      </c>
      <c r="M385" s="142">
        <v>46209</v>
      </c>
      <c r="N385" s="143">
        <v>46213</v>
      </c>
      <c r="O385" s="140">
        <v>46211</v>
      </c>
      <c r="P385" s="116">
        <f t="shared" si="10"/>
        <v>2</v>
      </c>
      <c r="Q385" s="116">
        <f t="shared" si="11"/>
        <v>2</v>
      </c>
    </row>
    <row r="386" spans="1:17">
      <c r="A386" s="108">
        <v>385</v>
      </c>
      <c r="B386" s="109" t="s">
        <v>455</v>
      </c>
      <c r="C386" s="112"/>
      <c r="D386" s="109" t="s">
        <v>245</v>
      </c>
      <c r="E386" s="112"/>
      <c r="F386" s="110" t="s">
        <v>751</v>
      </c>
      <c r="G386" s="111">
        <v>1</v>
      </c>
      <c r="H386" s="112" t="s">
        <v>66</v>
      </c>
      <c r="I386" s="118">
        <v>371</v>
      </c>
      <c r="J386" s="119">
        <v>222.6</v>
      </c>
      <c r="K386" s="118">
        <v>148.4</v>
      </c>
      <c r="L386" s="113" t="s">
        <v>747</v>
      </c>
      <c r="M386" s="142">
        <v>46209</v>
      </c>
      <c r="N386" s="143">
        <v>46213</v>
      </c>
      <c r="O386" s="140">
        <v>46211</v>
      </c>
      <c r="P386" s="116">
        <f t="shared" ref="P386:P449" si="12">O386-M386</f>
        <v>2</v>
      </c>
      <c r="Q386" s="116">
        <f t="shared" ref="Q386:Q449" si="13">N386-O386</f>
        <v>2</v>
      </c>
    </row>
    <row r="387" spans="1:17">
      <c r="A387" s="108">
        <v>386</v>
      </c>
      <c r="B387" s="109" t="s">
        <v>455</v>
      </c>
      <c r="C387" s="112"/>
      <c r="D387" s="109" t="s">
        <v>245</v>
      </c>
      <c r="E387" s="112"/>
      <c r="F387" s="110" t="s">
        <v>752</v>
      </c>
      <c r="G387" s="111">
        <v>1</v>
      </c>
      <c r="H387" s="112" t="s">
        <v>733</v>
      </c>
      <c r="I387" s="118">
        <v>623</v>
      </c>
      <c r="J387" s="119">
        <v>373.8</v>
      </c>
      <c r="K387" s="118">
        <v>249.2</v>
      </c>
      <c r="L387" s="113" t="s">
        <v>747</v>
      </c>
      <c r="M387" s="142">
        <v>46209</v>
      </c>
      <c r="N387" s="143">
        <v>46213</v>
      </c>
      <c r="O387" s="140">
        <v>46211</v>
      </c>
      <c r="P387" s="116">
        <f t="shared" si="12"/>
        <v>2</v>
      </c>
      <c r="Q387" s="116">
        <f t="shared" si="13"/>
        <v>2</v>
      </c>
    </row>
    <row r="388" spans="1:17">
      <c r="A388" s="108">
        <v>387</v>
      </c>
      <c r="B388" s="109" t="s">
        <v>455</v>
      </c>
      <c r="C388" s="112"/>
      <c r="D388" s="109" t="s">
        <v>245</v>
      </c>
      <c r="E388" s="112"/>
      <c r="F388" s="110" t="s">
        <v>753</v>
      </c>
      <c r="G388" s="111">
        <v>1</v>
      </c>
      <c r="H388" s="112" t="s">
        <v>66</v>
      </c>
      <c r="I388" s="118">
        <v>212</v>
      </c>
      <c r="J388" s="119">
        <v>127.2</v>
      </c>
      <c r="K388" s="118">
        <v>84.8</v>
      </c>
      <c r="L388" s="113" t="s">
        <v>747</v>
      </c>
      <c r="M388" s="142">
        <v>46209</v>
      </c>
      <c r="N388" s="143">
        <v>46213</v>
      </c>
      <c r="O388" s="140">
        <v>46211</v>
      </c>
      <c r="P388" s="116">
        <f t="shared" si="12"/>
        <v>2</v>
      </c>
      <c r="Q388" s="116">
        <f t="shared" si="13"/>
        <v>2</v>
      </c>
    </row>
    <row r="389" spans="1:17">
      <c r="A389" s="108">
        <v>388</v>
      </c>
      <c r="B389" s="109" t="s">
        <v>93</v>
      </c>
      <c r="C389" s="112"/>
      <c r="D389" s="109" t="s">
        <v>64</v>
      </c>
      <c r="E389" s="112"/>
      <c r="F389" s="110" t="s">
        <v>754</v>
      </c>
      <c r="G389" s="111">
        <v>1</v>
      </c>
      <c r="H389" s="112" t="s">
        <v>91</v>
      </c>
      <c r="I389" s="118">
        <v>979</v>
      </c>
      <c r="J389" s="109"/>
      <c r="K389" s="118">
        <v>979</v>
      </c>
      <c r="L389" s="113" t="s">
        <v>755</v>
      </c>
      <c r="M389" s="142">
        <v>46216</v>
      </c>
      <c r="N389" s="143">
        <v>46216</v>
      </c>
      <c r="O389" s="140">
        <v>46214</v>
      </c>
      <c r="P389" s="116">
        <f t="shared" si="12"/>
        <v>-2</v>
      </c>
      <c r="Q389" s="116">
        <f t="shared" si="13"/>
        <v>2</v>
      </c>
    </row>
    <row r="390" spans="1:17">
      <c r="A390" s="108">
        <v>389</v>
      </c>
      <c r="B390" s="109" t="s">
        <v>529</v>
      </c>
      <c r="C390" s="112"/>
      <c r="D390" s="109" t="s">
        <v>94</v>
      </c>
      <c r="E390" s="112"/>
      <c r="F390" s="110" t="s">
        <v>756</v>
      </c>
      <c r="G390" s="111">
        <v>10</v>
      </c>
      <c r="H390" s="112" t="s">
        <v>66</v>
      </c>
      <c r="I390" s="118">
        <v>3.5</v>
      </c>
      <c r="J390" s="119">
        <v>3.5</v>
      </c>
      <c r="K390" s="118">
        <v>31.5</v>
      </c>
      <c r="L390" s="113" t="s">
        <v>757</v>
      </c>
      <c r="M390" s="142">
        <v>46212</v>
      </c>
      <c r="N390" s="143">
        <v>46219</v>
      </c>
      <c r="O390" s="140">
        <v>46217</v>
      </c>
      <c r="P390" s="116">
        <f t="shared" si="12"/>
        <v>5</v>
      </c>
      <c r="Q390" s="116">
        <f t="shared" si="13"/>
        <v>2</v>
      </c>
    </row>
    <row r="391" spans="1:17">
      <c r="A391" s="108">
        <v>390</v>
      </c>
      <c r="B391" s="109" t="s">
        <v>529</v>
      </c>
      <c r="C391" s="112"/>
      <c r="D391" s="109" t="s">
        <v>94</v>
      </c>
      <c r="E391" s="112"/>
      <c r="F391" s="110" t="s">
        <v>758</v>
      </c>
      <c r="G391" s="111">
        <v>20</v>
      </c>
      <c r="H391" s="112" t="s">
        <v>66</v>
      </c>
      <c r="I391" s="118">
        <v>10</v>
      </c>
      <c r="J391" s="119">
        <v>20</v>
      </c>
      <c r="K391" s="118">
        <v>180</v>
      </c>
      <c r="L391" s="113" t="s">
        <v>757</v>
      </c>
      <c r="M391" s="142">
        <v>46212</v>
      </c>
      <c r="N391" s="143">
        <v>46219</v>
      </c>
      <c r="O391" s="140">
        <v>46217</v>
      </c>
      <c r="P391" s="116">
        <f t="shared" si="12"/>
        <v>5</v>
      </c>
      <c r="Q391" s="116">
        <f t="shared" si="13"/>
        <v>2</v>
      </c>
    </row>
    <row r="392" spans="1:17">
      <c r="A392" s="108">
        <v>391</v>
      </c>
      <c r="B392" s="109" t="s">
        <v>529</v>
      </c>
      <c r="C392" s="112"/>
      <c r="D392" s="109" t="s">
        <v>94</v>
      </c>
      <c r="E392" s="112"/>
      <c r="F392" s="110" t="s">
        <v>759</v>
      </c>
      <c r="G392" s="111">
        <v>8</v>
      </c>
      <c r="H392" s="112" t="s">
        <v>66</v>
      </c>
      <c r="I392" s="118">
        <v>3.5</v>
      </c>
      <c r="J392" s="119">
        <v>2.8</v>
      </c>
      <c r="K392" s="118">
        <v>25.2</v>
      </c>
      <c r="L392" s="113" t="s">
        <v>757</v>
      </c>
      <c r="M392" s="142">
        <v>46212</v>
      </c>
      <c r="N392" s="143">
        <v>46219</v>
      </c>
      <c r="O392" s="140">
        <v>46217</v>
      </c>
      <c r="P392" s="116">
        <f t="shared" si="12"/>
        <v>5</v>
      </c>
      <c r="Q392" s="116">
        <f t="shared" si="13"/>
        <v>2</v>
      </c>
    </row>
    <row r="393" spans="1:17">
      <c r="A393" s="108">
        <v>392</v>
      </c>
      <c r="B393" s="109" t="s">
        <v>529</v>
      </c>
      <c r="C393" s="112"/>
      <c r="D393" s="109" t="s">
        <v>94</v>
      </c>
      <c r="E393" s="112"/>
      <c r="F393" s="110" t="s">
        <v>760</v>
      </c>
      <c r="G393" s="111">
        <v>8</v>
      </c>
      <c r="H393" s="112" t="s">
        <v>66</v>
      </c>
      <c r="I393" s="118">
        <v>2.5</v>
      </c>
      <c r="J393" s="119">
        <v>2</v>
      </c>
      <c r="K393" s="118">
        <v>18</v>
      </c>
      <c r="L393" s="113" t="s">
        <v>757</v>
      </c>
      <c r="M393" s="142">
        <v>46212</v>
      </c>
      <c r="N393" s="143">
        <v>46219</v>
      </c>
      <c r="O393" s="140">
        <v>46217</v>
      </c>
      <c r="P393" s="116">
        <f t="shared" si="12"/>
        <v>5</v>
      </c>
      <c r="Q393" s="116">
        <f t="shared" si="13"/>
        <v>2</v>
      </c>
    </row>
    <row r="394" spans="1:17">
      <c r="A394" s="108">
        <v>393</v>
      </c>
      <c r="B394" s="109" t="s">
        <v>529</v>
      </c>
      <c r="C394" s="112"/>
      <c r="D394" s="109" t="s">
        <v>94</v>
      </c>
      <c r="E394" s="112"/>
      <c r="F394" s="110" t="s">
        <v>761</v>
      </c>
      <c r="G394" s="111">
        <v>8</v>
      </c>
      <c r="H394" s="112" t="s">
        <v>66</v>
      </c>
      <c r="I394" s="118">
        <v>3.5</v>
      </c>
      <c r="J394" s="119">
        <v>2.8</v>
      </c>
      <c r="K394" s="118">
        <v>25.2</v>
      </c>
      <c r="L394" s="113" t="s">
        <v>757</v>
      </c>
      <c r="M394" s="142">
        <v>46212</v>
      </c>
      <c r="N394" s="143">
        <v>46219</v>
      </c>
      <c r="O394" s="140">
        <v>46217</v>
      </c>
      <c r="P394" s="116">
        <f t="shared" si="12"/>
        <v>5</v>
      </c>
      <c r="Q394" s="116">
        <f t="shared" si="13"/>
        <v>2</v>
      </c>
    </row>
    <row r="395" spans="1:17">
      <c r="A395" s="108">
        <v>394</v>
      </c>
      <c r="B395" s="109" t="s">
        <v>529</v>
      </c>
      <c r="C395" s="112"/>
      <c r="D395" s="109" t="s">
        <v>94</v>
      </c>
      <c r="E395" s="112"/>
      <c r="F395" s="110" t="s">
        <v>762</v>
      </c>
      <c r="G395" s="111">
        <v>8</v>
      </c>
      <c r="H395" s="112" t="s">
        <v>66</v>
      </c>
      <c r="I395" s="118">
        <v>213</v>
      </c>
      <c r="J395" s="119">
        <v>170.4</v>
      </c>
      <c r="K395" s="118">
        <v>1533.6</v>
      </c>
      <c r="L395" s="113" t="s">
        <v>757</v>
      </c>
      <c r="M395" s="142">
        <v>46212</v>
      </c>
      <c r="N395" s="143">
        <v>46219</v>
      </c>
      <c r="O395" s="140">
        <v>46217</v>
      </c>
      <c r="P395" s="116">
        <f t="shared" si="12"/>
        <v>5</v>
      </c>
      <c r="Q395" s="116">
        <f t="shared" si="13"/>
        <v>2</v>
      </c>
    </row>
    <row r="396" spans="1:17">
      <c r="A396" s="108">
        <v>395</v>
      </c>
      <c r="B396" s="109" t="s">
        <v>763</v>
      </c>
      <c r="C396" s="112"/>
      <c r="D396" s="109" t="s">
        <v>764</v>
      </c>
      <c r="E396" s="112"/>
      <c r="F396" s="110" t="s">
        <v>765</v>
      </c>
      <c r="G396" s="111">
        <v>1</v>
      </c>
      <c r="H396" s="112" t="s">
        <v>69</v>
      </c>
      <c r="I396" s="118">
        <v>1995</v>
      </c>
      <c r="J396" s="119">
        <v>399</v>
      </c>
      <c r="K396" s="118">
        <v>1596</v>
      </c>
      <c r="L396" s="113" t="s">
        <v>766</v>
      </c>
      <c r="M396" s="142">
        <v>46217</v>
      </c>
      <c r="N396" s="143">
        <v>46220</v>
      </c>
      <c r="O396" s="140">
        <v>46218</v>
      </c>
      <c r="P396" s="116">
        <f t="shared" si="12"/>
        <v>1</v>
      </c>
      <c r="Q396" s="116">
        <f t="shared" si="13"/>
        <v>2</v>
      </c>
    </row>
    <row r="397" spans="1:17">
      <c r="A397" s="108">
        <v>396</v>
      </c>
      <c r="B397" s="109" t="s">
        <v>763</v>
      </c>
      <c r="C397" s="112"/>
      <c r="D397" s="109" t="s">
        <v>764</v>
      </c>
      <c r="E397" s="112"/>
      <c r="F397" s="110" t="s">
        <v>767</v>
      </c>
      <c r="G397" s="111">
        <v>1</v>
      </c>
      <c r="H397" s="112" t="s">
        <v>105</v>
      </c>
      <c r="I397" s="118">
        <v>275</v>
      </c>
      <c r="J397" s="119">
        <v>55</v>
      </c>
      <c r="K397" s="118">
        <v>220</v>
      </c>
      <c r="L397" s="113" t="s">
        <v>766</v>
      </c>
      <c r="M397" s="142">
        <v>46217</v>
      </c>
      <c r="N397" s="143">
        <v>46220</v>
      </c>
      <c r="O397" s="140">
        <v>46218</v>
      </c>
      <c r="P397" s="116">
        <f t="shared" si="12"/>
        <v>1</v>
      </c>
      <c r="Q397" s="116">
        <f t="shared" si="13"/>
        <v>2</v>
      </c>
    </row>
    <row r="398" spans="1:17">
      <c r="A398" s="108">
        <v>397</v>
      </c>
      <c r="B398" s="109" t="s">
        <v>763</v>
      </c>
      <c r="C398" s="112"/>
      <c r="D398" s="109" t="s">
        <v>764</v>
      </c>
      <c r="E398" s="112"/>
      <c r="F398" s="110" t="s">
        <v>768</v>
      </c>
      <c r="G398" s="111">
        <v>1</v>
      </c>
      <c r="H398" s="112" t="s">
        <v>92</v>
      </c>
      <c r="I398" s="118">
        <v>150</v>
      </c>
      <c r="J398" s="109"/>
      <c r="K398" s="118">
        <v>150</v>
      </c>
      <c r="L398" s="113" t="s">
        <v>766</v>
      </c>
      <c r="M398" s="142">
        <v>46217</v>
      </c>
      <c r="N398" s="143">
        <v>46220</v>
      </c>
      <c r="O398" s="140">
        <v>46218</v>
      </c>
      <c r="P398" s="116">
        <f t="shared" si="12"/>
        <v>1</v>
      </c>
      <c r="Q398" s="116">
        <f t="shared" si="13"/>
        <v>2</v>
      </c>
    </row>
    <row r="399" spans="1:17">
      <c r="A399" s="108">
        <v>398</v>
      </c>
      <c r="B399" s="109" t="s">
        <v>337</v>
      </c>
      <c r="C399" s="112"/>
      <c r="D399" s="109" t="s">
        <v>86</v>
      </c>
      <c r="E399" s="112"/>
      <c r="F399" s="110" t="s">
        <v>769</v>
      </c>
      <c r="G399" s="111">
        <v>1</v>
      </c>
      <c r="H399" s="112" t="s">
        <v>66</v>
      </c>
      <c r="I399" s="118">
        <v>660</v>
      </c>
      <c r="J399" s="109"/>
      <c r="K399" s="118">
        <v>660</v>
      </c>
      <c r="L399" s="113" t="s">
        <v>770</v>
      </c>
      <c r="M399" s="142">
        <v>46219</v>
      </c>
      <c r="N399" s="143">
        <v>46226</v>
      </c>
      <c r="O399" s="140">
        <v>46224</v>
      </c>
      <c r="P399" s="116">
        <f t="shared" si="12"/>
        <v>5</v>
      </c>
      <c r="Q399" s="116">
        <f t="shared" si="13"/>
        <v>2</v>
      </c>
    </row>
    <row r="400" spans="1:17">
      <c r="A400" s="108">
        <v>399</v>
      </c>
      <c r="B400" s="109" t="s">
        <v>337</v>
      </c>
      <c r="C400" s="112"/>
      <c r="D400" s="109" t="s">
        <v>86</v>
      </c>
      <c r="E400" s="112"/>
      <c r="F400" s="110" t="s">
        <v>771</v>
      </c>
      <c r="G400" s="111">
        <v>1</v>
      </c>
      <c r="H400" s="112" t="s">
        <v>66</v>
      </c>
      <c r="I400" s="118">
        <v>132</v>
      </c>
      <c r="J400" s="109"/>
      <c r="K400" s="118">
        <v>132</v>
      </c>
      <c r="L400" s="113" t="s">
        <v>770</v>
      </c>
      <c r="M400" s="142">
        <v>46219</v>
      </c>
      <c r="N400" s="143">
        <v>46226</v>
      </c>
      <c r="O400" s="140">
        <v>46224</v>
      </c>
      <c r="P400" s="116">
        <f t="shared" si="12"/>
        <v>5</v>
      </c>
      <c r="Q400" s="116">
        <f t="shared" si="13"/>
        <v>2</v>
      </c>
    </row>
    <row r="401" spans="1:17">
      <c r="A401" s="108">
        <v>400</v>
      </c>
      <c r="B401" s="109" t="s">
        <v>337</v>
      </c>
      <c r="C401" s="112"/>
      <c r="D401" s="109" t="s">
        <v>86</v>
      </c>
      <c r="E401" s="112"/>
      <c r="F401" s="110" t="s">
        <v>772</v>
      </c>
      <c r="G401" s="111">
        <v>1</v>
      </c>
      <c r="H401" s="112" t="s">
        <v>66</v>
      </c>
      <c r="I401" s="118">
        <v>520</v>
      </c>
      <c r="J401" s="109"/>
      <c r="K401" s="118">
        <v>520</v>
      </c>
      <c r="L401" s="113" t="s">
        <v>770</v>
      </c>
      <c r="M401" s="142">
        <v>46219</v>
      </c>
      <c r="N401" s="143">
        <v>46226</v>
      </c>
      <c r="O401" s="140">
        <v>46224</v>
      </c>
      <c r="P401" s="116">
        <f t="shared" si="12"/>
        <v>5</v>
      </c>
      <c r="Q401" s="116">
        <f t="shared" si="13"/>
        <v>2</v>
      </c>
    </row>
    <row r="402" spans="1:17">
      <c r="A402" s="108">
        <v>401</v>
      </c>
      <c r="B402" s="109" t="s">
        <v>773</v>
      </c>
      <c r="C402" s="112" t="s">
        <v>774</v>
      </c>
      <c r="D402" s="109" t="s">
        <v>94</v>
      </c>
      <c r="E402" s="112" t="s">
        <v>775</v>
      </c>
      <c r="F402" s="109" t="s">
        <v>776</v>
      </c>
      <c r="G402" s="111">
        <v>8</v>
      </c>
      <c r="H402" s="112" t="s">
        <v>66</v>
      </c>
      <c r="I402" s="111">
        <v>15</v>
      </c>
      <c r="J402" s="111">
        <v>12</v>
      </c>
      <c r="K402" s="120">
        <v>108</v>
      </c>
      <c r="L402" s="113" t="s">
        <v>777</v>
      </c>
      <c r="M402" s="142">
        <v>46227</v>
      </c>
      <c r="N402" s="143">
        <v>46232</v>
      </c>
      <c r="O402" s="140">
        <v>46230</v>
      </c>
      <c r="P402" s="116">
        <f t="shared" si="12"/>
        <v>3</v>
      </c>
      <c r="Q402" s="116">
        <f t="shared" si="13"/>
        <v>2</v>
      </c>
    </row>
    <row r="403" spans="1:17">
      <c r="A403" s="108">
        <v>402</v>
      </c>
      <c r="B403" s="109" t="s">
        <v>778</v>
      </c>
      <c r="C403" s="112"/>
      <c r="D403" s="109" t="s">
        <v>779</v>
      </c>
      <c r="E403" s="112"/>
      <c r="F403" s="110" t="s">
        <v>780</v>
      </c>
      <c r="G403" s="111">
        <v>20</v>
      </c>
      <c r="H403" s="112" t="s">
        <v>66</v>
      </c>
      <c r="I403" s="118">
        <v>11.09</v>
      </c>
      <c r="J403" s="119"/>
      <c r="K403" s="118">
        <v>221.8</v>
      </c>
      <c r="L403" s="113" t="s">
        <v>781</v>
      </c>
      <c r="M403" s="142">
        <v>46209</v>
      </c>
      <c r="N403" s="143">
        <v>46213</v>
      </c>
      <c r="O403" s="140">
        <v>46210</v>
      </c>
      <c r="P403" s="116">
        <f t="shared" si="12"/>
        <v>1</v>
      </c>
      <c r="Q403" s="116">
        <f t="shared" si="13"/>
        <v>3</v>
      </c>
    </row>
    <row r="404" spans="1:17">
      <c r="A404" s="108">
        <v>403</v>
      </c>
      <c r="B404" s="109" t="s">
        <v>782</v>
      </c>
      <c r="C404" s="112"/>
      <c r="D404" s="109" t="s">
        <v>783</v>
      </c>
      <c r="E404" s="112"/>
      <c r="F404" s="110" t="s">
        <v>784</v>
      </c>
      <c r="G404" s="111">
        <v>1</v>
      </c>
      <c r="H404" s="112" t="s">
        <v>66</v>
      </c>
      <c r="I404" s="118">
        <v>158902</v>
      </c>
      <c r="J404" s="119"/>
      <c r="K404" s="118">
        <v>158902</v>
      </c>
      <c r="L404" s="113" t="s">
        <v>785</v>
      </c>
      <c r="M404" s="142">
        <v>46210</v>
      </c>
      <c r="N404" s="143">
        <v>46213</v>
      </c>
      <c r="O404" s="140">
        <v>46210</v>
      </c>
      <c r="P404" s="116">
        <f t="shared" si="12"/>
        <v>0</v>
      </c>
      <c r="Q404" s="116">
        <f t="shared" si="13"/>
        <v>3</v>
      </c>
    </row>
    <row r="405" spans="1:17">
      <c r="A405" s="108">
        <v>404</v>
      </c>
      <c r="B405" s="109" t="s">
        <v>786</v>
      </c>
      <c r="C405" s="112"/>
      <c r="D405" s="109" t="s">
        <v>557</v>
      </c>
      <c r="E405" s="112"/>
      <c r="F405" s="110" t="s">
        <v>787</v>
      </c>
      <c r="G405" s="111">
        <v>1</v>
      </c>
      <c r="H405" s="112" t="s">
        <v>66</v>
      </c>
      <c r="I405" s="118">
        <v>6740</v>
      </c>
      <c r="J405" s="109"/>
      <c r="K405" s="118">
        <v>6740</v>
      </c>
      <c r="L405" s="113" t="s">
        <v>788</v>
      </c>
      <c r="M405" s="142">
        <v>46212</v>
      </c>
      <c r="N405" s="143">
        <v>46216</v>
      </c>
      <c r="O405" s="140">
        <v>46213</v>
      </c>
      <c r="P405" s="116">
        <f t="shared" si="12"/>
        <v>1</v>
      </c>
      <c r="Q405" s="116">
        <f t="shared" si="13"/>
        <v>3</v>
      </c>
    </row>
    <row r="406" spans="1:17">
      <c r="A406" s="108">
        <v>405</v>
      </c>
      <c r="B406" s="109" t="s">
        <v>786</v>
      </c>
      <c r="C406" s="112"/>
      <c r="D406" s="109" t="s">
        <v>557</v>
      </c>
      <c r="E406" s="112"/>
      <c r="F406" s="110" t="s">
        <v>789</v>
      </c>
      <c r="G406" s="111">
        <v>1</v>
      </c>
      <c r="H406" s="112" t="s">
        <v>66</v>
      </c>
      <c r="I406" s="118">
        <v>1620</v>
      </c>
      <c r="J406" s="109"/>
      <c r="K406" s="118">
        <v>1620</v>
      </c>
      <c r="L406" s="113" t="s">
        <v>788</v>
      </c>
      <c r="M406" s="142">
        <v>46212</v>
      </c>
      <c r="N406" s="143">
        <v>46216</v>
      </c>
      <c r="O406" s="140">
        <v>46213</v>
      </c>
      <c r="P406" s="116">
        <f t="shared" si="12"/>
        <v>1</v>
      </c>
      <c r="Q406" s="116">
        <f t="shared" si="13"/>
        <v>3</v>
      </c>
    </row>
    <row r="407" spans="1:17">
      <c r="A407" s="108">
        <v>406</v>
      </c>
      <c r="B407" s="109" t="s">
        <v>786</v>
      </c>
      <c r="C407" s="112"/>
      <c r="D407" s="109" t="s">
        <v>557</v>
      </c>
      <c r="E407" s="112"/>
      <c r="F407" s="110" t="s">
        <v>790</v>
      </c>
      <c r="G407" s="111">
        <v>2</v>
      </c>
      <c r="H407" s="112" t="s">
        <v>66</v>
      </c>
      <c r="I407" s="118">
        <v>1060</v>
      </c>
      <c r="J407" s="109"/>
      <c r="K407" s="118">
        <v>2120</v>
      </c>
      <c r="L407" s="113" t="s">
        <v>788</v>
      </c>
      <c r="M407" s="142">
        <v>46212</v>
      </c>
      <c r="N407" s="143">
        <v>46216</v>
      </c>
      <c r="O407" s="140">
        <v>46213</v>
      </c>
      <c r="P407" s="116">
        <f t="shared" si="12"/>
        <v>1</v>
      </c>
      <c r="Q407" s="116">
        <f t="shared" si="13"/>
        <v>3</v>
      </c>
    </row>
    <row r="408" spans="1:17">
      <c r="A408" s="108">
        <v>407</v>
      </c>
      <c r="B408" s="109" t="s">
        <v>786</v>
      </c>
      <c r="C408" s="112"/>
      <c r="D408" s="109" t="s">
        <v>70</v>
      </c>
      <c r="E408" s="112"/>
      <c r="F408" s="110" t="s">
        <v>791</v>
      </c>
      <c r="G408" s="111">
        <v>18</v>
      </c>
      <c r="H408" s="112" t="s">
        <v>66</v>
      </c>
      <c r="I408" s="118">
        <v>0.7</v>
      </c>
      <c r="J408" s="109"/>
      <c r="K408" s="118">
        <v>12.6</v>
      </c>
      <c r="L408" s="113" t="s">
        <v>792</v>
      </c>
      <c r="M408" s="142">
        <v>46211</v>
      </c>
      <c r="N408" s="143">
        <v>46216</v>
      </c>
      <c r="O408" s="140">
        <v>46213</v>
      </c>
      <c r="P408" s="116">
        <f t="shared" si="12"/>
        <v>2</v>
      </c>
      <c r="Q408" s="116">
        <f t="shared" si="13"/>
        <v>3</v>
      </c>
    </row>
    <row r="409" spans="1:17">
      <c r="A409" s="108">
        <v>408</v>
      </c>
      <c r="B409" s="109" t="s">
        <v>786</v>
      </c>
      <c r="C409" s="112"/>
      <c r="D409" s="109" t="s">
        <v>70</v>
      </c>
      <c r="E409" s="112"/>
      <c r="F409" s="110" t="s">
        <v>793</v>
      </c>
      <c r="G409" s="111">
        <v>18</v>
      </c>
      <c r="H409" s="112" t="s">
        <v>66</v>
      </c>
      <c r="I409" s="118">
        <v>0.5</v>
      </c>
      <c r="J409" s="109"/>
      <c r="K409" s="118">
        <v>9</v>
      </c>
      <c r="L409" s="113" t="s">
        <v>792</v>
      </c>
      <c r="M409" s="142">
        <v>46211</v>
      </c>
      <c r="N409" s="143">
        <v>46216</v>
      </c>
      <c r="O409" s="140">
        <v>46213</v>
      </c>
      <c r="P409" s="116">
        <f t="shared" si="12"/>
        <v>2</v>
      </c>
      <c r="Q409" s="116">
        <f t="shared" si="13"/>
        <v>3</v>
      </c>
    </row>
    <row r="410" spans="1:17">
      <c r="A410" s="108">
        <v>409</v>
      </c>
      <c r="B410" s="109" t="s">
        <v>786</v>
      </c>
      <c r="C410" s="112"/>
      <c r="D410" s="109" t="s">
        <v>70</v>
      </c>
      <c r="E410" s="112"/>
      <c r="F410" s="110" t="s">
        <v>794</v>
      </c>
      <c r="G410" s="111">
        <v>10</v>
      </c>
      <c r="H410" s="112" t="s">
        <v>66</v>
      </c>
      <c r="I410" s="118">
        <v>6.9</v>
      </c>
      <c r="J410" s="109"/>
      <c r="K410" s="118">
        <v>69</v>
      </c>
      <c r="L410" s="113" t="s">
        <v>792</v>
      </c>
      <c r="M410" s="142">
        <v>46211</v>
      </c>
      <c r="N410" s="143">
        <v>46216</v>
      </c>
      <c r="O410" s="140">
        <v>46213</v>
      </c>
      <c r="P410" s="116">
        <f t="shared" si="12"/>
        <v>2</v>
      </c>
      <c r="Q410" s="116">
        <f t="shared" si="13"/>
        <v>3</v>
      </c>
    </row>
    <row r="411" spans="1:17">
      <c r="A411" s="108">
        <v>410</v>
      </c>
      <c r="B411" s="109" t="s">
        <v>786</v>
      </c>
      <c r="C411" s="112"/>
      <c r="D411" s="109" t="s">
        <v>70</v>
      </c>
      <c r="E411" s="112"/>
      <c r="F411" s="110" t="s">
        <v>795</v>
      </c>
      <c r="G411" s="111">
        <v>10</v>
      </c>
      <c r="H411" s="112" t="s">
        <v>66</v>
      </c>
      <c r="I411" s="118">
        <v>3</v>
      </c>
      <c r="J411" s="109"/>
      <c r="K411" s="118">
        <v>30</v>
      </c>
      <c r="L411" s="113" t="s">
        <v>792</v>
      </c>
      <c r="M411" s="142">
        <v>46211</v>
      </c>
      <c r="N411" s="143">
        <v>46216</v>
      </c>
      <c r="O411" s="140">
        <v>46213</v>
      </c>
      <c r="P411" s="116">
        <f t="shared" si="12"/>
        <v>2</v>
      </c>
      <c r="Q411" s="116">
        <f t="shared" si="13"/>
        <v>3</v>
      </c>
    </row>
    <row r="412" spans="1:17">
      <c r="A412" s="108">
        <v>411</v>
      </c>
      <c r="B412" s="109" t="s">
        <v>786</v>
      </c>
      <c r="C412" s="112"/>
      <c r="D412" s="109" t="s">
        <v>70</v>
      </c>
      <c r="E412" s="112"/>
      <c r="F412" s="110" t="s">
        <v>796</v>
      </c>
      <c r="G412" s="111">
        <v>34</v>
      </c>
      <c r="H412" s="112" t="s">
        <v>66</v>
      </c>
      <c r="I412" s="118">
        <v>0.2</v>
      </c>
      <c r="J412" s="109"/>
      <c r="K412" s="118">
        <v>6.8</v>
      </c>
      <c r="L412" s="113" t="s">
        <v>792</v>
      </c>
      <c r="M412" s="142">
        <v>46211</v>
      </c>
      <c r="N412" s="143">
        <v>46216</v>
      </c>
      <c r="O412" s="140">
        <v>46213</v>
      </c>
      <c r="P412" s="116">
        <f t="shared" si="12"/>
        <v>2</v>
      </c>
      <c r="Q412" s="116">
        <f t="shared" si="13"/>
        <v>3</v>
      </c>
    </row>
    <row r="413" spans="1:17">
      <c r="A413" s="108">
        <v>412</v>
      </c>
      <c r="B413" s="109" t="s">
        <v>786</v>
      </c>
      <c r="C413" s="112"/>
      <c r="D413" s="109" t="s">
        <v>70</v>
      </c>
      <c r="E413" s="112"/>
      <c r="F413" s="110" t="s">
        <v>797</v>
      </c>
      <c r="G413" s="111">
        <v>34</v>
      </c>
      <c r="H413" s="112" t="s">
        <v>66</v>
      </c>
      <c r="I413" s="118">
        <v>3</v>
      </c>
      <c r="J413" s="109"/>
      <c r="K413" s="118">
        <v>102</v>
      </c>
      <c r="L413" s="113" t="s">
        <v>792</v>
      </c>
      <c r="M413" s="142">
        <v>46211</v>
      </c>
      <c r="N413" s="143">
        <v>46216</v>
      </c>
      <c r="O413" s="140">
        <v>46213</v>
      </c>
      <c r="P413" s="116">
        <f t="shared" si="12"/>
        <v>2</v>
      </c>
      <c r="Q413" s="116">
        <f t="shared" si="13"/>
        <v>3</v>
      </c>
    </row>
    <row r="414" spans="1:17">
      <c r="A414" s="108">
        <v>413</v>
      </c>
      <c r="B414" s="109" t="s">
        <v>786</v>
      </c>
      <c r="C414" s="112"/>
      <c r="D414" s="109" t="s">
        <v>70</v>
      </c>
      <c r="E414" s="112"/>
      <c r="F414" s="110" t="s">
        <v>798</v>
      </c>
      <c r="G414" s="111">
        <v>10</v>
      </c>
      <c r="H414" s="112" t="s">
        <v>66</v>
      </c>
      <c r="I414" s="118">
        <v>0.15</v>
      </c>
      <c r="J414" s="109"/>
      <c r="K414" s="118">
        <v>1.5</v>
      </c>
      <c r="L414" s="113" t="s">
        <v>792</v>
      </c>
      <c r="M414" s="142">
        <v>46211</v>
      </c>
      <c r="N414" s="143">
        <v>46216</v>
      </c>
      <c r="O414" s="140">
        <v>46213</v>
      </c>
      <c r="P414" s="116">
        <f t="shared" si="12"/>
        <v>2</v>
      </c>
      <c r="Q414" s="116">
        <f t="shared" si="13"/>
        <v>3</v>
      </c>
    </row>
    <row r="415" spans="1:17">
      <c r="A415" s="108">
        <v>414</v>
      </c>
      <c r="B415" s="109" t="s">
        <v>786</v>
      </c>
      <c r="C415" s="112"/>
      <c r="D415" s="109" t="s">
        <v>70</v>
      </c>
      <c r="E415" s="112"/>
      <c r="F415" s="110" t="s">
        <v>799</v>
      </c>
      <c r="G415" s="111">
        <v>10</v>
      </c>
      <c r="H415" s="112" t="s">
        <v>66</v>
      </c>
      <c r="I415" s="118">
        <v>0.27</v>
      </c>
      <c r="J415" s="109"/>
      <c r="K415" s="118">
        <v>2.7</v>
      </c>
      <c r="L415" s="113" t="s">
        <v>792</v>
      </c>
      <c r="M415" s="142">
        <v>46211</v>
      </c>
      <c r="N415" s="143">
        <v>46216</v>
      </c>
      <c r="O415" s="140">
        <v>46213</v>
      </c>
      <c r="P415" s="116">
        <f t="shared" si="12"/>
        <v>2</v>
      </c>
      <c r="Q415" s="116">
        <f t="shared" si="13"/>
        <v>3</v>
      </c>
    </row>
    <row r="416" spans="1:17">
      <c r="A416" s="108">
        <v>415</v>
      </c>
      <c r="B416" s="109" t="s">
        <v>786</v>
      </c>
      <c r="C416" s="112"/>
      <c r="D416" s="109" t="s">
        <v>70</v>
      </c>
      <c r="E416" s="112"/>
      <c r="F416" s="110" t="s">
        <v>800</v>
      </c>
      <c r="G416" s="111">
        <v>18</v>
      </c>
      <c r="H416" s="112" t="s">
        <v>66</v>
      </c>
      <c r="I416" s="118">
        <v>0.12</v>
      </c>
      <c r="J416" s="109"/>
      <c r="K416" s="118">
        <v>2.16</v>
      </c>
      <c r="L416" s="113" t="s">
        <v>792</v>
      </c>
      <c r="M416" s="142">
        <v>46211</v>
      </c>
      <c r="N416" s="143">
        <v>46216</v>
      </c>
      <c r="O416" s="140">
        <v>46213</v>
      </c>
      <c r="P416" s="116">
        <f t="shared" si="12"/>
        <v>2</v>
      </c>
      <c r="Q416" s="116">
        <f t="shared" si="13"/>
        <v>3</v>
      </c>
    </row>
    <row r="417" spans="1:17">
      <c r="A417" s="108">
        <v>416</v>
      </c>
      <c r="B417" s="109" t="s">
        <v>786</v>
      </c>
      <c r="C417" s="112"/>
      <c r="D417" s="109" t="s">
        <v>70</v>
      </c>
      <c r="E417" s="112"/>
      <c r="F417" s="110" t="s">
        <v>801</v>
      </c>
      <c r="G417" s="111">
        <v>10</v>
      </c>
      <c r="H417" s="112" t="s">
        <v>66</v>
      </c>
      <c r="I417" s="118">
        <v>0.28999999999999998</v>
      </c>
      <c r="J417" s="109"/>
      <c r="K417" s="118">
        <v>2.9</v>
      </c>
      <c r="L417" s="113" t="s">
        <v>792</v>
      </c>
      <c r="M417" s="142">
        <v>46211</v>
      </c>
      <c r="N417" s="143">
        <v>46216</v>
      </c>
      <c r="O417" s="140">
        <v>46213</v>
      </c>
      <c r="P417" s="116">
        <f t="shared" si="12"/>
        <v>2</v>
      </c>
      <c r="Q417" s="116">
        <f t="shared" si="13"/>
        <v>3</v>
      </c>
    </row>
    <row r="418" spans="1:17">
      <c r="A418" s="108">
        <v>417</v>
      </c>
      <c r="B418" s="109" t="s">
        <v>786</v>
      </c>
      <c r="C418" s="112"/>
      <c r="D418" s="109" t="s">
        <v>70</v>
      </c>
      <c r="E418" s="112"/>
      <c r="F418" s="110" t="s">
        <v>802</v>
      </c>
      <c r="G418" s="111">
        <v>10</v>
      </c>
      <c r="H418" s="112" t="s">
        <v>66</v>
      </c>
      <c r="I418" s="118">
        <v>0.2</v>
      </c>
      <c r="J418" s="109"/>
      <c r="K418" s="118">
        <v>2</v>
      </c>
      <c r="L418" s="113" t="s">
        <v>792</v>
      </c>
      <c r="M418" s="142">
        <v>46211</v>
      </c>
      <c r="N418" s="143">
        <v>46216</v>
      </c>
      <c r="O418" s="140">
        <v>46213</v>
      </c>
      <c r="P418" s="116">
        <f t="shared" si="12"/>
        <v>2</v>
      </c>
      <c r="Q418" s="116">
        <f t="shared" si="13"/>
        <v>3</v>
      </c>
    </row>
    <row r="419" spans="1:17">
      <c r="A419" s="108">
        <v>418</v>
      </c>
      <c r="B419" s="109" t="s">
        <v>786</v>
      </c>
      <c r="C419" s="112"/>
      <c r="D419" s="109" t="s">
        <v>70</v>
      </c>
      <c r="E419" s="112"/>
      <c r="F419" s="110" t="s">
        <v>803</v>
      </c>
      <c r="G419" s="111">
        <v>6</v>
      </c>
      <c r="H419" s="112" t="s">
        <v>66</v>
      </c>
      <c r="I419" s="118">
        <v>5</v>
      </c>
      <c r="J419" s="109"/>
      <c r="K419" s="118">
        <v>30</v>
      </c>
      <c r="L419" s="113" t="s">
        <v>792</v>
      </c>
      <c r="M419" s="142">
        <v>46211</v>
      </c>
      <c r="N419" s="143">
        <v>46216</v>
      </c>
      <c r="O419" s="140">
        <v>46213</v>
      </c>
      <c r="P419" s="116">
        <f t="shared" si="12"/>
        <v>2</v>
      </c>
      <c r="Q419" s="116">
        <f t="shared" si="13"/>
        <v>3</v>
      </c>
    </row>
    <row r="420" spans="1:17">
      <c r="A420" s="108">
        <v>419</v>
      </c>
      <c r="B420" s="109" t="s">
        <v>786</v>
      </c>
      <c r="C420" s="112"/>
      <c r="D420" s="109" t="s">
        <v>70</v>
      </c>
      <c r="E420" s="112"/>
      <c r="F420" s="110" t="s">
        <v>804</v>
      </c>
      <c r="G420" s="111">
        <v>18</v>
      </c>
      <c r="H420" s="112" t="s">
        <v>66</v>
      </c>
      <c r="I420" s="118">
        <v>3</v>
      </c>
      <c r="J420" s="109"/>
      <c r="K420" s="118">
        <v>54</v>
      </c>
      <c r="L420" s="113" t="s">
        <v>792</v>
      </c>
      <c r="M420" s="142">
        <v>46211</v>
      </c>
      <c r="N420" s="143">
        <v>46216</v>
      </c>
      <c r="O420" s="140">
        <v>46213</v>
      </c>
      <c r="P420" s="116">
        <f t="shared" si="12"/>
        <v>2</v>
      </c>
      <c r="Q420" s="116">
        <f t="shared" si="13"/>
        <v>3</v>
      </c>
    </row>
    <row r="421" spans="1:17">
      <c r="A421" s="108">
        <v>420</v>
      </c>
      <c r="B421" s="109" t="s">
        <v>805</v>
      </c>
      <c r="C421" s="112"/>
      <c r="D421" s="109" t="s">
        <v>806</v>
      </c>
      <c r="E421" s="112"/>
      <c r="F421" s="110" t="s">
        <v>807</v>
      </c>
      <c r="G421" s="111">
        <v>1</v>
      </c>
      <c r="H421" s="112" t="s">
        <v>66</v>
      </c>
      <c r="I421" s="118">
        <v>200</v>
      </c>
      <c r="J421" s="109"/>
      <c r="K421" s="118">
        <v>200</v>
      </c>
      <c r="L421" s="113" t="s">
        <v>808</v>
      </c>
      <c r="M421" s="142">
        <v>46217</v>
      </c>
      <c r="N421" s="143">
        <v>46220</v>
      </c>
      <c r="O421" s="140">
        <v>46217</v>
      </c>
      <c r="P421" s="116">
        <f t="shared" si="12"/>
        <v>0</v>
      </c>
      <c r="Q421" s="116">
        <f t="shared" si="13"/>
        <v>3</v>
      </c>
    </row>
    <row r="422" spans="1:17">
      <c r="A422" s="108">
        <v>421</v>
      </c>
      <c r="B422" s="109" t="s">
        <v>805</v>
      </c>
      <c r="C422" s="112"/>
      <c r="D422" s="109" t="s">
        <v>806</v>
      </c>
      <c r="E422" s="112"/>
      <c r="F422" s="110" t="s">
        <v>809</v>
      </c>
      <c r="G422" s="111">
        <v>1</v>
      </c>
      <c r="H422" s="112" t="s">
        <v>66</v>
      </c>
      <c r="I422" s="118">
        <v>330</v>
      </c>
      <c r="J422" s="109"/>
      <c r="K422" s="118">
        <v>330</v>
      </c>
      <c r="L422" s="113" t="s">
        <v>808</v>
      </c>
      <c r="M422" s="142">
        <v>46217</v>
      </c>
      <c r="N422" s="143">
        <v>46220</v>
      </c>
      <c r="O422" s="140">
        <v>46217</v>
      </c>
      <c r="P422" s="116">
        <f t="shared" si="12"/>
        <v>0</v>
      </c>
      <c r="Q422" s="116">
        <f t="shared" si="13"/>
        <v>3</v>
      </c>
    </row>
    <row r="423" spans="1:17">
      <c r="A423" s="108">
        <v>422</v>
      </c>
      <c r="B423" s="109" t="s">
        <v>805</v>
      </c>
      <c r="C423" s="112"/>
      <c r="D423" s="109" t="s">
        <v>806</v>
      </c>
      <c r="E423" s="112"/>
      <c r="F423" s="110" t="s">
        <v>810</v>
      </c>
      <c r="G423" s="111">
        <v>1</v>
      </c>
      <c r="H423" s="112" t="s">
        <v>66</v>
      </c>
      <c r="I423" s="118">
        <v>550</v>
      </c>
      <c r="J423" s="109"/>
      <c r="K423" s="118">
        <v>550</v>
      </c>
      <c r="L423" s="113" t="s">
        <v>808</v>
      </c>
      <c r="M423" s="142">
        <v>46217</v>
      </c>
      <c r="N423" s="143">
        <v>46220</v>
      </c>
      <c r="O423" s="140">
        <v>46217</v>
      </c>
      <c r="P423" s="116">
        <f t="shared" si="12"/>
        <v>0</v>
      </c>
      <c r="Q423" s="116">
        <f t="shared" si="13"/>
        <v>3</v>
      </c>
    </row>
    <row r="424" spans="1:17">
      <c r="A424" s="108">
        <v>423</v>
      </c>
      <c r="B424" s="109" t="s">
        <v>805</v>
      </c>
      <c r="C424" s="112"/>
      <c r="D424" s="109" t="s">
        <v>806</v>
      </c>
      <c r="E424" s="112"/>
      <c r="F424" s="110" t="s">
        <v>811</v>
      </c>
      <c r="G424" s="111">
        <v>1</v>
      </c>
      <c r="H424" s="112" t="s">
        <v>66</v>
      </c>
      <c r="I424" s="118">
        <v>760</v>
      </c>
      <c r="J424" s="109"/>
      <c r="K424" s="118">
        <v>760</v>
      </c>
      <c r="L424" s="113" t="s">
        <v>808</v>
      </c>
      <c r="M424" s="142">
        <v>46217</v>
      </c>
      <c r="N424" s="143">
        <v>46220</v>
      </c>
      <c r="O424" s="140">
        <v>46217</v>
      </c>
      <c r="P424" s="116">
        <f t="shared" si="12"/>
        <v>0</v>
      </c>
      <c r="Q424" s="116">
        <f t="shared" si="13"/>
        <v>3</v>
      </c>
    </row>
    <row r="425" spans="1:17">
      <c r="A425" s="108">
        <v>424</v>
      </c>
      <c r="B425" s="109" t="s">
        <v>805</v>
      </c>
      <c r="C425" s="112"/>
      <c r="D425" s="109" t="s">
        <v>806</v>
      </c>
      <c r="E425" s="112"/>
      <c r="F425" s="110" t="s">
        <v>812</v>
      </c>
      <c r="G425" s="111">
        <v>1</v>
      </c>
      <c r="H425" s="112" t="s">
        <v>66</v>
      </c>
      <c r="I425" s="118">
        <v>680</v>
      </c>
      <c r="J425" s="109"/>
      <c r="K425" s="118">
        <v>680</v>
      </c>
      <c r="L425" s="113" t="s">
        <v>808</v>
      </c>
      <c r="M425" s="142">
        <v>46217</v>
      </c>
      <c r="N425" s="143">
        <v>46220</v>
      </c>
      <c r="O425" s="140">
        <v>46217</v>
      </c>
      <c r="P425" s="116">
        <f t="shared" si="12"/>
        <v>0</v>
      </c>
      <c r="Q425" s="116">
        <f t="shared" si="13"/>
        <v>3</v>
      </c>
    </row>
    <row r="426" spans="1:17">
      <c r="A426" s="108">
        <v>425</v>
      </c>
      <c r="B426" s="109" t="s">
        <v>805</v>
      </c>
      <c r="C426" s="112"/>
      <c r="D426" s="109" t="s">
        <v>806</v>
      </c>
      <c r="E426" s="112"/>
      <c r="F426" s="110" t="s">
        <v>813</v>
      </c>
      <c r="G426" s="111">
        <v>1</v>
      </c>
      <c r="H426" s="112" t="s">
        <v>66</v>
      </c>
      <c r="I426" s="118">
        <v>650</v>
      </c>
      <c r="J426" s="109"/>
      <c r="K426" s="118">
        <v>650</v>
      </c>
      <c r="L426" s="113" t="s">
        <v>808</v>
      </c>
      <c r="M426" s="142">
        <v>46217</v>
      </c>
      <c r="N426" s="143">
        <v>46220</v>
      </c>
      <c r="O426" s="140">
        <v>46217</v>
      </c>
      <c r="P426" s="116">
        <f t="shared" si="12"/>
        <v>0</v>
      </c>
      <c r="Q426" s="116">
        <f t="shared" si="13"/>
        <v>3</v>
      </c>
    </row>
    <row r="427" spans="1:17">
      <c r="A427" s="108">
        <v>426</v>
      </c>
      <c r="B427" s="109" t="s">
        <v>805</v>
      </c>
      <c r="C427" s="112"/>
      <c r="D427" s="109" t="s">
        <v>806</v>
      </c>
      <c r="E427" s="112"/>
      <c r="F427" s="110" t="s">
        <v>814</v>
      </c>
      <c r="G427" s="111">
        <v>1</v>
      </c>
      <c r="H427" s="112" t="s">
        <v>66</v>
      </c>
      <c r="I427" s="118">
        <v>200</v>
      </c>
      <c r="J427" s="109"/>
      <c r="K427" s="118">
        <v>200</v>
      </c>
      <c r="L427" s="113" t="s">
        <v>808</v>
      </c>
      <c r="M427" s="142">
        <v>46217</v>
      </c>
      <c r="N427" s="143">
        <v>46220</v>
      </c>
      <c r="O427" s="140">
        <v>46217</v>
      </c>
      <c r="P427" s="116">
        <f t="shared" si="12"/>
        <v>0</v>
      </c>
      <c r="Q427" s="116">
        <f t="shared" si="13"/>
        <v>3</v>
      </c>
    </row>
    <row r="428" spans="1:17">
      <c r="A428" s="108">
        <v>427</v>
      </c>
      <c r="B428" s="109" t="s">
        <v>805</v>
      </c>
      <c r="C428" s="112"/>
      <c r="D428" s="109" t="s">
        <v>806</v>
      </c>
      <c r="E428" s="112"/>
      <c r="F428" s="110" t="s">
        <v>815</v>
      </c>
      <c r="G428" s="111">
        <v>1</v>
      </c>
      <c r="H428" s="112" t="s">
        <v>66</v>
      </c>
      <c r="I428" s="118">
        <v>200</v>
      </c>
      <c r="J428" s="109"/>
      <c r="K428" s="118">
        <v>200</v>
      </c>
      <c r="L428" s="113" t="s">
        <v>808</v>
      </c>
      <c r="M428" s="142">
        <v>46217</v>
      </c>
      <c r="N428" s="143">
        <v>46220</v>
      </c>
      <c r="O428" s="140">
        <v>46217</v>
      </c>
      <c r="P428" s="116">
        <f t="shared" si="12"/>
        <v>0</v>
      </c>
      <c r="Q428" s="116">
        <f t="shared" si="13"/>
        <v>3</v>
      </c>
    </row>
    <row r="429" spans="1:17">
      <c r="A429" s="108">
        <v>428</v>
      </c>
      <c r="B429" s="109" t="s">
        <v>805</v>
      </c>
      <c r="C429" s="112"/>
      <c r="D429" s="109" t="s">
        <v>806</v>
      </c>
      <c r="E429" s="112"/>
      <c r="F429" s="110" t="s">
        <v>816</v>
      </c>
      <c r="G429" s="111">
        <v>5</v>
      </c>
      <c r="H429" s="112" t="s">
        <v>85</v>
      </c>
      <c r="I429" s="118">
        <v>10</v>
      </c>
      <c r="J429" s="109"/>
      <c r="K429" s="118">
        <v>50</v>
      </c>
      <c r="L429" s="113" t="s">
        <v>808</v>
      </c>
      <c r="M429" s="142">
        <v>46217</v>
      </c>
      <c r="N429" s="143">
        <v>46220</v>
      </c>
      <c r="O429" s="140">
        <v>46217</v>
      </c>
      <c r="P429" s="116">
        <f t="shared" si="12"/>
        <v>0</v>
      </c>
      <c r="Q429" s="116">
        <f t="shared" si="13"/>
        <v>3</v>
      </c>
    </row>
    <row r="430" spans="1:17">
      <c r="A430" s="108">
        <v>429</v>
      </c>
      <c r="B430" s="109" t="s">
        <v>805</v>
      </c>
      <c r="C430" s="112"/>
      <c r="D430" s="109" t="s">
        <v>806</v>
      </c>
      <c r="E430" s="112"/>
      <c r="F430" s="110" t="s">
        <v>817</v>
      </c>
      <c r="G430" s="111">
        <v>5</v>
      </c>
      <c r="H430" s="112" t="s">
        <v>66</v>
      </c>
      <c r="I430" s="118">
        <v>30</v>
      </c>
      <c r="J430" s="109"/>
      <c r="K430" s="118">
        <v>150</v>
      </c>
      <c r="L430" s="113" t="s">
        <v>808</v>
      </c>
      <c r="M430" s="142">
        <v>46217</v>
      </c>
      <c r="N430" s="143">
        <v>46220</v>
      </c>
      <c r="O430" s="140">
        <v>46217</v>
      </c>
      <c r="P430" s="116">
        <f t="shared" si="12"/>
        <v>0</v>
      </c>
      <c r="Q430" s="116">
        <f t="shared" si="13"/>
        <v>3</v>
      </c>
    </row>
    <row r="431" spans="1:17">
      <c r="A431" s="108">
        <v>430</v>
      </c>
      <c r="B431" s="109" t="s">
        <v>805</v>
      </c>
      <c r="C431" s="112"/>
      <c r="D431" s="109" t="s">
        <v>806</v>
      </c>
      <c r="E431" s="112"/>
      <c r="F431" s="110" t="s">
        <v>818</v>
      </c>
      <c r="G431" s="111">
        <v>1</v>
      </c>
      <c r="H431" s="112" t="s">
        <v>74</v>
      </c>
      <c r="I431" s="118">
        <v>30</v>
      </c>
      <c r="J431" s="109"/>
      <c r="K431" s="118">
        <v>30</v>
      </c>
      <c r="L431" s="113" t="s">
        <v>808</v>
      </c>
      <c r="M431" s="142">
        <v>46217</v>
      </c>
      <c r="N431" s="143">
        <v>46220</v>
      </c>
      <c r="O431" s="140">
        <v>46217</v>
      </c>
      <c r="P431" s="116">
        <f t="shared" si="12"/>
        <v>0</v>
      </c>
      <c r="Q431" s="116">
        <f t="shared" si="13"/>
        <v>3</v>
      </c>
    </row>
    <row r="432" spans="1:17">
      <c r="A432" s="108">
        <v>431</v>
      </c>
      <c r="B432" s="109" t="s">
        <v>805</v>
      </c>
      <c r="C432" s="112"/>
      <c r="D432" s="109" t="s">
        <v>806</v>
      </c>
      <c r="E432" s="112"/>
      <c r="F432" s="110" t="s">
        <v>819</v>
      </c>
      <c r="G432" s="111">
        <v>1</v>
      </c>
      <c r="H432" s="112" t="s">
        <v>66</v>
      </c>
      <c r="I432" s="118">
        <v>140</v>
      </c>
      <c r="J432" s="109"/>
      <c r="K432" s="118">
        <v>140</v>
      </c>
      <c r="L432" s="113" t="s">
        <v>808</v>
      </c>
      <c r="M432" s="142">
        <v>46217</v>
      </c>
      <c r="N432" s="143">
        <v>46220</v>
      </c>
      <c r="O432" s="140">
        <v>46217</v>
      </c>
      <c r="P432" s="116">
        <f t="shared" si="12"/>
        <v>0</v>
      </c>
      <c r="Q432" s="116">
        <f t="shared" si="13"/>
        <v>3</v>
      </c>
    </row>
    <row r="433" spans="1:17">
      <c r="A433" s="108">
        <v>432</v>
      </c>
      <c r="B433" s="109" t="s">
        <v>805</v>
      </c>
      <c r="C433" s="112"/>
      <c r="D433" s="109" t="s">
        <v>806</v>
      </c>
      <c r="E433" s="112"/>
      <c r="F433" s="110" t="s">
        <v>820</v>
      </c>
      <c r="G433" s="111">
        <v>1</v>
      </c>
      <c r="H433" s="112" t="s">
        <v>66</v>
      </c>
      <c r="I433" s="118">
        <v>210</v>
      </c>
      <c r="J433" s="109"/>
      <c r="K433" s="118">
        <v>210</v>
      </c>
      <c r="L433" s="113" t="s">
        <v>808</v>
      </c>
      <c r="M433" s="142">
        <v>46217</v>
      </c>
      <c r="N433" s="143">
        <v>46220</v>
      </c>
      <c r="O433" s="140">
        <v>46217</v>
      </c>
      <c r="P433" s="116">
        <f t="shared" si="12"/>
        <v>0</v>
      </c>
      <c r="Q433" s="116">
        <f t="shared" si="13"/>
        <v>3</v>
      </c>
    </row>
    <row r="434" spans="1:17">
      <c r="A434" s="108">
        <v>433</v>
      </c>
      <c r="B434" s="109" t="s">
        <v>805</v>
      </c>
      <c r="C434" s="112"/>
      <c r="D434" s="109" t="s">
        <v>806</v>
      </c>
      <c r="E434" s="112"/>
      <c r="F434" s="110" t="s">
        <v>821</v>
      </c>
      <c r="G434" s="111">
        <v>2</v>
      </c>
      <c r="H434" s="112" t="s">
        <v>66</v>
      </c>
      <c r="I434" s="118">
        <v>130</v>
      </c>
      <c r="J434" s="109"/>
      <c r="K434" s="118">
        <v>260</v>
      </c>
      <c r="L434" s="113" t="s">
        <v>808</v>
      </c>
      <c r="M434" s="142">
        <v>46217</v>
      </c>
      <c r="N434" s="143">
        <v>46220</v>
      </c>
      <c r="O434" s="140">
        <v>46217</v>
      </c>
      <c r="P434" s="116">
        <f t="shared" si="12"/>
        <v>0</v>
      </c>
      <c r="Q434" s="116">
        <f t="shared" si="13"/>
        <v>3</v>
      </c>
    </row>
    <row r="435" spans="1:17">
      <c r="A435" s="108">
        <v>434</v>
      </c>
      <c r="B435" s="109" t="s">
        <v>805</v>
      </c>
      <c r="C435" s="112"/>
      <c r="D435" s="109" t="s">
        <v>806</v>
      </c>
      <c r="E435" s="112"/>
      <c r="F435" s="110" t="s">
        <v>822</v>
      </c>
      <c r="G435" s="111">
        <v>1</v>
      </c>
      <c r="H435" s="112" t="s">
        <v>66</v>
      </c>
      <c r="I435" s="118">
        <v>140</v>
      </c>
      <c r="J435" s="109"/>
      <c r="K435" s="118">
        <v>140</v>
      </c>
      <c r="L435" s="113" t="s">
        <v>808</v>
      </c>
      <c r="M435" s="142">
        <v>46217</v>
      </c>
      <c r="N435" s="143">
        <v>46220</v>
      </c>
      <c r="O435" s="140">
        <v>46217</v>
      </c>
      <c r="P435" s="116">
        <f t="shared" si="12"/>
        <v>0</v>
      </c>
      <c r="Q435" s="116">
        <f t="shared" si="13"/>
        <v>3</v>
      </c>
    </row>
    <row r="436" spans="1:17">
      <c r="A436" s="108">
        <v>435</v>
      </c>
      <c r="B436" s="109" t="s">
        <v>805</v>
      </c>
      <c r="C436" s="112"/>
      <c r="D436" s="109" t="s">
        <v>806</v>
      </c>
      <c r="E436" s="112"/>
      <c r="F436" s="110" t="s">
        <v>823</v>
      </c>
      <c r="G436" s="111">
        <v>1</v>
      </c>
      <c r="H436" s="112" t="s">
        <v>66</v>
      </c>
      <c r="I436" s="118">
        <v>100</v>
      </c>
      <c r="J436" s="109"/>
      <c r="K436" s="118">
        <v>100</v>
      </c>
      <c r="L436" s="113" t="s">
        <v>808</v>
      </c>
      <c r="M436" s="142">
        <v>46217</v>
      </c>
      <c r="N436" s="143">
        <v>46220</v>
      </c>
      <c r="O436" s="140">
        <v>46217</v>
      </c>
      <c r="P436" s="116">
        <f t="shared" si="12"/>
        <v>0</v>
      </c>
      <c r="Q436" s="116">
        <f t="shared" si="13"/>
        <v>3</v>
      </c>
    </row>
    <row r="437" spans="1:17">
      <c r="A437" s="108">
        <v>436</v>
      </c>
      <c r="B437" s="109" t="s">
        <v>805</v>
      </c>
      <c r="C437" s="112"/>
      <c r="D437" s="109" t="s">
        <v>806</v>
      </c>
      <c r="E437" s="112"/>
      <c r="F437" s="110" t="s">
        <v>824</v>
      </c>
      <c r="G437" s="111">
        <v>30</v>
      </c>
      <c r="H437" s="112" t="s">
        <v>66</v>
      </c>
      <c r="I437" s="118">
        <v>0.7</v>
      </c>
      <c r="J437" s="109"/>
      <c r="K437" s="118">
        <v>21</v>
      </c>
      <c r="L437" s="113" t="s">
        <v>808</v>
      </c>
      <c r="M437" s="142">
        <v>46217</v>
      </c>
      <c r="N437" s="143">
        <v>46220</v>
      </c>
      <c r="O437" s="140">
        <v>46217</v>
      </c>
      <c r="P437" s="116">
        <f t="shared" si="12"/>
        <v>0</v>
      </c>
      <c r="Q437" s="116">
        <f t="shared" si="13"/>
        <v>3</v>
      </c>
    </row>
    <row r="438" spans="1:17">
      <c r="A438" s="108">
        <v>437</v>
      </c>
      <c r="B438" s="109" t="s">
        <v>805</v>
      </c>
      <c r="C438" s="112"/>
      <c r="D438" s="109" t="s">
        <v>806</v>
      </c>
      <c r="E438" s="112"/>
      <c r="F438" s="110" t="s">
        <v>825</v>
      </c>
      <c r="G438" s="111">
        <v>30</v>
      </c>
      <c r="H438" s="112" t="s">
        <v>66</v>
      </c>
      <c r="I438" s="118">
        <v>1.8</v>
      </c>
      <c r="J438" s="109"/>
      <c r="K438" s="118">
        <v>54</v>
      </c>
      <c r="L438" s="113" t="s">
        <v>808</v>
      </c>
      <c r="M438" s="142">
        <v>46217</v>
      </c>
      <c r="N438" s="143">
        <v>46220</v>
      </c>
      <c r="O438" s="140">
        <v>46217</v>
      </c>
      <c r="P438" s="116">
        <f t="shared" si="12"/>
        <v>0</v>
      </c>
      <c r="Q438" s="116">
        <f t="shared" si="13"/>
        <v>3</v>
      </c>
    </row>
    <row r="439" spans="1:17">
      <c r="A439" s="108">
        <v>438</v>
      </c>
      <c r="B439" s="109" t="s">
        <v>805</v>
      </c>
      <c r="C439" s="112"/>
      <c r="D439" s="109" t="s">
        <v>806</v>
      </c>
      <c r="E439" s="112"/>
      <c r="F439" s="110" t="s">
        <v>826</v>
      </c>
      <c r="G439" s="111">
        <v>1</v>
      </c>
      <c r="H439" s="112" t="s">
        <v>66</v>
      </c>
      <c r="I439" s="118">
        <v>580</v>
      </c>
      <c r="J439" s="109"/>
      <c r="K439" s="118">
        <v>580</v>
      </c>
      <c r="L439" s="113" t="s">
        <v>808</v>
      </c>
      <c r="M439" s="142">
        <v>46217</v>
      </c>
      <c r="N439" s="143">
        <v>46220</v>
      </c>
      <c r="O439" s="140">
        <v>46217</v>
      </c>
      <c r="P439" s="116">
        <f t="shared" si="12"/>
        <v>0</v>
      </c>
      <c r="Q439" s="116">
        <f t="shared" si="13"/>
        <v>3</v>
      </c>
    </row>
    <row r="440" spans="1:17">
      <c r="A440" s="108">
        <v>439</v>
      </c>
      <c r="B440" s="109" t="s">
        <v>337</v>
      </c>
      <c r="C440" s="112"/>
      <c r="D440" s="109" t="s">
        <v>827</v>
      </c>
      <c r="E440" s="112"/>
      <c r="F440" s="110" t="s">
        <v>828</v>
      </c>
      <c r="G440" s="111">
        <v>24</v>
      </c>
      <c r="H440" s="112" t="s">
        <v>115</v>
      </c>
      <c r="I440" s="118">
        <v>45.84</v>
      </c>
      <c r="J440" s="119">
        <v>0.16</v>
      </c>
      <c r="K440" s="118">
        <v>1100</v>
      </c>
      <c r="L440" s="113" t="s">
        <v>829</v>
      </c>
      <c r="M440" s="142">
        <v>46219</v>
      </c>
      <c r="N440" s="143">
        <v>46226</v>
      </c>
      <c r="O440" s="140">
        <v>46223</v>
      </c>
      <c r="P440" s="116">
        <f t="shared" si="12"/>
        <v>4</v>
      </c>
      <c r="Q440" s="116">
        <f t="shared" si="13"/>
        <v>3</v>
      </c>
    </row>
    <row r="441" spans="1:17">
      <c r="A441" s="108">
        <v>440</v>
      </c>
      <c r="B441" s="109" t="s">
        <v>337</v>
      </c>
      <c r="C441" s="112"/>
      <c r="D441" s="109" t="s">
        <v>107</v>
      </c>
      <c r="E441" s="112"/>
      <c r="F441" s="110" t="s">
        <v>108</v>
      </c>
      <c r="G441" s="111">
        <v>25</v>
      </c>
      <c r="H441" s="112" t="s">
        <v>91</v>
      </c>
      <c r="I441" s="118">
        <v>12</v>
      </c>
      <c r="J441" s="109"/>
      <c r="K441" s="118">
        <v>300</v>
      </c>
      <c r="L441" s="113" t="s">
        <v>830</v>
      </c>
      <c r="M441" s="142">
        <v>46219</v>
      </c>
      <c r="N441" s="143">
        <v>46226</v>
      </c>
      <c r="O441" s="140">
        <v>46223</v>
      </c>
      <c r="P441" s="116">
        <f t="shared" si="12"/>
        <v>4</v>
      </c>
      <c r="Q441" s="116">
        <f t="shared" si="13"/>
        <v>3</v>
      </c>
    </row>
    <row r="442" spans="1:17">
      <c r="A442" s="108">
        <v>441</v>
      </c>
      <c r="B442" s="109" t="s">
        <v>337</v>
      </c>
      <c r="C442" s="112"/>
      <c r="D442" s="109" t="s">
        <v>107</v>
      </c>
      <c r="E442" s="112"/>
      <c r="F442" s="110" t="s">
        <v>106</v>
      </c>
      <c r="G442" s="111">
        <v>20</v>
      </c>
      <c r="H442" s="112" t="s">
        <v>91</v>
      </c>
      <c r="I442" s="118">
        <v>12</v>
      </c>
      <c r="J442" s="109"/>
      <c r="K442" s="118">
        <v>240</v>
      </c>
      <c r="L442" s="113" t="s">
        <v>830</v>
      </c>
      <c r="M442" s="142">
        <v>46219</v>
      </c>
      <c r="N442" s="143">
        <v>46226</v>
      </c>
      <c r="O442" s="140">
        <v>46223</v>
      </c>
      <c r="P442" s="116">
        <f t="shared" si="12"/>
        <v>4</v>
      </c>
      <c r="Q442" s="116">
        <f t="shared" si="13"/>
        <v>3</v>
      </c>
    </row>
    <row r="443" spans="1:17">
      <c r="A443" s="108">
        <v>442</v>
      </c>
      <c r="B443" s="109" t="s">
        <v>337</v>
      </c>
      <c r="C443" s="112"/>
      <c r="D443" s="109" t="s">
        <v>165</v>
      </c>
      <c r="E443" s="112"/>
      <c r="F443" s="110" t="s">
        <v>831</v>
      </c>
      <c r="G443" s="111">
        <v>2</v>
      </c>
      <c r="H443" s="112" t="s">
        <v>66</v>
      </c>
      <c r="I443" s="118">
        <v>2200</v>
      </c>
      <c r="J443" s="109"/>
      <c r="K443" s="118">
        <v>4400</v>
      </c>
      <c r="L443" s="113" t="s">
        <v>832</v>
      </c>
      <c r="M443" s="142">
        <v>46219</v>
      </c>
      <c r="N443" s="143">
        <v>46226</v>
      </c>
      <c r="O443" s="140">
        <v>46223</v>
      </c>
      <c r="P443" s="116">
        <f t="shared" si="12"/>
        <v>4</v>
      </c>
      <c r="Q443" s="116">
        <f t="shared" si="13"/>
        <v>3</v>
      </c>
    </row>
    <row r="444" spans="1:17">
      <c r="A444" s="108">
        <v>443</v>
      </c>
      <c r="B444" s="109" t="s">
        <v>833</v>
      </c>
      <c r="C444" s="112"/>
      <c r="D444" s="109" t="s">
        <v>834</v>
      </c>
      <c r="E444" s="112"/>
      <c r="F444" s="110" t="s">
        <v>835</v>
      </c>
      <c r="G444" s="111">
        <v>3</v>
      </c>
      <c r="H444" s="112" t="s">
        <v>66</v>
      </c>
      <c r="I444" s="118">
        <v>19200</v>
      </c>
      <c r="J444" s="119">
        <v>2880</v>
      </c>
      <c r="K444" s="118">
        <f>57600-J444</f>
        <v>54720</v>
      </c>
      <c r="L444" s="113" t="s">
        <v>836</v>
      </c>
      <c r="M444" s="142">
        <v>46224</v>
      </c>
      <c r="N444" s="143">
        <v>46237</v>
      </c>
      <c r="O444" s="140">
        <v>46234</v>
      </c>
      <c r="P444" s="116">
        <f t="shared" si="12"/>
        <v>10</v>
      </c>
      <c r="Q444" s="116">
        <f t="shared" si="13"/>
        <v>3</v>
      </c>
    </row>
    <row r="445" spans="1:17">
      <c r="A445" s="108">
        <v>444</v>
      </c>
      <c r="B445" s="109" t="s">
        <v>833</v>
      </c>
      <c r="C445" s="112"/>
      <c r="D445" s="109" t="s">
        <v>834</v>
      </c>
      <c r="E445" s="112"/>
      <c r="F445" s="110" t="s">
        <v>837</v>
      </c>
      <c r="G445" s="111">
        <v>3</v>
      </c>
      <c r="H445" s="112" t="s">
        <v>66</v>
      </c>
      <c r="I445" s="118">
        <v>2000</v>
      </c>
      <c r="J445" s="119">
        <v>300</v>
      </c>
      <c r="K445" s="118">
        <f>6000-J445</f>
        <v>5700</v>
      </c>
      <c r="L445" s="113" t="s">
        <v>836</v>
      </c>
      <c r="M445" s="142">
        <v>46224</v>
      </c>
      <c r="N445" s="143">
        <v>46237</v>
      </c>
      <c r="O445" s="140">
        <v>46234</v>
      </c>
      <c r="P445" s="116">
        <f t="shared" si="12"/>
        <v>10</v>
      </c>
      <c r="Q445" s="116">
        <f t="shared" si="13"/>
        <v>3</v>
      </c>
    </row>
    <row r="446" spans="1:17">
      <c r="A446" s="108">
        <v>445</v>
      </c>
      <c r="B446" s="109" t="s">
        <v>833</v>
      </c>
      <c r="C446" s="112"/>
      <c r="D446" s="109" t="s">
        <v>834</v>
      </c>
      <c r="E446" s="112"/>
      <c r="F446" s="110" t="s">
        <v>838</v>
      </c>
      <c r="G446" s="111">
        <v>6</v>
      </c>
      <c r="H446" s="112" t="s">
        <v>66</v>
      </c>
      <c r="I446" s="118">
        <v>500</v>
      </c>
      <c r="J446" s="119">
        <v>150</v>
      </c>
      <c r="K446" s="118">
        <f>3000-J446</f>
        <v>2850</v>
      </c>
      <c r="L446" s="113" t="s">
        <v>836</v>
      </c>
      <c r="M446" s="142">
        <v>46224</v>
      </c>
      <c r="N446" s="143">
        <v>46237</v>
      </c>
      <c r="O446" s="140">
        <v>46234</v>
      </c>
      <c r="P446" s="116">
        <f t="shared" si="12"/>
        <v>10</v>
      </c>
      <c r="Q446" s="116">
        <f t="shared" si="13"/>
        <v>3</v>
      </c>
    </row>
    <row r="447" spans="1:17">
      <c r="A447" s="108">
        <v>446</v>
      </c>
      <c r="B447" s="109" t="s">
        <v>833</v>
      </c>
      <c r="C447" s="112"/>
      <c r="D447" s="109" t="s">
        <v>834</v>
      </c>
      <c r="E447" s="112"/>
      <c r="F447" s="110" t="s">
        <v>839</v>
      </c>
      <c r="G447" s="111">
        <v>6</v>
      </c>
      <c r="H447" s="112" t="s">
        <v>66</v>
      </c>
      <c r="I447" s="118">
        <v>400</v>
      </c>
      <c r="J447" s="119">
        <v>120</v>
      </c>
      <c r="K447" s="118">
        <f>2400-J447</f>
        <v>2280</v>
      </c>
      <c r="L447" s="113" t="s">
        <v>836</v>
      </c>
      <c r="M447" s="142">
        <v>46224</v>
      </c>
      <c r="N447" s="143">
        <v>46237</v>
      </c>
      <c r="O447" s="140">
        <v>46234</v>
      </c>
      <c r="P447" s="116">
        <f t="shared" si="12"/>
        <v>10</v>
      </c>
      <c r="Q447" s="116">
        <f t="shared" si="13"/>
        <v>3</v>
      </c>
    </row>
    <row r="448" spans="1:17">
      <c r="A448" s="108">
        <v>447</v>
      </c>
      <c r="B448" s="109" t="s">
        <v>840</v>
      </c>
      <c r="C448" s="112"/>
      <c r="D448" s="109" t="s">
        <v>634</v>
      </c>
      <c r="E448" s="112"/>
      <c r="F448" s="110" t="s">
        <v>841</v>
      </c>
      <c r="G448" s="111">
        <v>5</v>
      </c>
      <c r="H448" s="112" t="s">
        <v>66</v>
      </c>
      <c r="I448" s="118">
        <v>5000</v>
      </c>
      <c r="J448" s="109"/>
      <c r="K448" s="118">
        <v>25000</v>
      </c>
      <c r="L448" s="113" t="s">
        <v>842</v>
      </c>
      <c r="M448" s="142">
        <v>46205</v>
      </c>
      <c r="N448" s="143">
        <v>46209</v>
      </c>
      <c r="O448" s="140">
        <v>46205</v>
      </c>
      <c r="P448" s="116">
        <f t="shared" si="12"/>
        <v>0</v>
      </c>
      <c r="Q448" s="116">
        <f t="shared" si="13"/>
        <v>4</v>
      </c>
    </row>
    <row r="449" spans="1:17">
      <c r="A449" s="108">
        <v>448</v>
      </c>
      <c r="B449" s="109" t="s">
        <v>840</v>
      </c>
      <c r="C449" s="112"/>
      <c r="D449" s="109" t="s">
        <v>634</v>
      </c>
      <c r="E449" s="112"/>
      <c r="F449" s="110" t="s">
        <v>843</v>
      </c>
      <c r="G449" s="111">
        <v>3</v>
      </c>
      <c r="H449" s="112" t="s">
        <v>66</v>
      </c>
      <c r="I449" s="118">
        <v>5000</v>
      </c>
      <c r="J449" s="109"/>
      <c r="K449" s="118">
        <v>15000</v>
      </c>
      <c r="L449" s="113" t="s">
        <v>842</v>
      </c>
      <c r="M449" s="142">
        <v>46205</v>
      </c>
      <c r="N449" s="143">
        <v>46209</v>
      </c>
      <c r="O449" s="140">
        <v>46205</v>
      </c>
      <c r="P449" s="116">
        <f t="shared" si="12"/>
        <v>0</v>
      </c>
      <c r="Q449" s="116">
        <f t="shared" si="13"/>
        <v>4</v>
      </c>
    </row>
    <row r="450" spans="1:17">
      <c r="A450" s="108">
        <v>449</v>
      </c>
      <c r="B450" s="109" t="s">
        <v>840</v>
      </c>
      <c r="C450" s="112"/>
      <c r="D450" s="109" t="s">
        <v>634</v>
      </c>
      <c r="E450" s="112"/>
      <c r="F450" s="110" t="s">
        <v>844</v>
      </c>
      <c r="G450" s="111">
        <v>1</v>
      </c>
      <c r="H450" s="112" t="s">
        <v>66</v>
      </c>
      <c r="I450" s="118">
        <v>15000</v>
      </c>
      <c r="J450" s="109"/>
      <c r="K450" s="118">
        <v>15000</v>
      </c>
      <c r="L450" s="113" t="s">
        <v>842</v>
      </c>
      <c r="M450" s="142">
        <v>46205</v>
      </c>
      <c r="N450" s="143">
        <v>46209</v>
      </c>
      <c r="O450" s="140">
        <v>46205</v>
      </c>
      <c r="P450" s="116">
        <f t="shared" ref="P450:P513" si="14">O450-M450</f>
        <v>0</v>
      </c>
      <c r="Q450" s="116">
        <f t="shared" ref="Q450:Q513" si="15">N450-O450</f>
        <v>4</v>
      </c>
    </row>
    <row r="451" spans="1:17">
      <c r="A451" s="108">
        <v>450</v>
      </c>
      <c r="B451" s="109" t="s">
        <v>845</v>
      </c>
      <c r="C451" s="112"/>
      <c r="D451" s="109" t="s">
        <v>846</v>
      </c>
      <c r="E451" s="112"/>
      <c r="F451" s="110" t="s">
        <v>847</v>
      </c>
      <c r="G451" s="111">
        <v>1</v>
      </c>
      <c r="H451" s="112" t="s">
        <v>66</v>
      </c>
      <c r="I451" s="118">
        <v>38050</v>
      </c>
      <c r="J451" s="119">
        <v>550</v>
      </c>
      <c r="K451" s="118">
        <v>37500</v>
      </c>
      <c r="L451" s="113" t="s">
        <v>848</v>
      </c>
      <c r="M451" s="142">
        <v>46209</v>
      </c>
      <c r="N451" s="143">
        <v>46216</v>
      </c>
      <c r="O451" s="140">
        <v>46212</v>
      </c>
      <c r="P451" s="116">
        <f t="shared" si="14"/>
        <v>3</v>
      </c>
      <c r="Q451" s="116">
        <f t="shared" si="15"/>
        <v>4</v>
      </c>
    </row>
    <row r="452" spans="1:17">
      <c r="A452" s="108">
        <v>451</v>
      </c>
      <c r="B452" s="109" t="s">
        <v>849</v>
      </c>
      <c r="C452" s="112"/>
      <c r="D452" s="109" t="s">
        <v>850</v>
      </c>
      <c r="E452" s="112"/>
      <c r="F452" s="110" t="s">
        <v>851</v>
      </c>
      <c r="G452" s="111">
        <v>1</v>
      </c>
      <c r="H452" s="112" t="s">
        <v>733</v>
      </c>
      <c r="I452" s="118">
        <v>1800</v>
      </c>
      <c r="J452" s="109"/>
      <c r="K452" s="118">
        <v>1800</v>
      </c>
      <c r="L452" s="113" t="s">
        <v>852</v>
      </c>
      <c r="M452" s="142">
        <v>46217</v>
      </c>
      <c r="N452" s="143">
        <v>46220</v>
      </c>
      <c r="O452" s="140">
        <v>46216</v>
      </c>
      <c r="P452" s="116">
        <f t="shared" si="14"/>
        <v>-1</v>
      </c>
      <c r="Q452" s="116">
        <f t="shared" si="15"/>
        <v>4</v>
      </c>
    </row>
    <row r="453" spans="1:17">
      <c r="A453" s="108">
        <v>452</v>
      </c>
      <c r="B453" s="154" t="s">
        <v>853</v>
      </c>
      <c r="C453" s="155"/>
      <c r="D453" s="154" t="s">
        <v>854</v>
      </c>
      <c r="E453" s="155" t="s">
        <v>690</v>
      </c>
      <c r="F453" s="154" t="s">
        <v>855</v>
      </c>
      <c r="G453" s="156">
        <v>1</v>
      </c>
      <c r="H453" s="155" t="s">
        <v>90</v>
      </c>
      <c r="I453" s="157">
        <v>2594</v>
      </c>
      <c r="J453" s="157">
        <v>0</v>
      </c>
      <c r="K453" s="157">
        <v>2594</v>
      </c>
      <c r="L453" s="158" t="s">
        <v>856</v>
      </c>
      <c r="M453" s="159">
        <v>46227</v>
      </c>
      <c r="N453" s="160">
        <v>46230</v>
      </c>
      <c r="O453" s="140">
        <v>46226</v>
      </c>
      <c r="P453" s="116">
        <f t="shared" si="14"/>
        <v>-1</v>
      </c>
      <c r="Q453" s="116">
        <f t="shared" si="15"/>
        <v>4</v>
      </c>
    </row>
    <row r="454" spans="1:17">
      <c r="A454" s="108">
        <v>453</v>
      </c>
      <c r="B454" s="154" t="s">
        <v>857</v>
      </c>
      <c r="C454" s="155" t="s">
        <v>858</v>
      </c>
      <c r="D454" s="154" t="s">
        <v>405</v>
      </c>
      <c r="E454" s="155" t="s">
        <v>690</v>
      </c>
      <c r="F454" s="154" t="s">
        <v>859</v>
      </c>
      <c r="G454" s="156">
        <v>25</v>
      </c>
      <c r="H454" s="155" t="s">
        <v>66</v>
      </c>
      <c r="I454" s="157">
        <v>400</v>
      </c>
      <c r="J454" s="157">
        <v>726.43</v>
      </c>
      <c r="K454" s="157">
        <v>9273.57</v>
      </c>
      <c r="L454" s="158" t="s">
        <v>860</v>
      </c>
      <c r="M454" s="159">
        <v>46226</v>
      </c>
      <c r="N454" s="160">
        <v>46230</v>
      </c>
      <c r="O454" s="140">
        <v>46226</v>
      </c>
      <c r="P454" s="116">
        <f t="shared" si="14"/>
        <v>0</v>
      </c>
      <c r="Q454" s="116">
        <f t="shared" si="15"/>
        <v>4</v>
      </c>
    </row>
    <row r="455" spans="1:17">
      <c r="A455" s="108">
        <v>454</v>
      </c>
      <c r="B455" s="154" t="s">
        <v>857</v>
      </c>
      <c r="C455" s="155" t="s">
        <v>858</v>
      </c>
      <c r="D455" s="154" t="s">
        <v>405</v>
      </c>
      <c r="E455" s="155" t="s">
        <v>690</v>
      </c>
      <c r="F455" s="154" t="s">
        <v>861</v>
      </c>
      <c r="G455" s="156">
        <v>1</v>
      </c>
      <c r="H455" s="155" t="s">
        <v>66</v>
      </c>
      <c r="I455" s="157">
        <v>250</v>
      </c>
      <c r="J455" s="157">
        <v>18.16</v>
      </c>
      <c r="K455" s="157">
        <v>231.84</v>
      </c>
      <c r="L455" s="158" t="s">
        <v>860</v>
      </c>
      <c r="M455" s="159">
        <v>46226</v>
      </c>
      <c r="N455" s="160">
        <v>46230</v>
      </c>
      <c r="O455" s="140">
        <v>46226</v>
      </c>
      <c r="P455" s="116">
        <f t="shared" si="14"/>
        <v>0</v>
      </c>
      <c r="Q455" s="116">
        <f t="shared" si="15"/>
        <v>4</v>
      </c>
    </row>
    <row r="456" spans="1:17">
      <c r="A456" s="108">
        <v>455</v>
      </c>
      <c r="B456" s="154" t="s">
        <v>857</v>
      </c>
      <c r="C456" s="155" t="s">
        <v>858</v>
      </c>
      <c r="D456" s="154" t="s">
        <v>405</v>
      </c>
      <c r="E456" s="155" t="s">
        <v>690</v>
      </c>
      <c r="F456" s="154" t="s">
        <v>862</v>
      </c>
      <c r="G456" s="156">
        <v>4</v>
      </c>
      <c r="H456" s="155" t="s">
        <v>66</v>
      </c>
      <c r="I456" s="157">
        <v>200</v>
      </c>
      <c r="J456" s="157">
        <v>58.11</v>
      </c>
      <c r="K456" s="157">
        <v>741.89</v>
      </c>
      <c r="L456" s="158" t="s">
        <v>860</v>
      </c>
      <c r="M456" s="159">
        <v>46226</v>
      </c>
      <c r="N456" s="160">
        <v>46230</v>
      </c>
      <c r="O456" s="140">
        <v>46226</v>
      </c>
      <c r="P456" s="116">
        <f t="shared" si="14"/>
        <v>0</v>
      </c>
      <c r="Q456" s="116">
        <f t="shared" si="15"/>
        <v>4</v>
      </c>
    </row>
    <row r="457" spans="1:17">
      <c r="A457" s="108">
        <v>456</v>
      </c>
      <c r="B457" s="154" t="s">
        <v>857</v>
      </c>
      <c r="C457" s="155" t="s">
        <v>858</v>
      </c>
      <c r="D457" s="154" t="s">
        <v>405</v>
      </c>
      <c r="E457" s="155" t="s">
        <v>690</v>
      </c>
      <c r="F457" s="154" t="s">
        <v>863</v>
      </c>
      <c r="G457" s="156">
        <v>2</v>
      </c>
      <c r="H457" s="155" t="s">
        <v>66</v>
      </c>
      <c r="I457" s="157">
        <v>1500</v>
      </c>
      <c r="J457" s="157">
        <v>217.93</v>
      </c>
      <c r="K457" s="157">
        <v>2782.07</v>
      </c>
      <c r="L457" s="158" t="s">
        <v>860</v>
      </c>
      <c r="M457" s="159">
        <v>46226</v>
      </c>
      <c r="N457" s="160">
        <v>46230</v>
      </c>
      <c r="O457" s="140">
        <v>46226</v>
      </c>
      <c r="P457" s="116">
        <f t="shared" si="14"/>
        <v>0</v>
      </c>
      <c r="Q457" s="116">
        <f t="shared" si="15"/>
        <v>4</v>
      </c>
    </row>
    <row r="458" spans="1:17">
      <c r="A458" s="108">
        <v>457</v>
      </c>
      <c r="B458" s="154" t="s">
        <v>857</v>
      </c>
      <c r="C458" s="155" t="s">
        <v>858</v>
      </c>
      <c r="D458" s="154" t="s">
        <v>405</v>
      </c>
      <c r="E458" s="155" t="s">
        <v>690</v>
      </c>
      <c r="F458" s="154" t="s">
        <v>864</v>
      </c>
      <c r="G458" s="156">
        <v>2</v>
      </c>
      <c r="H458" s="155" t="s">
        <v>66</v>
      </c>
      <c r="I458" s="157">
        <v>1900</v>
      </c>
      <c r="J458" s="157">
        <v>276.04000000000002</v>
      </c>
      <c r="K458" s="157">
        <v>3523.96</v>
      </c>
      <c r="L458" s="158" t="s">
        <v>860</v>
      </c>
      <c r="M458" s="159">
        <v>46226</v>
      </c>
      <c r="N458" s="160">
        <v>46230</v>
      </c>
      <c r="O458" s="140">
        <v>46226</v>
      </c>
      <c r="P458" s="116">
        <f t="shared" si="14"/>
        <v>0</v>
      </c>
      <c r="Q458" s="116">
        <f t="shared" si="15"/>
        <v>4</v>
      </c>
    </row>
    <row r="459" spans="1:17">
      <c r="A459" s="108">
        <v>458</v>
      </c>
      <c r="B459" s="154" t="s">
        <v>857</v>
      </c>
      <c r="C459" s="155" t="s">
        <v>858</v>
      </c>
      <c r="D459" s="154" t="s">
        <v>405</v>
      </c>
      <c r="E459" s="155" t="s">
        <v>690</v>
      </c>
      <c r="F459" s="154" t="s">
        <v>865</v>
      </c>
      <c r="G459" s="156">
        <v>1</v>
      </c>
      <c r="H459" s="155" t="s">
        <v>66</v>
      </c>
      <c r="I459" s="157">
        <v>400</v>
      </c>
      <c r="J459" s="157">
        <v>29.06</v>
      </c>
      <c r="K459" s="157">
        <v>370.94</v>
      </c>
      <c r="L459" s="158" t="s">
        <v>860</v>
      </c>
      <c r="M459" s="159">
        <v>46226</v>
      </c>
      <c r="N459" s="160">
        <v>46230</v>
      </c>
      <c r="O459" s="140">
        <v>46226</v>
      </c>
      <c r="P459" s="116">
        <f t="shared" si="14"/>
        <v>0</v>
      </c>
      <c r="Q459" s="116">
        <f t="shared" si="15"/>
        <v>4</v>
      </c>
    </row>
    <row r="460" spans="1:17">
      <c r="A460" s="108">
        <v>459</v>
      </c>
      <c r="B460" s="154" t="s">
        <v>857</v>
      </c>
      <c r="C460" s="155" t="s">
        <v>858</v>
      </c>
      <c r="D460" s="154" t="s">
        <v>405</v>
      </c>
      <c r="E460" s="155" t="s">
        <v>690</v>
      </c>
      <c r="F460" s="154" t="s">
        <v>866</v>
      </c>
      <c r="G460" s="156">
        <v>2</v>
      </c>
      <c r="H460" s="155" t="s">
        <v>66</v>
      </c>
      <c r="I460" s="157">
        <v>1900</v>
      </c>
      <c r="J460" s="157">
        <v>276.04000000000002</v>
      </c>
      <c r="K460" s="157">
        <v>3523.96</v>
      </c>
      <c r="L460" s="158" t="s">
        <v>860</v>
      </c>
      <c r="M460" s="159">
        <v>46226</v>
      </c>
      <c r="N460" s="160">
        <v>46230</v>
      </c>
      <c r="O460" s="140">
        <v>46226</v>
      </c>
      <c r="P460" s="116">
        <f t="shared" si="14"/>
        <v>0</v>
      </c>
      <c r="Q460" s="116">
        <f t="shared" si="15"/>
        <v>4</v>
      </c>
    </row>
    <row r="461" spans="1:17">
      <c r="A461" s="108">
        <v>460</v>
      </c>
      <c r="B461" s="154" t="s">
        <v>857</v>
      </c>
      <c r="C461" s="155" t="s">
        <v>858</v>
      </c>
      <c r="D461" s="154" t="s">
        <v>405</v>
      </c>
      <c r="E461" s="155" t="s">
        <v>690</v>
      </c>
      <c r="F461" s="154" t="s">
        <v>867</v>
      </c>
      <c r="G461" s="156">
        <v>1</v>
      </c>
      <c r="H461" s="155" t="s">
        <v>66</v>
      </c>
      <c r="I461" s="157">
        <v>1600</v>
      </c>
      <c r="J461" s="157">
        <v>116.23</v>
      </c>
      <c r="K461" s="157">
        <v>1483.77</v>
      </c>
      <c r="L461" s="158" t="s">
        <v>860</v>
      </c>
      <c r="M461" s="159">
        <v>46226</v>
      </c>
      <c r="N461" s="160">
        <v>46230</v>
      </c>
      <c r="O461" s="140">
        <v>46226</v>
      </c>
      <c r="P461" s="116">
        <f t="shared" si="14"/>
        <v>0</v>
      </c>
      <c r="Q461" s="116">
        <f t="shared" si="15"/>
        <v>4</v>
      </c>
    </row>
    <row r="462" spans="1:17">
      <c r="A462" s="108">
        <v>461</v>
      </c>
      <c r="B462" s="154" t="s">
        <v>857</v>
      </c>
      <c r="C462" s="155" t="s">
        <v>858</v>
      </c>
      <c r="D462" s="154" t="s">
        <v>405</v>
      </c>
      <c r="E462" s="155" t="s">
        <v>690</v>
      </c>
      <c r="F462" s="154" t="s">
        <v>868</v>
      </c>
      <c r="G462" s="156">
        <v>3</v>
      </c>
      <c r="H462" s="155" t="s">
        <v>66</v>
      </c>
      <c r="I462" s="157">
        <v>1900</v>
      </c>
      <c r="J462" s="157">
        <v>414.07</v>
      </c>
      <c r="K462" s="157">
        <v>5285.93</v>
      </c>
      <c r="L462" s="158" t="s">
        <v>860</v>
      </c>
      <c r="M462" s="159">
        <v>46226</v>
      </c>
      <c r="N462" s="160">
        <v>46230</v>
      </c>
      <c r="O462" s="140">
        <v>46226</v>
      </c>
      <c r="P462" s="116">
        <f t="shared" si="14"/>
        <v>0</v>
      </c>
      <c r="Q462" s="116">
        <f t="shared" si="15"/>
        <v>4</v>
      </c>
    </row>
    <row r="463" spans="1:17">
      <c r="A463" s="108">
        <v>462</v>
      </c>
      <c r="B463" s="154" t="s">
        <v>857</v>
      </c>
      <c r="C463" s="155" t="s">
        <v>858</v>
      </c>
      <c r="D463" s="154" t="s">
        <v>405</v>
      </c>
      <c r="E463" s="155" t="s">
        <v>690</v>
      </c>
      <c r="F463" s="154" t="s">
        <v>869</v>
      </c>
      <c r="G463" s="156">
        <v>2</v>
      </c>
      <c r="H463" s="155" t="s">
        <v>66</v>
      </c>
      <c r="I463" s="157">
        <v>500</v>
      </c>
      <c r="J463" s="157">
        <v>72.64</v>
      </c>
      <c r="K463" s="157">
        <v>927.36</v>
      </c>
      <c r="L463" s="158" t="s">
        <v>860</v>
      </c>
      <c r="M463" s="159">
        <v>46226</v>
      </c>
      <c r="N463" s="160">
        <v>46230</v>
      </c>
      <c r="O463" s="140">
        <v>46226</v>
      </c>
      <c r="P463" s="116">
        <f t="shared" si="14"/>
        <v>0</v>
      </c>
      <c r="Q463" s="116">
        <f t="shared" si="15"/>
        <v>4</v>
      </c>
    </row>
    <row r="464" spans="1:17">
      <c r="A464" s="108">
        <v>463</v>
      </c>
      <c r="B464" s="154" t="s">
        <v>857</v>
      </c>
      <c r="C464" s="155" t="s">
        <v>858</v>
      </c>
      <c r="D464" s="154" t="s">
        <v>405</v>
      </c>
      <c r="E464" s="155" t="s">
        <v>690</v>
      </c>
      <c r="F464" s="154" t="s">
        <v>870</v>
      </c>
      <c r="G464" s="156">
        <v>1</v>
      </c>
      <c r="H464" s="155" t="s">
        <v>66</v>
      </c>
      <c r="I464" s="157">
        <v>1500</v>
      </c>
      <c r="J464" s="157">
        <v>108.97</v>
      </c>
      <c r="K464" s="157">
        <v>1391.03</v>
      </c>
      <c r="L464" s="158" t="s">
        <v>860</v>
      </c>
      <c r="M464" s="159">
        <v>46226</v>
      </c>
      <c r="N464" s="160">
        <v>46230</v>
      </c>
      <c r="O464" s="140">
        <v>46226</v>
      </c>
      <c r="P464" s="116">
        <f t="shared" si="14"/>
        <v>0</v>
      </c>
      <c r="Q464" s="116">
        <f t="shared" si="15"/>
        <v>4</v>
      </c>
    </row>
    <row r="465" spans="1:17">
      <c r="A465" s="108">
        <v>464</v>
      </c>
      <c r="B465" s="154" t="s">
        <v>857</v>
      </c>
      <c r="C465" s="155" t="s">
        <v>858</v>
      </c>
      <c r="D465" s="154" t="s">
        <v>405</v>
      </c>
      <c r="E465" s="155" t="s">
        <v>690</v>
      </c>
      <c r="F465" s="154" t="s">
        <v>871</v>
      </c>
      <c r="G465" s="156">
        <v>1</v>
      </c>
      <c r="H465" s="155" t="s">
        <v>66</v>
      </c>
      <c r="I465" s="157">
        <v>500</v>
      </c>
      <c r="J465" s="157">
        <v>36.32</v>
      </c>
      <c r="K465" s="157">
        <v>463.68</v>
      </c>
      <c r="L465" s="158" t="s">
        <v>860</v>
      </c>
      <c r="M465" s="159">
        <v>46226</v>
      </c>
      <c r="N465" s="160">
        <v>46230</v>
      </c>
      <c r="O465" s="140">
        <v>46226</v>
      </c>
      <c r="P465" s="116">
        <f t="shared" si="14"/>
        <v>0</v>
      </c>
      <c r="Q465" s="116">
        <f t="shared" si="15"/>
        <v>4</v>
      </c>
    </row>
    <row r="466" spans="1:17">
      <c r="A466" s="108">
        <v>465</v>
      </c>
      <c r="B466" s="109" t="s">
        <v>872</v>
      </c>
      <c r="C466" s="112"/>
      <c r="D466" s="109" t="s">
        <v>873</v>
      </c>
      <c r="E466" s="112"/>
      <c r="F466" s="110" t="s">
        <v>874</v>
      </c>
      <c r="G466" s="111">
        <v>2</v>
      </c>
      <c r="H466" s="112" t="s">
        <v>66</v>
      </c>
      <c r="I466" s="118">
        <v>910</v>
      </c>
      <c r="J466" s="119">
        <v>455</v>
      </c>
      <c r="K466" s="118">
        <v>1365</v>
      </c>
      <c r="L466" s="113" t="s">
        <v>875</v>
      </c>
      <c r="M466" s="142">
        <v>46224</v>
      </c>
      <c r="N466" s="143">
        <v>46231</v>
      </c>
      <c r="O466" s="140">
        <v>46227</v>
      </c>
      <c r="P466" s="116">
        <f t="shared" si="14"/>
        <v>3</v>
      </c>
      <c r="Q466" s="116">
        <f t="shared" si="15"/>
        <v>4</v>
      </c>
    </row>
    <row r="467" spans="1:17">
      <c r="A467" s="108">
        <v>466</v>
      </c>
      <c r="B467" s="154" t="s">
        <v>876</v>
      </c>
      <c r="C467" s="155" t="s">
        <v>877</v>
      </c>
      <c r="D467" s="154" t="s">
        <v>878</v>
      </c>
      <c r="E467" s="155" t="s">
        <v>879</v>
      </c>
      <c r="F467" s="154" t="s">
        <v>880</v>
      </c>
      <c r="G467" s="156">
        <v>4</v>
      </c>
      <c r="H467" s="155" t="s">
        <v>66</v>
      </c>
      <c r="I467" s="157">
        <v>250</v>
      </c>
      <c r="J467" s="157">
        <v>0</v>
      </c>
      <c r="K467" s="157">
        <v>1000</v>
      </c>
      <c r="L467" s="158" t="s">
        <v>881</v>
      </c>
      <c r="M467" s="159">
        <v>46226</v>
      </c>
      <c r="N467" s="160">
        <v>46231</v>
      </c>
      <c r="O467" s="140">
        <v>46227</v>
      </c>
      <c r="P467" s="116">
        <f t="shared" si="14"/>
        <v>1</v>
      </c>
      <c r="Q467" s="116">
        <f t="shared" si="15"/>
        <v>4</v>
      </c>
    </row>
    <row r="468" spans="1:17">
      <c r="A468" s="108">
        <v>467</v>
      </c>
      <c r="B468" s="154" t="s">
        <v>876</v>
      </c>
      <c r="C468" s="155" t="s">
        <v>877</v>
      </c>
      <c r="D468" s="154" t="s">
        <v>878</v>
      </c>
      <c r="E468" s="155" t="s">
        <v>882</v>
      </c>
      <c r="F468" s="154" t="s">
        <v>883</v>
      </c>
      <c r="G468" s="156">
        <v>1</v>
      </c>
      <c r="H468" s="155" t="s">
        <v>92</v>
      </c>
      <c r="I468" s="157">
        <v>29</v>
      </c>
      <c r="J468" s="157">
        <v>0</v>
      </c>
      <c r="K468" s="157">
        <v>29</v>
      </c>
      <c r="L468" s="158" t="s">
        <v>881</v>
      </c>
      <c r="M468" s="159">
        <v>46226</v>
      </c>
      <c r="N468" s="160">
        <v>46231</v>
      </c>
      <c r="O468" s="140">
        <v>46227</v>
      </c>
      <c r="P468" s="116">
        <f t="shared" si="14"/>
        <v>1</v>
      </c>
      <c r="Q468" s="116">
        <f t="shared" si="15"/>
        <v>4</v>
      </c>
    </row>
    <row r="469" spans="1:17">
      <c r="A469" s="108">
        <v>468</v>
      </c>
      <c r="B469" s="154" t="s">
        <v>876</v>
      </c>
      <c r="C469" s="155" t="s">
        <v>877</v>
      </c>
      <c r="D469" s="154" t="s">
        <v>878</v>
      </c>
      <c r="E469" s="155" t="s">
        <v>884</v>
      </c>
      <c r="F469" s="154" t="s">
        <v>885</v>
      </c>
      <c r="G469" s="156">
        <v>2</v>
      </c>
      <c r="H469" s="155" t="s">
        <v>66</v>
      </c>
      <c r="I469" s="157">
        <v>243</v>
      </c>
      <c r="J469" s="157">
        <v>98</v>
      </c>
      <c r="K469" s="157">
        <v>388</v>
      </c>
      <c r="L469" s="158" t="s">
        <v>886</v>
      </c>
      <c r="M469" s="159">
        <v>46226</v>
      </c>
      <c r="N469" s="160">
        <v>46231</v>
      </c>
      <c r="O469" s="140">
        <v>46227</v>
      </c>
      <c r="P469" s="116">
        <f t="shared" si="14"/>
        <v>1</v>
      </c>
      <c r="Q469" s="116">
        <f t="shared" si="15"/>
        <v>4</v>
      </c>
    </row>
    <row r="470" spans="1:17">
      <c r="A470" s="108">
        <v>469</v>
      </c>
      <c r="B470" s="109" t="s">
        <v>547</v>
      </c>
      <c r="C470" s="112"/>
      <c r="D470" s="109" t="s">
        <v>548</v>
      </c>
      <c r="E470" s="112"/>
      <c r="F470" s="110" t="s">
        <v>887</v>
      </c>
      <c r="G470" s="111">
        <v>1</v>
      </c>
      <c r="H470" s="112" t="s">
        <v>63</v>
      </c>
      <c r="I470" s="118">
        <v>526</v>
      </c>
      <c r="J470" s="119">
        <v>106</v>
      </c>
      <c r="K470" s="118">
        <v>420</v>
      </c>
      <c r="L470" s="113" t="s">
        <v>888</v>
      </c>
      <c r="M470" s="142">
        <v>46224</v>
      </c>
      <c r="N470" s="143">
        <v>46234</v>
      </c>
      <c r="O470" s="140">
        <v>46230</v>
      </c>
      <c r="P470" s="116">
        <f t="shared" si="14"/>
        <v>6</v>
      </c>
      <c r="Q470" s="116">
        <f t="shared" si="15"/>
        <v>4</v>
      </c>
    </row>
    <row r="471" spans="1:17">
      <c r="A471" s="108">
        <v>470</v>
      </c>
      <c r="B471" s="109" t="s">
        <v>203</v>
      </c>
      <c r="C471" s="112"/>
      <c r="D471" s="109" t="s">
        <v>67</v>
      </c>
      <c r="E471" s="112"/>
      <c r="F471" s="110" t="s">
        <v>889</v>
      </c>
      <c r="G471" s="111">
        <v>16</v>
      </c>
      <c r="H471" s="112" t="s">
        <v>63</v>
      </c>
      <c r="I471" s="118">
        <v>183.67</v>
      </c>
      <c r="J471" s="109"/>
      <c r="K471" s="118">
        <v>2938.72</v>
      </c>
      <c r="L471" s="113" t="s">
        <v>890</v>
      </c>
      <c r="M471" s="142">
        <v>46199</v>
      </c>
      <c r="N471" s="143">
        <v>46209</v>
      </c>
      <c r="O471" s="140">
        <v>46204</v>
      </c>
      <c r="P471" s="116">
        <f t="shared" si="14"/>
        <v>5</v>
      </c>
      <c r="Q471" s="116">
        <f t="shared" si="15"/>
        <v>5</v>
      </c>
    </row>
    <row r="472" spans="1:17">
      <c r="A472" s="108">
        <v>471</v>
      </c>
      <c r="B472" s="109" t="s">
        <v>203</v>
      </c>
      <c r="C472" s="112"/>
      <c r="D472" s="109" t="s">
        <v>67</v>
      </c>
      <c r="E472" s="112"/>
      <c r="F472" s="110" t="s">
        <v>891</v>
      </c>
      <c r="G472" s="111">
        <v>8</v>
      </c>
      <c r="H472" s="112" t="s">
        <v>63</v>
      </c>
      <c r="I472" s="118">
        <v>168.35</v>
      </c>
      <c r="J472" s="109"/>
      <c r="K472" s="118">
        <v>1346.8</v>
      </c>
      <c r="L472" s="113" t="s">
        <v>890</v>
      </c>
      <c r="M472" s="142">
        <v>46199</v>
      </c>
      <c r="N472" s="143">
        <v>46209</v>
      </c>
      <c r="O472" s="140">
        <v>46204</v>
      </c>
      <c r="P472" s="116">
        <f t="shared" si="14"/>
        <v>5</v>
      </c>
      <c r="Q472" s="116">
        <f t="shared" si="15"/>
        <v>5</v>
      </c>
    </row>
    <row r="473" spans="1:17">
      <c r="A473" s="108">
        <v>472</v>
      </c>
      <c r="B473" s="109" t="s">
        <v>670</v>
      </c>
      <c r="C473" s="112"/>
      <c r="D473" s="109" t="s">
        <v>67</v>
      </c>
      <c r="E473" s="112"/>
      <c r="F473" s="110" t="s">
        <v>892</v>
      </c>
      <c r="G473" s="111">
        <v>2</v>
      </c>
      <c r="H473" s="112" t="s">
        <v>63</v>
      </c>
      <c r="I473" s="118">
        <v>47.32</v>
      </c>
      <c r="J473" s="109"/>
      <c r="K473" s="118">
        <v>94.64</v>
      </c>
      <c r="L473" s="113" t="s">
        <v>672</v>
      </c>
      <c r="M473" s="142">
        <v>46203</v>
      </c>
      <c r="N473" s="143">
        <v>46218</v>
      </c>
      <c r="O473" s="140">
        <v>46213</v>
      </c>
      <c r="P473" s="116">
        <f t="shared" si="14"/>
        <v>10</v>
      </c>
      <c r="Q473" s="116">
        <f t="shared" si="15"/>
        <v>5</v>
      </c>
    </row>
    <row r="474" spans="1:17">
      <c r="A474" s="108">
        <v>473</v>
      </c>
      <c r="B474" s="109" t="s">
        <v>670</v>
      </c>
      <c r="C474" s="112"/>
      <c r="D474" s="109" t="s">
        <v>67</v>
      </c>
      <c r="E474" s="112"/>
      <c r="F474" s="110" t="s">
        <v>893</v>
      </c>
      <c r="G474" s="111">
        <v>4</v>
      </c>
      <c r="H474" s="112" t="s">
        <v>63</v>
      </c>
      <c r="I474" s="118">
        <v>1068</v>
      </c>
      <c r="J474" s="109"/>
      <c r="K474" s="118">
        <v>4272</v>
      </c>
      <c r="L474" s="113" t="s">
        <v>672</v>
      </c>
      <c r="M474" s="142">
        <v>46203</v>
      </c>
      <c r="N474" s="143">
        <v>46218</v>
      </c>
      <c r="O474" s="140">
        <v>46213</v>
      </c>
      <c r="P474" s="116">
        <f t="shared" si="14"/>
        <v>10</v>
      </c>
      <c r="Q474" s="116">
        <f t="shared" si="15"/>
        <v>5</v>
      </c>
    </row>
    <row r="475" spans="1:17">
      <c r="A475" s="108">
        <v>474</v>
      </c>
      <c r="B475" s="109" t="s">
        <v>670</v>
      </c>
      <c r="C475" s="112"/>
      <c r="D475" s="109" t="s">
        <v>67</v>
      </c>
      <c r="E475" s="112"/>
      <c r="F475" s="110" t="s">
        <v>894</v>
      </c>
      <c r="G475" s="111">
        <v>4</v>
      </c>
      <c r="H475" s="112" t="s">
        <v>63</v>
      </c>
      <c r="I475" s="118">
        <v>383</v>
      </c>
      <c r="J475" s="109"/>
      <c r="K475" s="118">
        <v>1532</v>
      </c>
      <c r="L475" s="113" t="s">
        <v>672</v>
      </c>
      <c r="M475" s="142">
        <v>46203</v>
      </c>
      <c r="N475" s="143">
        <v>46218</v>
      </c>
      <c r="O475" s="140">
        <v>46213</v>
      </c>
      <c r="P475" s="116">
        <f t="shared" si="14"/>
        <v>10</v>
      </c>
      <c r="Q475" s="116">
        <f t="shared" si="15"/>
        <v>5</v>
      </c>
    </row>
    <row r="476" spans="1:17">
      <c r="A476" s="108">
        <v>475</v>
      </c>
      <c r="B476" s="109" t="s">
        <v>670</v>
      </c>
      <c r="C476" s="112"/>
      <c r="D476" s="109" t="s">
        <v>67</v>
      </c>
      <c r="E476" s="112"/>
      <c r="F476" s="110" t="s">
        <v>895</v>
      </c>
      <c r="G476" s="111">
        <v>1</v>
      </c>
      <c r="H476" s="112" t="s">
        <v>63</v>
      </c>
      <c r="I476" s="118">
        <v>270.97000000000003</v>
      </c>
      <c r="J476" s="109"/>
      <c r="K476" s="118">
        <v>270.97000000000003</v>
      </c>
      <c r="L476" s="113" t="s">
        <v>672</v>
      </c>
      <c r="M476" s="142">
        <v>46203</v>
      </c>
      <c r="N476" s="143">
        <v>46218</v>
      </c>
      <c r="O476" s="140">
        <v>46213</v>
      </c>
      <c r="P476" s="116">
        <f t="shared" si="14"/>
        <v>10</v>
      </c>
      <c r="Q476" s="116">
        <f t="shared" si="15"/>
        <v>5</v>
      </c>
    </row>
    <row r="477" spans="1:17">
      <c r="A477" s="108">
        <v>476</v>
      </c>
      <c r="B477" s="109" t="s">
        <v>670</v>
      </c>
      <c r="C477" s="112"/>
      <c r="D477" s="109" t="s">
        <v>67</v>
      </c>
      <c r="E477" s="112"/>
      <c r="F477" s="110" t="s">
        <v>896</v>
      </c>
      <c r="G477" s="111">
        <v>1</v>
      </c>
      <c r="H477" s="112" t="s">
        <v>63</v>
      </c>
      <c r="I477" s="118">
        <v>39.090000000000003</v>
      </c>
      <c r="J477" s="109"/>
      <c r="K477" s="118">
        <v>39.090000000000003</v>
      </c>
      <c r="L477" s="113" t="s">
        <v>672</v>
      </c>
      <c r="M477" s="142">
        <v>46203</v>
      </c>
      <c r="N477" s="143">
        <v>46218</v>
      </c>
      <c r="O477" s="140">
        <v>46213</v>
      </c>
      <c r="P477" s="116">
        <f t="shared" si="14"/>
        <v>10</v>
      </c>
      <c r="Q477" s="116">
        <f t="shared" si="15"/>
        <v>5</v>
      </c>
    </row>
    <row r="478" spans="1:17">
      <c r="A478" s="108">
        <v>477</v>
      </c>
      <c r="B478" s="109" t="s">
        <v>670</v>
      </c>
      <c r="C478" s="112"/>
      <c r="D478" s="109" t="s">
        <v>67</v>
      </c>
      <c r="E478" s="112"/>
      <c r="F478" s="110" t="s">
        <v>897</v>
      </c>
      <c r="G478" s="111">
        <v>4</v>
      </c>
      <c r="H478" s="112" t="s">
        <v>63</v>
      </c>
      <c r="I478" s="118">
        <v>89.75</v>
      </c>
      <c r="J478" s="109"/>
      <c r="K478" s="118">
        <v>359</v>
      </c>
      <c r="L478" s="113" t="s">
        <v>672</v>
      </c>
      <c r="M478" s="142">
        <v>46203</v>
      </c>
      <c r="N478" s="143">
        <v>46218</v>
      </c>
      <c r="O478" s="140">
        <v>46213</v>
      </c>
      <c r="P478" s="116">
        <f t="shared" si="14"/>
        <v>10</v>
      </c>
      <c r="Q478" s="116">
        <f t="shared" si="15"/>
        <v>5</v>
      </c>
    </row>
    <row r="479" spans="1:17">
      <c r="A479" s="108">
        <v>478</v>
      </c>
      <c r="B479" s="109" t="s">
        <v>670</v>
      </c>
      <c r="C479" s="112"/>
      <c r="D479" s="109" t="s">
        <v>67</v>
      </c>
      <c r="E479" s="112"/>
      <c r="F479" s="110" t="s">
        <v>898</v>
      </c>
      <c r="G479" s="111">
        <v>2</v>
      </c>
      <c r="H479" s="112" t="s">
        <v>63</v>
      </c>
      <c r="I479" s="118">
        <v>258.39999999999998</v>
      </c>
      <c r="J479" s="109"/>
      <c r="K479" s="118">
        <v>516.79999999999995</v>
      </c>
      <c r="L479" s="113" t="s">
        <v>672</v>
      </c>
      <c r="M479" s="142">
        <v>46203</v>
      </c>
      <c r="N479" s="143">
        <v>46218</v>
      </c>
      <c r="O479" s="140">
        <v>46213</v>
      </c>
      <c r="P479" s="116">
        <f t="shared" si="14"/>
        <v>10</v>
      </c>
      <c r="Q479" s="116">
        <f t="shared" si="15"/>
        <v>5</v>
      </c>
    </row>
    <row r="480" spans="1:17">
      <c r="A480" s="108">
        <v>479</v>
      </c>
      <c r="B480" s="109" t="s">
        <v>899</v>
      </c>
      <c r="C480" s="112"/>
      <c r="D480" s="109" t="s">
        <v>900</v>
      </c>
      <c r="E480" s="112"/>
      <c r="F480" s="110" t="s">
        <v>901</v>
      </c>
      <c r="G480" s="111">
        <v>1</v>
      </c>
      <c r="H480" s="112" t="s">
        <v>66</v>
      </c>
      <c r="I480" s="118">
        <v>800</v>
      </c>
      <c r="J480" s="109"/>
      <c r="K480" s="118">
        <v>800</v>
      </c>
      <c r="L480" s="113" t="s">
        <v>902</v>
      </c>
      <c r="M480" s="142">
        <v>46210</v>
      </c>
      <c r="N480" s="143">
        <v>46218</v>
      </c>
      <c r="O480" s="140">
        <v>46213</v>
      </c>
      <c r="P480" s="116">
        <f t="shared" si="14"/>
        <v>3</v>
      </c>
      <c r="Q480" s="116">
        <f t="shared" si="15"/>
        <v>5</v>
      </c>
    </row>
    <row r="481" spans="1:17">
      <c r="A481" s="108">
        <v>480</v>
      </c>
      <c r="B481" s="109" t="s">
        <v>899</v>
      </c>
      <c r="C481" s="112"/>
      <c r="D481" s="109" t="s">
        <v>900</v>
      </c>
      <c r="E481" s="112"/>
      <c r="F481" s="110" t="s">
        <v>903</v>
      </c>
      <c r="G481" s="111">
        <v>1</v>
      </c>
      <c r="H481" s="112" t="s">
        <v>66</v>
      </c>
      <c r="I481" s="118">
        <v>600</v>
      </c>
      <c r="J481" s="109"/>
      <c r="K481" s="118">
        <v>600</v>
      </c>
      <c r="L481" s="113" t="s">
        <v>902</v>
      </c>
      <c r="M481" s="142">
        <v>46210</v>
      </c>
      <c r="N481" s="143">
        <v>46218</v>
      </c>
      <c r="O481" s="140">
        <v>46213</v>
      </c>
      <c r="P481" s="116">
        <f t="shared" si="14"/>
        <v>3</v>
      </c>
      <c r="Q481" s="116">
        <f t="shared" si="15"/>
        <v>5</v>
      </c>
    </row>
    <row r="482" spans="1:17">
      <c r="A482" s="108">
        <v>481</v>
      </c>
      <c r="B482" s="109" t="s">
        <v>899</v>
      </c>
      <c r="C482" s="112"/>
      <c r="D482" s="109" t="s">
        <v>900</v>
      </c>
      <c r="E482" s="112"/>
      <c r="F482" s="110" t="s">
        <v>904</v>
      </c>
      <c r="G482" s="111">
        <v>1</v>
      </c>
      <c r="H482" s="112" t="s">
        <v>90</v>
      </c>
      <c r="I482" s="118">
        <v>800</v>
      </c>
      <c r="J482" s="109"/>
      <c r="K482" s="118">
        <v>800</v>
      </c>
      <c r="L482" s="113" t="s">
        <v>902</v>
      </c>
      <c r="M482" s="142">
        <v>46210</v>
      </c>
      <c r="N482" s="143">
        <v>46218</v>
      </c>
      <c r="O482" s="140">
        <v>46213</v>
      </c>
      <c r="P482" s="116">
        <f t="shared" si="14"/>
        <v>3</v>
      </c>
      <c r="Q482" s="116">
        <f t="shared" si="15"/>
        <v>5</v>
      </c>
    </row>
    <row r="483" spans="1:17">
      <c r="A483" s="108">
        <v>482</v>
      </c>
      <c r="B483" s="109" t="s">
        <v>872</v>
      </c>
      <c r="C483" s="112"/>
      <c r="D483" s="109" t="s">
        <v>280</v>
      </c>
      <c r="E483" s="112"/>
      <c r="F483" s="110" t="s">
        <v>905</v>
      </c>
      <c r="G483" s="111">
        <v>2</v>
      </c>
      <c r="H483" s="112" t="s">
        <v>66</v>
      </c>
      <c r="I483" s="118">
        <v>6290</v>
      </c>
      <c r="J483" s="119">
        <v>580</v>
      </c>
      <c r="K483" s="118">
        <v>12000</v>
      </c>
      <c r="L483" s="113" t="s">
        <v>906</v>
      </c>
      <c r="M483" s="142">
        <v>46224</v>
      </c>
      <c r="N483" s="143">
        <v>46231</v>
      </c>
      <c r="O483" s="140">
        <v>46226</v>
      </c>
      <c r="P483" s="116">
        <f t="shared" si="14"/>
        <v>2</v>
      </c>
      <c r="Q483" s="116">
        <f t="shared" si="15"/>
        <v>5</v>
      </c>
    </row>
    <row r="484" spans="1:17">
      <c r="A484" s="108">
        <v>483</v>
      </c>
      <c r="B484" s="109" t="s">
        <v>872</v>
      </c>
      <c r="C484" s="112"/>
      <c r="D484" s="109" t="s">
        <v>280</v>
      </c>
      <c r="E484" s="112"/>
      <c r="F484" s="110" t="s">
        <v>907</v>
      </c>
      <c r="G484" s="111">
        <v>3</v>
      </c>
      <c r="H484" s="112" t="s">
        <v>66</v>
      </c>
      <c r="I484" s="118">
        <v>6290</v>
      </c>
      <c r="J484" s="119">
        <v>870</v>
      </c>
      <c r="K484" s="118">
        <v>18000</v>
      </c>
      <c r="L484" s="113" t="s">
        <v>906</v>
      </c>
      <c r="M484" s="142">
        <v>46224</v>
      </c>
      <c r="N484" s="143">
        <v>46231</v>
      </c>
      <c r="O484" s="140">
        <v>46226</v>
      </c>
      <c r="P484" s="116">
        <f t="shared" si="14"/>
        <v>2</v>
      </c>
      <c r="Q484" s="116">
        <f t="shared" si="15"/>
        <v>5</v>
      </c>
    </row>
    <row r="485" spans="1:17">
      <c r="A485" s="108">
        <v>484</v>
      </c>
      <c r="B485" s="109" t="s">
        <v>908</v>
      </c>
      <c r="C485" s="112"/>
      <c r="D485" s="109" t="s">
        <v>68</v>
      </c>
      <c r="E485" s="112"/>
      <c r="F485" s="110" t="s">
        <v>909</v>
      </c>
      <c r="G485" s="111">
        <v>2</v>
      </c>
      <c r="H485" s="112" t="s">
        <v>66</v>
      </c>
      <c r="I485" s="118">
        <v>2105</v>
      </c>
      <c r="J485" s="119">
        <v>842</v>
      </c>
      <c r="K485" s="118">
        <v>3368</v>
      </c>
      <c r="L485" s="113" t="s">
        <v>910</v>
      </c>
      <c r="M485" s="142">
        <v>46204</v>
      </c>
      <c r="N485" s="143">
        <v>46218</v>
      </c>
      <c r="O485" s="140">
        <v>46212</v>
      </c>
      <c r="P485" s="116">
        <f t="shared" si="14"/>
        <v>8</v>
      </c>
      <c r="Q485" s="116">
        <f t="shared" si="15"/>
        <v>6</v>
      </c>
    </row>
    <row r="486" spans="1:17">
      <c r="A486" s="108">
        <v>485</v>
      </c>
      <c r="B486" s="109" t="s">
        <v>547</v>
      </c>
      <c r="C486" s="112"/>
      <c r="D486" s="109" t="s">
        <v>548</v>
      </c>
      <c r="E486" s="112"/>
      <c r="F486" s="110" t="s">
        <v>911</v>
      </c>
      <c r="G486" s="111">
        <v>10</v>
      </c>
      <c r="H486" s="112" t="s">
        <v>66</v>
      </c>
      <c r="I486" s="118">
        <v>29</v>
      </c>
      <c r="J486" s="119">
        <v>58</v>
      </c>
      <c r="K486" s="118">
        <v>232</v>
      </c>
      <c r="L486" s="113" t="s">
        <v>912</v>
      </c>
      <c r="M486" s="142">
        <v>46224</v>
      </c>
      <c r="N486" s="143">
        <v>46238</v>
      </c>
      <c r="O486" s="140">
        <v>46232</v>
      </c>
      <c r="P486" s="116">
        <f t="shared" si="14"/>
        <v>8</v>
      </c>
      <c r="Q486" s="116">
        <f t="shared" si="15"/>
        <v>6</v>
      </c>
    </row>
    <row r="487" spans="1:17">
      <c r="A487" s="108">
        <v>486</v>
      </c>
      <c r="B487" s="109" t="s">
        <v>913</v>
      </c>
      <c r="C487" s="112"/>
      <c r="D487" s="109" t="s">
        <v>280</v>
      </c>
      <c r="E487" s="112"/>
      <c r="F487" s="110" t="s">
        <v>914</v>
      </c>
      <c r="G487" s="111">
        <v>6</v>
      </c>
      <c r="H487" s="112" t="s">
        <v>66</v>
      </c>
      <c r="I487" s="118">
        <v>1390</v>
      </c>
      <c r="J487" s="119"/>
      <c r="K487" s="118">
        <v>8340</v>
      </c>
      <c r="L487" s="113" t="s">
        <v>915</v>
      </c>
      <c r="M487" s="142">
        <v>46224</v>
      </c>
      <c r="N487" s="143">
        <v>46237</v>
      </c>
      <c r="O487" s="140">
        <v>46230</v>
      </c>
      <c r="P487" s="116">
        <f t="shared" si="14"/>
        <v>6</v>
      </c>
      <c r="Q487" s="116">
        <f t="shared" si="15"/>
        <v>7</v>
      </c>
    </row>
    <row r="488" spans="1:17">
      <c r="A488" s="108">
        <v>487</v>
      </c>
      <c r="B488" s="109" t="s">
        <v>670</v>
      </c>
      <c r="C488" s="112"/>
      <c r="D488" s="109" t="s">
        <v>280</v>
      </c>
      <c r="E488" s="112"/>
      <c r="F488" s="110" t="s">
        <v>916</v>
      </c>
      <c r="G488" s="111">
        <v>2</v>
      </c>
      <c r="H488" s="112" t="s">
        <v>63</v>
      </c>
      <c r="I488" s="118">
        <v>650</v>
      </c>
      <c r="J488" s="109"/>
      <c r="K488" s="118">
        <v>1300</v>
      </c>
      <c r="L488" s="113" t="s">
        <v>917</v>
      </c>
      <c r="M488" s="142">
        <v>46203</v>
      </c>
      <c r="N488" s="143">
        <v>46213</v>
      </c>
      <c r="O488" s="140">
        <v>46205</v>
      </c>
      <c r="P488" s="116">
        <f t="shared" si="14"/>
        <v>2</v>
      </c>
      <c r="Q488" s="116">
        <f t="shared" si="15"/>
        <v>8</v>
      </c>
    </row>
    <row r="489" spans="1:17">
      <c r="A489" s="108">
        <v>488</v>
      </c>
      <c r="B489" s="109" t="s">
        <v>918</v>
      </c>
      <c r="C489" s="112"/>
      <c r="D489" s="109" t="s">
        <v>850</v>
      </c>
      <c r="E489" s="112"/>
      <c r="F489" s="110" t="s">
        <v>919</v>
      </c>
      <c r="G489" s="111">
        <v>1</v>
      </c>
      <c r="H489" s="112" t="s">
        <v>66</v>
      </c>
      <c r="I489" s="118">
        <v>850</v>
      </c>
      <c r="J489" s="109"/>
      <c r="K489" s="118">
        <v>850</v>
      </c>
      <c r="L489" s="113" t="s">
        <v>920</v>
      </c>
      <c r="M489" s="142">
        <v>46198</v>
      </c>
      <c r="N489" s="143">
        <v>46218</v>
      </c>
      <c r="O489" s="140">
        <v>46210</v>
      </c>
      <c r="P489" s="116">
        <f t="shared" si="14"/>
        <v>12</v>
      </c>
      <c r="Q489" s="116">
        <f t="shared" si="15"/>
        <v>8</v>
      </c>
    </row>
    <row r="490" spans="1:17">
      <c r="A490" s="108">
        <v>489</v>
      </c>
      <c r="B490" s="109" t="s">
        <v>918</v>
      </c>
      <c r="C490" s="112"/>
      <c r="D490" s="109" t="s">
        <v>850</v>
      </c>
      <c r="E490" s="112"/>
      <c r="F490" s="110" t="s">
        <v>921</v>
      </c>
      <c r="G490" s="111">
        <v>1</v>
      </c>
      <c r="H490" s="112" t="s">
        <v>66</v>
      </c>
      <c r="I490" s="118">
        <v>14690</v>
      </c>
      <c r="J490" s="109"/>
      <c r="K490" s="118">
        <v>14690</v>
      </c>
      <c r="L490" s="113" t="s">
        <v>920</v>
      </c>
      <c r="M490" s="142">
        <v>46198</v>
      </c>
      <c r="N490" s="143">
        <v>46218</v>
      </c>
      <c r="O490" s="140">
        <v>46210</v>
      </c>
      <c r="P490" s="116">
        <f t="shared" si="14"/>
        <v>12</v>
      </c>
      <c r="Q490" s="116">
        <f t="shared" si="15"/>
        <v>8</v>
      </c>
    </row>
    <row r="491" spans="1:17">
      <c r="A491" s="108">
        <v>490</v>
      </c>
      <c r="B491" s="109" t="s">
        <v>918</v>
      </c>
      <c r="C491" s="112"/>
      <c r="D491" s="109" t="s">
        <v>850</v>
      </c>
      <c r="E491" s="112"/>
      <c r="F491" s="110" t="s">
        <v>922</v>
      </c>
      <c r="G491" s="111">
        <v>1</v>
      </c>
      <c r="H491" s="112" t="s">
        <v>66</v>
      </c>
      <c r="I491" s="118">
        <v>3500</v>
      </c>
      <c r="J491" s="109"/>
      <c r="K491" s="118">
        <v>3500</v>
      </c>
      <c r="L491" s="113" t="s">
        <v>920</v>
      </c>
      <c r="M491" s="142">
        <v>46198</v>
      </c>
      <c r="N491" s="143">
        <v>46218</v>
      </c>
      <c r="O491" s="140">
        <v>46210</v>
      </c>
      <c r="P491" s="116">
        <f t="shared" si="14"/>
        <v>12</v>
      </c>
      <c r="Q491" s="116">
        <f t="shared" si="15"/>
        <v>8</v>
      </c>
    </row>
    <row r="492" spans="1:17">
      <c r="A492" s="108">
        <v>491</v>
      </c>
      <c r="B492" s="109" t="s">
        <v>918</v>
      </c>
      <c r="C492" s="112"/>
      <c r="D492" s="109" t="s">
        <v>850</v>
      </c>
      <c r="E492" s="112"/>
      <c r="F492" s="110" t="s">
        <v>923</v>
      </c>
      <c r="G492" s="111">
        <v>1</v>
      </c>
      <c r="H492" s="112" t="s">
        <v>90</v>
      </c>
      <c r="I492" s="118">
        <v>4000</v>
      </c>
      <c r="J492" s="109"/>
      <c r="K492" s="118">
        <v>4000</v>
      </c>
      <c r="L492" s="113" t="s">
        <v>920</v>
      </c>
      <c r="M492" s="142">
        <v>46198</v>
      </c>
      <c r="N492" s="143">
        <v>46218</v>
      </c>
      <c r="O492" s="140">
        <v>46210</v>
      </c>
      <c r="P492" s="116">
        <f t="shared" si="14"/>
        <v>12</v>
      </c>
      <c r="Q492" s="116">
        <f t="shared" si="15"/>
        <v>8</v>
      </c>
    </row>
    <row r="493" spans="1:17">
      <c r="A493" s="108">
        <v>492</v>
      </c>
      <c r="B493" s="109" t="s">
        <v>918</v>
      </c>
      <c r="C493" s="112"/>
      <c r="D493" s="109" t="s">
        <v>850</v>
      </c>
      <c r="E493" s="112"/>
      <c r="F493" s="110" t="s">
        <v>924</v>
      </c>
      <c r="G493" s="111">
        <v>1</v>
      </c>
      <c r="H493" s="112" t="s">
        <v>733</v>
      </c>
      <c r="I493" s="118">
        <v>1800</v>
      </c>
      <c r="J493" s="109"/>
      <c r="K493" s="118">
        <v>1800</v>
      </c>
      <c r="L493" s="113" t="s">
        <v>920</v>
      </c>
      <c r="M493" s="142">
        <v>46198</v>
      </c>
      <c r="N493" s="143">
        <v>46218</v>
      </c>
      <c r="O493" s="140">
        <v>46210</v>
      </c>
      <c r="P493" s="116">
        <f t="shared" si="14"/>
        <v>12</v>
      </c>
      <c r="Q493" s="116">
        <f t="shared" si="15"/>
        <v>8</v>
      </c>
    </row>
    <row r="494" spans="1:17">
      <c r="A494" s="108">
        <v>493</v>
      </c>
      <c r="B494" s="109" t="s">
        <v>482</v>
      </c>
      <c r="C494" s="112"/>
      <c r="D494" s="109" t="s">
        <v>925</v>
      </c>
      <c r="E494" s="112"/>
      <c r="F494" s="110" t="s">
        <v>926</v>
      </c>
      <c r="G494" s="111">
        <v>1</v>
      </c>
      <c r="H494" s="112" t="s">
        <v>66</v>
      </c>
      <c r="I494" s="118">
        <v>2270</v>
      </c>
      <c r="J494" s="109"/>
      <c r="K494" s="118">
        <v>2270</v>
      </c>
      <c r="L494" s="113" t="s">
        <v>927</v>
      </c>
      <c r="M494" s="142">
        <v>46205</v>
      </c>
      <c r="N494" s="143">
        <v>46218</v>
      </c>
      <c r="O494" s="140">
        <v>46209</v>
      </c>
      <c r="P494" s="116">
        <f t="shared" si="14"/>
        <v>4</v>
      </c>
      <c r="Q494" s="116">
        <f t="shared" si="15"/>
        <v>9</v>
      </c>
    </row>
    <row r="495" spans="1:17">
      <c r="A495" s="108">
        <v>494</v>
      </c>
      <c r="B495" s="109" t="s">
        <v>928</v>
      </c>
      <c r="C495" s="112"/>
      <c r="D495" s="109" t="s">
        <v>452</v>
      </c>
      <c r="E495" s="112"/>
      <c r="F495" s="110" t="s">
        <v>929</v>
      </c>
      <c r="G495" s="111">
        <v>6</v>
      </c>
      <c r="H495" s="112" t="s">
        <v>66</v>
      </c>
      <c r="I495" s="118">
        <v>60</v>
      </c>
      <c r="J495" s="109"/>
      <c r="K495" s="118">
        <v>360</v>
      </c>
      <c r="L495" s="113" t="s">
        <v>930</v>
      </c>
      <c r="M495" s="142">
        <v>46205</v>
      </c>
      <c r="N495" s="143">
        <v>46218</v>
      </c>
      <c r="O495" s="140">
        <v>46209</v>
      </c>
      <c r="P495" s="116">
        <f t="shared" si="14"/>
        <v>4</v>
      </c>
      <c r="Q495" s="116">
        <f t="shared" si="15"/>
        <v>9</v>
      </c>
    </row>
    <row r="496" spans="1:17">
      <c r="A496" s="108">
        <v>495</v>
      </c>
      <c r="B496" s="109" t="s">
        <v>928</v>
      </c>
      <c r="C496" s="112"/>
      <c r="D496" s="109" t="s">
        <v>452</v>
      </c>
      <c r="E496" s="112"/>
      <c r="F496" s="110" t="s">
        <v>931</v>
      </c>
      <c r="G496" s="111">
        <v>4</v>
      </c>
      <c r="H496" s="112" t="s">
        <v>66</v>
      </c>
      <c r="I496" s="118">
        <v>70</v>
      </c>
      <c r="J496" s="109"/>
      <c r="K496" s="118">
        <v>280</v>
      </c>
      <c r="L496" s="113" t="s">
        <v>930</v>
      </c>
      <c r="M496" s="142">
        <v>46205</v>
      </c>
      <c r="N496" s="143">
        <v>46218</v>
      </c>
      <c r="O496" s="140">
        <v>46209</v>
      </c>
      <c r="P496" s="116">
        <f t="shared" si="14"/>
        <v>4</v>
      </c>
      <c r="Q496" s="116">
        <f t="shared" si="15"/>
        <v>9</v>
      </c>
    </row>
    <row r="497" spans="1:17">
      <c r="A497" s="108">
        <v>496</v>
      </c>
      <c r="B497" s="109" t="s">
        <v>928</v>
      </c>
      <c r="C497" s="112"/>
      <c r="D497" s="109" t="s">
        <v>452</v>
      </c>
      <c r="E497" s="112"/>
      <c r="F497" s="110" t="s">
        <v>932</v>
      </c>
      <c r="G497" s="111">
        <v>13</v>
      </c>
      <c r="H497" s="112" t="s">
        <v>66</v>
      </c>
      <c r="I497" s="118">
        <v>50</v>
      </c>
      <c r="J497" s="109"/>
      <c r="K497" s="118">
        <v>650</v>
      </c>
      <c r="L497" s="113" t="s">
        <v>930</v>
      </c>
      <c r="M497" s="142">
        <v>46205</v>
      </c>
      <c r="N497" s="143">
        <v>46218</v>
      </c>
      <c r="O497" s="140">
        <v>46209</v>
      </c>
      <c r="P497" s="116">
        <f t="shared" si="14"/>
        <v>4</v>
      </c>
      <c r="Q497" s="116">
        <f t="shared" si="15"/>
        <v>9</v>
      </c>
    </row>
    <row r="498" spans="1:17">
      <c r="A498" s="108">
        <v>497</v>
      </c>
      <c r="B498" s="109" t="s">
        <v>928</v>
      </c>
      <c r="C498" s="112"/>
      <c r="D498" s="109" t="s">
        <v>452</v>
      </c>
      <c r="E498" s="112"/>
      <c r="F498" s="110" t="s">
        <v>933</v>
      </c>
      <c r="G498" s="111">
        <v>2</v>
      </c>
      <c r="H498" s="112" t="s">
        <v>66</v>
      </c>
      <c r="I498" s="118">
        <v>40</v>
      </c>
      <c r="J498" s="109"/>
      <c r="K498" s="118">
        <v>80</v>
      </c>
      <c r="L498" s="113" t="s">
        <v>930</v>
      </c>
      <c r="M498" s="142">
        <v>46205</v>
      </c>
      <c r="N498" s="143">
        <v>46218</v>
      </c>
      <c r="O498" s="140">
        <v>46209</v>
      </c>
      <c r="P498" s="116">
        <f t="shared" si="14"/>
        <v>4</v>
      </c>
      <c r="Q498" s="116">
        <f t="shared" si="15"/>
        <v>9</v>
      </c>
    </row>
    <row r="499" spans="1:17">
      <c r="A499" s="108">
        <v>498</v>
      </c>
      <c r="B499" s="109" t="s">
        <v>928</v>
      </c>
      <c r="C499" s="112"/>
      <c r="D499" s="109" t="s">
        <v>452</v>
      </c>
      <c r="E499" s="112"/>
      <c r="F499" s="110" t="s">
        <v>934</v>
      </c>
      <c r="G499" s="111">
        <v>2</v>
      </c>
      <c r="H499" s="112" t="s">
        <v>66</v>
      </c>
      <c r="I499" s="118">
        <v>40</v>
      </c>
      <c r="J499" s="109"/>
      <c r="K499" s="118">
        <v>80</v>
      </c>
      <c r="L499" s="113" t="s">
        <v>930</v>
      </c>
      <c r="M499" s="142">
        <v>46205</v>
      </c>
      <c r="N499" s="143">
        <v>46218</v>
      </c>
      <c r="O499" s="140">
        <v>46209</v>
      </c>
      <c r="P499" s="116">
        <f t="shared" si="14"/>
        <v>4</v>
      </c>
      <c r="Q499" s="116">
        <f t="shared" si="15"/>
        <v>9</v>
      </c>
    </row>
    <row r="500" spans="1:17">
      <c r="A500" s="108">
        <v>499</v>
      </c>
      <c r="B500" s="109" t="s">
        <v>928</v>
      </c>
      <c r="C500" s="112"/>
      <c r="D500" s="109" t="s">
        <v>452</v>
      </c>
      <c r="E500" s="112"/>
      <c r="F500" s="110" t="s">
        <v>935</v>
      </c>
      <c r="G500" s="111">
        <v>6</v>
      </c>
      <c r="H500" s="112" t="s">
        <v>66</v>
      </c>
      <c r="I500" s="118">
        <v>55</v>
      </c>
      <c r="J500" s="109"/>
      <c r="K500" s="118">
        <v>330</v>
      </c>
      <c r="L500" s="113" t="s">
        <v>930</v>
      </c>
      <c r="M500" s="142">
        <v>46205</v>
      </c>
      <c r="N500" s="143">
        <v>46218</v>
      </c>
      <c r="O500" s="140">
        <v>46209</v>
      </c>
      <c r="P500" s="116">
        <f t="shared" si="14"/>
        <v>4</v>
      </c>
      <c r="Q500" s="116">
        <f t="shared" si="15"/>
        <v>9</v>
      </c>
    </row>
    <row r="501" spans="1:17">
      <c r="A501" s="108">
        <v>500</v>
      </c>
      <c r="B501" s="109" t="s">
        <v>936</v>
      </c>
      <c r="C501" s="112"/>
      <c r="D501" s="109" t="s">
        <v>83</v>
      </c>
      <c r="E501" s="112"/>
      <c r="F501" s="110" t="s">
        <v>937</v>
      </c>
      <c r="G501" s="111">
        <v>20</v>
      </c>
      <c r="H501" s="112" t="s">
        <v>69</v>
      </c>
      <c r="I501" s="118">
        <v>317</v>
      </c>
      <c r="J501" s="119">
        <v>951</v>
      </c>
      <c r="K501" s="118">
        <v>5389</v>
      </c>
      <c r="L501" s="113" t="s">
        <v>938</v>
      </c>
      <c r="M501" s="142">
        <v>46205</v>
      </c>
      <c r="N501" s="143">
        <v>46218</v>
      </c>
      <c r="O501" s="140">
        <v>46209</v>
      </c>
      <c r="P501" s="116">
        <f t="shared" si="14"/>
        <v>4</v>
      </c>
      <c r="Q501" s="116">
        <f t="shared" si="15"/>
        <v>9</v>
      </c>
    </row>
    <row r="502" spans="1:17">
      <c r="A502" s="108">
        <v>501</v>
      </c>
      <c r="B502" s="109" t="s">
        <v>273</v>
      </c>
      <c r="C502" s="112"/>
      <c r="D502" s="109" t="s">
        <v>939</v>
      </c>
      <c r="E502" s="112"/>
      <c r="F502" s="110" t="s">
        <v>940</v>
      </c>
      <c r="G502" s="111">
        <v>1</v>
      </c>
      <c r="H502" s="112" t="s">
        <v>66</v>
      </c>
      <c r="I502" s="118">
        <v>1440</v>
      </c>
      <c r="J502" s="109"/>
      <c r="K502" s="118">
        <v>1440</v>
      </c>
      <c r="L502" s="113" t="s">
        <v>941</v>
      </c>
      <c r="M502" s="142">
        <v>46195</v>
      </c>
      <c r="N502" s="143">
        <v>46227</v>
      </c>
      <c r="O502" s="140">
        <v>46218</v>
      </c>
      <c r="P502" s="116">
        <f t="shared" si="14"/>
        <v>23</v>
      </c>
      <c r="Q502" s="116">
        <f t="shared" si="15"/>
        <v>9</v>
      </c>
    </row>
    <row r="503" spans="1:17">
      <c r="A503" s="108">
        <v>502</v>
      </c>
      <c r="B503" s="109" t="s">
        <v>273</v>
      </c>
      <c r="C503" s="112"/>
      <c r="D503" s="109" t="s">
        <v>939</v>
      </c>
      <c r="E503" s="112"/>
      <c r="F503" s="110" t="s">
        <v>942</v>
      </c>
      <c r="G503" s="111">
        <v>1</v>
      </c>
      <c r="H503" s="112" t="s">
        <v>66</v>
      </c>
      <c r="I503" s="118">
        <v>2250</v>
      </c>
      <c r="J503" s="109"/>
      <c r="K503" s="118">
        <v>2250</v>
      </c>
      <c r="L503" s="113" t="s">
        <v>943</v>
      </c>
      <c r="M503" s="142">
        <v>46195</v>
      </c>
      <c r="N503" s="143">
        <v>46227</v>
      </c>
      <c r="O503" s="140">
        <v>46218</v>
      </c>
      <c r="P503" s="116">
        <f t="shared" si="14"/>
        <v>23</v>
      </c>
      <c r="Q503" s="116">
        <f t="shared" si="15"/>
        <v>9</v>
      </c>
    </row>
    <row r="504" spans="1:17">
      <c r="A504" s="108">
        <v>503</v>
      </c>
      <c r="B504" s="109" t="s">
        <v>944</v>
      </c>
      <c r="C504" s="112"/>
      <c r="D504" s="109" t="s">
        <v>945</v>
      </c>
      <c r="E504" s="112"/>
      <c r="F504" s="110" t="s">
        <v>946</v>
      </c>
      <c r="G504" s="111">
        <v>1</v>
      </c>
      <c r="H504" s="112" t="s">
        <v>66</v>
      </c>
      <c r="I504" s="118">
        <v>2600</v>
      </c>
      <c r="J504" s="109"/>
      <c r="K504" s="118">
        <v>2600</v>
      </c>
      <c r="L504" s="113" t="s">
        <v>947</v>
      </c>
      <c r="M504" s="142">
        <v>46224</v>
      </c>
      <c r="N504" s="143">
        <v>46237</v>
      </c>
      <c r="O504" s="140">
        <v>46227</v>
      </c>
      <c r="P504" s="116">
        <f t="shared" si="14"/>
        <v>3</v>
      </c>
      <c r="Q504" s="116">
        <f t="shared" si="15"/>
        <v>10</v>
      </c>
    </row>
    <row r="505" spans="1:17">
      <c r="A505" s="108">
        <v>504</v>
      </c>
      <c r="B505" s="109" t="s">
        <v>899</v>
      </c>
      <c r="C505" s="112"/>
      <c r="D505" s="109" t="s">
        <v>900</v>
      </c>
      <c r="E505" s="112"/>
      <c r="F505" s="110" t="s">
        <v>901</v>
      </c>
      <c r="G505" s="111">
        <v>1</v>
      </c>
      <c r="H505" s="112" t="s">
        <v>66</v>
      </c>
      <c r="I505" s="118">
        <v>800</v>
      </c>
      <c r="J505" s="109"/>
      <c r="K505" s="118">
        <v>800</v>
      </c>
      <c r="L505" s="113" t="s">
        <v>948</v>
      </c>
      <c r="M505" s="142">
        <v>46212</v>
      </c>
      <c r="N505" s="143">
        <v>46227</v>
      </c>
      <c r="O505" s="140">
        <v>46216</v>
      </c>
      <c r="P505" s="116">
        <f t="shared" si="14"/>
        <v>4</v>
      </c>
      <c r="Q505" s="116">
        <f t="shared" si="15"/>
        <v>11</v>
      </c>
    </row>
    <row r="506" spans="1:17">
      <c r="A506" s="108">
        <v>505</v>
      </c>
      <c r="B506" s="109" t="s">
        <v>899</v>
      </c>
      <c r="C506" s="112"/>
      <c r="D506" s="109" t="s">
        <v>900</v>
      </c>
      <c r="E506" s="112"/>
      <c r="F506" s="110" t="s">
        <v>903</v>
      </c>
      <c r="G506" s="111">
        <v>1</v>
      </c>
      <c r="H506" s="112" t="s">
        <v>66</v>
      </c>
      <c r="I506" s="118">
        <v>600</v>
      </c>
      <c r="J506" s="109"/>
      <c r="K506" s="118">
        <v>600</v>
      </c>
      <c r="L506" s="113" t="s">
        <v>948</v>
      </c>
      <c r="M506" s="142">
        <v>46212</v>
      </c>
      <c r="N506" s="143">
        <v>46227</v>
      </c>
      <c r="O506" s="140">
        <v>46216</v>
      </c>
      <c r="P506" s="116">
        <f t="shared" si="14"/>
        <v>4</v>
      </c>
      <c r="Q506" s="116">
        <f t="shared" si="15"/>
        <v>11</v>
      </c>
    </row>
    <row r="507" spans="1:17">
      <c r="A507" s="108">
        <v>506</v>
      </c>
      <c r="B507" s="109" t="s">
        <v>899</v>
      </c>
      <c r="C507" s="112"/>
      <c r="D507" s="109" t="s">
        <v>900</v>
      </c>
      <c r="E507" s="112"/>
      <c r="F507" s="110" t="s">
        <v>949</v>
      </c>
      <c r="G507" s="111">
        <v>1</v>
      </c>
      <c r="H507" s="112" t="s">
        <v>66</v>
      </c>
      <c r="I507" s="118">
        <v>100</v>
      </c>
      <c r="J507" s="109"/>
      <c r="K507" s="118">
        <v>100</v>
      </c>
      <c r="L507" s="113" t="s">
        <v>948</v>
      </c>
      <c r="M507" s="142">
        <v>46212</v>
      </c>
      <c r="N507" s="143">
        <v>46227</v>
      </c>
      <c r="O507" s="140">
        <v>46216</v>
      </c>
      <c r="P507" s="116">
        <f t="shared" si="14"/>
        <v>4</v>
      </c>
      <c r="Q507" s="116">
        <f t="shared" si="15"/>
        <v>11</v>
      </c>
    </row>
    <row r="508" spans="1:17">
      <c r="A508" s="108">
        <v>507</v>
      </c>
      <c r="B508" s="109" t="s">
        <v>899</v>
      </c>
      <c r="C508" s="112"/>
      <c r="D508" s="109" t="s">
        <v>900</v>
      </c>
      <c r="E508" s="112"/>
      <c r="F508" s="110" t="s">
        <v>950</v>
      </c>
      <c r="G508" s="111">
        <v>1</v>
      </c>
      <c r="H508" s="112" t="s">
        <v>90</v>
      </c>
      <c r="I508" s="118">
        <v>800</v>
      </c>
      <c r="J508" s="109"/>
      <c r="K508" s="118">
        <v>800</v>
      </c>
      <c r="L508" s="113" t="s">
        <v>948</v>
      </c>
      <c r="M508" s="142">
        <v>46212</v>
      </c>
      <c r="N508" s="143">
        <v>46227</v>
      </c>
      <c r="O508" s="140">
        <v>46216</v>
      </c>
      <c r="P508" s="116">
        <f t="shared" si="14"/>
        <v>4</v>
      </c>
      <c r="Q508" s="116">
        <f t="shared" si="15"/>
        <v>11</v>
      </c>
    </row>
    <row r="509" spans="1:17">
      <c r="A509" s="108">
        <v>508</v>
      </c>
      <c r="B509" s="154" t="s">
        <v>857</v>
      </c>
      <c r="C509" s="155" t="s">
        <v>951</v>
      </c>
      <c r="D509" s="154" t="s">
        <v>952</v>
      </c>
      <c r="E509" s="155" t="s">
        <v>953</v>
      </c>
      <c r="F509" s="154" t="s">
        <v>954</v>
      </c>
      <c r="G509" s="156">
        <v>1</v>
      </c>
      <c r="H509" s="155" t="s">
        <v>66</v>
      </c>
      <c r="I509" s="157">
        <v>103.74</v>
      </c>
      <c r="J509" s="157">
        <v>0</v>
      </c>
      <c r="K509" s="157">
        <v>103.74</v>
      </c>
      <c r="L509" s="158" t="s">
        <v>955</v>
      </c>
      <c r="M509" s="159">
        <v>46226</v>
      </c>
      <c r="N509" s="160">
        <v>46241</v>
      </c>
      <c r="O509" s="140">
        <v>46230</v>
      </c>
      <c r="P509" s="116">
        <f t="shared" si="14"/>
        <v>4</v>
      </c>
      <c r="Q509" s="116">
        <f t="shared" si="15"/>
        <v>11</v>
      </c>
    </row>
    <row r="510" spans="1:17">
      <c r="A510" s="108">
        <v>509</v>
      </c>
      <c r="B510" s="154" t="s">
        <v>857</v>
      </c>
      <c r="C510" s="155" t="s">
        <v>951</v>
      </c>
      <c r="D510" s="154" t="s">
        <v>952</v>
      </c>
      <c r="E510" s="155" t="s">
        <v>882</v>
      </c>
      <c r="F510" s="154" t="s">
        <v>956</v>
      </c>
      <c r="G510" s="156">
        <v>1</v>
      </c>
      <c r="H510" s="155" t="s">
        <v>92</v>
      </c>
      <c r="I510" s="157">
        <v>51.4</v>
      </c>
      <c r="J510" s="157">
        <v>0</v>
      </c>
      <c r="K510" s="157">
        <v>51.4</v>
      </c>
      <c r="L510" s="158" t="s">
        <v>955</v>
      </c>
      <c r="M510" s="159">
        <v>46226</v>
      </c>
      <c r="N510" s="160">
        <v>46241</v>
      </c>
      <c r="O510" s="140">
        <v>46230</v>
      </c>
      <c r="P510" s="116">
        <f t="shared" si="14"/>
        <v>4</v>
      </c>
      <c r="Q510" s="116">
        <f t="shared" si="15"/>
        <v>11</v>
      </c>
    </row>
    <row r="511" spans="1:17">
      <c r="A511" s="108">
        <v>510</v>
      </c>
      <c r="B511" s="109" t="s">
        <v>957</v>
      </c>
      <c r="C511" s="112"/>
      <c r="D511" s="109" t="s">
        <v>95</v>
      </c>
      <c r="E511" s="112"/>
      <c r="F511" s="110" t="s">
        <v>958</v>
      </c>
      <c r="G511" s="111">
        <v>2</v>
      </c>
      <c r="H511" s="112" t="s">
        <v>63</v>
      </c>
      <c r="I511" s="118">
        <v>503</v>
      </c>
      <c r="J511" s="109"/>
      <c r="K511" s="118">
        <v>1006</v>
      </c>
      <c r="L511" s="113" t="s">
        <v>959</v>
      </c>
      <c r="M511" s="142">
        <v>46218</v>
      </c>
      <c r="N511" s="143">
        <v>46237</v>
      </c>
      <c r="O511" s="140">
        <v>46225</v>
      </c>
      <c r="P511" s="116">
        <f t="shared" si="14"/>
        <v>7</v>
      </c>
      <c r="Q511" s="116">
        <f t="shared" si="15"/>
        <v>12</v>
      </c>
    </row>
    <row r="512" spans="1:17">
      <c r="A512" s="108">
        <v>511</v>
      </c>
      <c r="B512" s="109" t="s">
        <v>957</v>
      </c>
      <c r="C512" s="112"/>
      <c r="D512" s="109" t="s">
        <v>95</v>
      </c>
      <c r="E512" s="112"/>
      <c r="F512" s="110" t="s">
        <v>960</v>
      </c>
      <c r="G512" s="111">
        <v>2</v>
      </c>
      <c r="H512" s="112" t="s">
        <v>63</v>
      </c>
      <c r="I512" s="118">
        <v>345.8</v>
      </c>
      <c r="J512" s="109"/>
      <c r="K512" s="118">
        <v>691.6</v>
      </c>
      <c r="L512" s="113" t="s">
        <v>959</v>
      </c>
      <c r="M512" s="142">
        <v>46218</v>
      </c>
      <c r="N512" s="143">
        <v>46237</v>
      </c>
      <c r="O512" s="140">
        <v>46225</v>
      </c>
      <c r="P512" s="116">
        <f t="shared" si="14"/>
        <v>7</v>
      </c>
      <c r="Q512" s="116">
        <f t="shared" si="15"/>
        <v>12</v>
      </c>
    </row>
    <row r="513" spans="1:17">
      <c r="A513" s="108">
        <v>512</v>
      </c>
      <c r="B513" s="109" t="s">
        <v>957</v>
      </c>
      <c r="C513" s="112"/>
      <c r="D513" s="109" t="s">
        <v>95</v>
      </c>
      <c r="E513" s="112"/>
      <c r="F513" s="110" t="s">
        <v>961</v>
      </c>
      <c r="G513" s="111">
        <v>2</v>
      </c>
      <c r="H513" s="112" t="s">
        <v>63</v>
      </c>
      <c r="I513" s="118">
        <v>345.8</v>
      </c>
      <c r="J513" s="109"/>
      <c r="K513" s="118">
        <v>691.6</v>
      </c>
      <c r="L513" s="113" t="s">
        <v>959</v>
      </c>
      <c r="M513" s="142">
        <v>46218</v>
      </c>
      <c r="N513" s="143">
        <v>46237</v>
      </c>
      <c r="O513" s="140">
        <v>46225</v>
      </c>
      <c r="P513" s="116">
        <f t="shared" si="14"/>
        <v>7</v>
      </c>
      <c r="Q513" s="116">
        <f t="shared" si="15"/>
        <v>12</v>
      </c>
    </row>
    <row r="514" spans="1:17">
      <c r="A514" s="108">
        <v>513</v>
      </c>
      <c r="B514" s="109" t="s">
        <v>962</v>
      </c>
      <c r="C514" s="112"/>
      <c r="D514" s="109" t="s">
        <v>850</v>
      </c>
      <c r="E514" s="112"/>
      <c r="F514" s="110" t="s">
        <v>963</v>
      </c>
      <c r="G514" s="111">
        <v>1</v>
      </c>
      <c r="H514" s="112" t="s">
        <v>66</v>
      </c>
      <c r="I514" s="118">
        <v>2200</v>
      </c>
      <c r="J514" s="109"/>
      <c r="K514" s="118">
        <v>2200</v>
      </c>
      <c r="L514" s="113" t="s">
        <v>964</v>
      </c>
      <c r="M514" s="142">
        <v>46198</v>
      </c>
      <c r="N514" s="143">
        <v>46218</v>
      </c>
      <c r="O514" s="140">
        <v>46204</v>
      </c>
      <c r="P514" s="116">
        <f t="shared" ref="P514:P521" si="16">O514-M514</f>
        <v>6</v>
      </c>
      <c r="Q514" s="116">
        <f t="shared" ref="Q514:Q521" si="17">N514-O514</f>
        <v>14</v>
      </c>
    </row>
    <row r="515" spans="1:17">
      <c r="A515" s="108">
        <v>514</v>
      </c>
      <c r="B515" s="109" t="s">
        <v>962</v>
      </c>
      <c r="C515" s="112"/>
      <c r="D515" s="109" t="s">
        <v>850</v>
      </c>
      <c r="E515" s="112"/>
      <c r="F515" s="110" t="s">
        <v>965</v>
      </c>
      <c r="G515" s="111">
        <v>1</v>
      </c>
      <c r="H515" s="112" t="s">
        <v>66</v>
      </c>
      <c r="I515" s="118">
        <v>1800</v>
      </c>
      <c r="J515" s="109"/>
      <c r="K515" s="118">
        <v>1800</v>
      </c>
      <c r="L515" s="113" t="s">
        <v>964</v>
      </c>
      <c r="M515" s="142">
        <v>46198</v>
      </c>
      <c r="N515" s="143">
        <v>46218</v>
      </c>
      <c r="O515" s="140">
        <v>46204</v>
      </c>
      <c r="P515" s="116">
        <f t="shared" si="16"/>
        <v>6</v>
      </c>
      <c r="Q515" s="116">
        <f t="shared" si="17"/>
        <v>14</v>
      </c>
    </row>
    <row r="516" spans="1:17">
      <c r="A516" s="108">
        <v>515</v>
      </c>
      <c r="B516" s="109" t="s">
        <v>962</v>
      </c>
      <c r="C516" s="112"/>
      <c r="D516" s="109" t="s">
        <v>850</v>
      </c>
      <c r="E516" s="112"/>
      <c r="F516" s="110" t="s">
        <v>966</v>
      </c>
      <c r="G516" s="111">
        <v>1</v>
      </c>
      <c r="H516" s="112" t="s">
        <v>90</v>
      </c>
      <c r="I516" s="118">
        <v>2000</v>
      </c>
      <c r="J516" s="109"/>
      <c r="K516" s="118">
        <v>2000</v>
      </c>
      <c r="L516" s="113" t="s">
        <v>964</v>
      </c>
      <c r="M516" s="142">
        <v>46198</v>
      </c>
      <c r="N516" s="143">
        <v>46218</v>
      </c>
      <c r="O516" s="140">
        <v>46204</v>
      </c>
      <c r="P516" s="116">
        <f t="shared" si="16"/>
        <v>6</v>
      </c>
      <c r="Q516" s="116">
        <f t="shared" si="17"/>
        <v>14</v>
      </c>
    </row>
    <row r="517" spans="1:17">
      <c r="A517" s="108">
        <v>516</v>
      </c>
      <c r="B517" s="195" t="s">
        <v>1008</v>
      </c>
      <c r="C517" s="196" t="s">
        <v>1009</v>
      </c>
      <c r="D517" s="195" t="s">
        <v>1010</v>
      </c>
      <c r="E517" s="196" t="s">
        <v>1011</v>
      </c>
      <c r="F517" s="197" t="s">
        <v>1012</v>
      </c>
      <c r="G517" s="198">
        <v>1</v>
      </c>
      <c r="H517" s="196" t="s">
        <v>90</v>
      </c>
      <c r="I517" s="199">
        <v>50000</v>
      </c>
      <c r="J517" s="119"/>
      <c r="K517" s="199">
        <v>50000</v>
      </c>
      <c r="L517" s="200" t="s">
        <v>1013</v>
      </c>
      <c r="M517" s="201">
        <v>46211</v>
      </c>
      <c r="N517" s="202">
        <v>46224</v>
      </c>
      <c r="O517" s="203">
        <v>46224</v>
      </c>
      <c r="P517" s="116">
        <f t="shared" ref="P517:P518" si="18">O517-M517</f>
        <v>13</v>
      </c>
      <c r="Q517" s="116">
        <f t="shared" ref="Q517:Q518" si="19">N517-O517</f>
        <v>0</v>
      </c>
    </row>
    <row r="518" spans="1:17">
      <c r="A518" s="108">
        <v>517</v>
      </c>
      <c r="B518" s="109" t="s">
        <v>967</v>
      </c>
      <c r="C518" s="112"/>
      <c r="D518" s="109" t="s">
        <v>968</v>
      </c>
      <c r="E518" s="112"/>
      <c r="F518" s="110" t="s">
        <v>969</v>
      </c>
      <c r="G518" s="111">
        <v>1</v>
      </c>
      <c r="H518" s="112" t="s">
        <v>63</v>
      </c>
      <c r="I518" s="118">
        <v>60515</v>
      </c>
      <c r="J518" s="109"/>
      <c r="K518" s="118">
        <v>60515</v>
      </c>
      <c r="L518" s="113" t="s">
        <v>970</v>
      </c>
      <c r="M518" s="142">
        <v>46212</v>
      </c>
      <c r="N518" s="143">
        <v>46237</v>
      </c>
      <c r="O518" s="140">
        <v>46219</v>
      </c>
      <c r="P518" s="116">
        <f t="shared" si="18"/>
        <v>7</v>
      </c>
      <c r="Q518" s="116">
        <f t="shared" si="19"/>
        <v>18</v>
      </c>
    </row>
    <row r="519" spans="1:17">
      <c r="A519" s="108">
        <v>518</v>
      </c>
      <c r="B519" s="109" t="s">
        <v>967</v>
      </c>
      <c r="C519" s="112"/>
      <c r="D519" s="109" t="s">
        <v>968</v>
      </c>
      <c r="E519" s="112"/>
      <c r="F519" s="110" t="s">
        <v>971</v>
      </c>
      <c r="G519" s="111">
        <v>1</v>
      </c>
      <c r="H519" s="112" t="s">
        <v>63</v>
      </c>
      <c r="I519" s="118">
        <v>490</v>
      </c>
      <c r="J519" s="109"/>
      <c r="K519" s="118">
        <v>490</v>
      </c>
      <c r="L519" s="113" t="s">
        <v>970</v>
      </c>
      <c r="M519" s="142">
        <v>46212</v>
      </c>
      <c r="N519" s="143">
        <v>46237</v>
      </c>
      <c r="O519" s="140">
        <v>46219</v>
      </c>
      <c r="P519" s="116">
        <f t="shared" si="16"/>
        <v>7</v>
      </c>
      <c r="Q519" s="116">
        <f t="shared" si="17"/>
        <v>18</v>
      </c>
    </row>
    <row r="520" spans="1:17">
      <c r="A520" s="108">
        <v>519</v>
      </c>
      <c r="B520" s="109" t="s">
        <v>967</v>
      </c>
      <c r="C520" s="112"/>
      <c r="D520" s="109" t="s">
        <v>968</v>
      </c>
      <c r="E520" s="112"/>
      <c r="F520" s="110" t="s">
        <v>972</v>
      </c>
      <c r="G520" s="111">
        <v>1</v>
      </c>
      <c r="H520" s="112" t="s">
        <v>63</v>
      </c>
      <c r="I520" s="118">
        <v>1568</v>
      </c>
      <c r="J520" s="109"/>
      <c r="K520" s="118">
        <v>1568</v>
      </c>
      <c r="L520" s="113" t="s">
        <v>970</v>
      </c>
      <c r="M520" s="142">
        <v>46212</v>
      </c>
      <c r="N520" s="143">
        <v>46237</v>
      </c>
      <c r="O520" s="140">
        <v>46219</v>
      </c>
      <c r="P520" s="116">
        <f t="shared" si="16"/>
        <v>7</v>
      </c>
      <c r="Q520" s="116">
        <f t="shared" si="17"/>
        <v>18</v>
      </c>
    </row>
    <row r="521" spans="1:17">
      <c r="A521" s="108">
        <v>520</v>
      </c>
      <c r="B521" s="109" t="s">
        <v>967</v>
      </c>
      <c r="C521" s="112"/>
      <c r="D521" s="109" t="s">
        <v>968</v>
      </c>
      <c r="E521" s="112"/>
      <c r="F521" s="110" t="s">
        <v>973</v>
      </c>
      <c r="G521" s="111">
        <v>1</v>
      </c>
      <c r="H521" s="112" t="s">
        <v>63</v>
      </c>
      <c r="I521" s="118">
        <v>1764</v>
      </c>
      <c r="J521" s="109"/>
      <c r="K521" s="118">
        <v>1764</v>
      </c>
      <c r="L521" s="113" t="s">
        <v>970</v>
      </c>
      <c r="M521" s="142">
        <v>46212</v>
      </c>
      <c r="N521" s="143">
        <v>46237</v>
      </c>
      <c r="O521" s="140">
        <v>46219</v>
      </c>
      <c r="P521" s="116">
        <f t="shared" si="16"/>
        <v>7</v>
      </c>
      <c r="Q521" s="116">
        <f t="shared" si="17"/>
        <v>18</v>
      </c>
    </row>
    <row r="523" spans="1:17">
      <c r="F523" s="161" t="s">
        <v>96</v>
      </c>
      <c r="G523" s="162">
        <v>520</v>
      </c>
    </row>
    <row r="524" spans="1:17">
      <c r="F524" s="166" t="s">
        <v>97</v>
      </c>
      <c r="G524" s="167">
        <f>G523-32</f>
        <v>488</v>
      </c>
    </row>
    <row r="525" spans="1:17">
      <c r="F525" s="168" t="s">
        <v>98</v>
      </c>
      <c r="G525" s="169">
        <f>+G524*100/G523</f>
        <v>93.84615384615384</v>
      </c>
    </row>
  </sheetData>
  <autoFilter ref="B1:Q1" xr:uid="{0D56023A-C892-4B03-8D12-9D051BD4F02B}">
    <sortState xmlns:xlrd2="http://schemas.microsoft.com/office/spreadsheetml/2017/richdata2" ref="B2:Q520">
      <sortCondition ref="Q1"/>
    </sortState>
  </autoFilter>
  <conditionalFormatting sqref="C510:C521">
    <cfRule type="expression" dxfId="1" priority="1">
      <formula>C510&lt;&gt;""</formula>
    </cfRule>
  </conditionalFormatting>
  <conditionalFormatting sqref="J510:J521">
    <cfRule type="expression" dxfId="0" priority="2">
      <formula>J510&lt;&gt;0</formula>
    </cfRule>
  </conditionalFormatting>
  <pageMargins left="0.47244094488188981" right="0.47244094488188981" top="0.78740157480314965" bottom="0.78740157480314965" header="0.51181102362204722" footer="0.51181102362204722"/>
  <pageSetup scale="2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9159-B361-427E-A351-252BF6427796}">
  <dimension ref="A1:J54"/>
  <sheetViews>
    <sheetView showGridLines="0" zoomScale="84" zoomScaleNormal="84" workbookViewId="0">
      <selection activeCell="C23" sqref="C23"/>
    </sheetView>
  </sheetViews>
  <sheetFormatPr defaultColWidth="8" defaultRowHeight="14.25"/>
  <cols>
    <col min="1" max="1" width="7.85546875" style="191" customWidth="1"/>
    <col min="2" max="2" width="53.140625" style="171" customWidth="1"/>
    <col min="3" max="3" width="14.5703125" style="191" customWidth="1"/>
    <col min="4" max="4" width="16.85546875" style="191" customWidth="1"/>
    <col min="5" max="5" width="9.140625" style="191" customWidth="1"/>
    <col min="6" max="7" width="18.42578125" style="191" customWidth="1"/>
    <col min="8" max="8" width="16.85546875" style="192" customWidth="1"/>
    <col min="9" max="9" width="14.140625" style="192" customWidth="1"/>
    <col min="10" max="10" width="27.85546875" style="175" customWidth="1"/>
    <col min="11" max="11" width="14.85546875" style="175" customWidth="1"/>
    <col min="12" max="16384" width="8" style="175"/>
  </cols>
  <sheetData>
    <row r="1" spans="1:10" s="174" customFormat="1" ht="27.6" customHeight="1">
      <c r="A1" s="170" t="s">
        <v>119</v>
      </c>
      <c r="B1" s="171"/>
      <c r="C1" s="172"/>
      <c r="D1" s="172"/>
      <c r="E1" s="172"/>
      <c r="F1" s="172"/>
      <c r="G1" s="172"/>
      <c r="H1" s="173"/>
      <c r="I1" s="173"/>
    </row>
    <row r="2" spans="1:10" s="174" customFormat="1" ht="20.45" customHeight="1">
      <c r="A2" s="170" t="s">
        <v>120</v>
      </c>
      <c r="B2" s="171"/>
      <c r="C2" s="172"/>
      <c r="D2" s="172"/>
      <c r="E2" s="172"/>
      <c r="F2" s="172"/>
      <c r="G2" s="172"/>
      <c r="H2" s="173"/>
      <c r="I2" s="173"/>
    </row>
    <row r="3" spans="1:10" ht="23.25" customHeight="1">
      <c r="A3" s="263" t="s">
        <v>121</v>
      </c>
      <c r="B3" s="265" t="s">
        <v>47</v>
      </c>
      <c r="C3" s="267" t="s">
        <v>122</v>
      </c>
      <c r="D3" s="269" t="s">
        <v>974</v>
      </c>
      <c r="E3" s="269"/>
      <c r="F3" s="269"/>
      <c r="G3" s="269"/>
      <c r="H3" s="269"/>
      <c r="I3" s="269"/>
      <c r="J3" s="269"/>
    </row>
    <row r="4" spans="1:10" s="174" customFormat="1" ht="30" customHeight="1">
      <c r="A4" s="264"/>
      <c r="B4" s="266"/>
      <c r="C4" s="268"/>
      <c r="D4" s="178" t="s">
        <v>123</v>
      </c>
      <c r="E4" s="176" t="s">
        <v>48</v>
      </c>
      <c r="F4" s="177" t="s">
        <v>124</v>
      </c>
      <c r="G4" s="177" t="s">
        <v>38</v>
      </c>
      <c r="H4" s="179" t="s">
        <v>125</v>
      </c>
      <c r="I4" s="180" t="s">
        <v>126</v>
      </c>
      <c r="J4" s="181" t="s">
        <v>49</v>
      </c>
    </row>
    <row r="5" spans="1:10" ht="22.5" customHeight="1">
      <c r="A5" s="182">
        <v>1</v>
      </c>
      <c r="B5" s="183" t="s">
        <v>975</v>
      </c>
      <c r="C5" s="127">
        <v>4900</v>
      </c>
      <c r="D5" s="128">
        <v>4500</v>
      </c>
      <c r="E5" s="127">
        <v>1</v>
      </c>
      <c r="F5" s="129">
        <f>C5*E5</f>
        <v>4900</v>
      </c>
      <c r="G5" s="129">
        <f>E5*D5</f>
        <v>4500</v>
      </c>
      <c r="H5" s="130">
        <f t="shared" ref="H5:H37" si="0">F5-G5</f>
        <v>400</v>
      </c>
      <c r="I5" s="184">
        <f>H5/F5</f>
        <v>8.1632653061224483E-2</v>
      </c>
      <c r="J5" s="185"/>
    </row>
    <row r="6" spans="1:10" ht="22.5" customHeight="1">
      <c r="A6" s="182">
        <v>2</v>
      </c>
      <c r="B6" s="183" t="s">
        <v>976</v>
      </c>
      <c r="C6" s="131">
        <v>18.899999999999999</v>
      </c>
      <c r="D6" s="127">
        <v>18</v>
      </c>
      <c r="E6" s="127">
        <v>9</v>
      </c>
      <c r="F6" s="129">
        <f t="shared" ref="F6:F37" si="1">C6*E6</f>
        <v>170.1</v>
      </c>
      <c r="G6" s="129">
        <f t="shared" ref="G6:G37" si="2">E6*D6</f>
        <v>162</v>
      </c>
      <c r="H6" s="130">
        <f t="shared" si="0"/>
        <v>8.0999999999999943</v>
      </c>
      <c r="I6" s="184">
        <f>H6/F6</f>
        <v>4.7619047619047589E-2</v>
      </c>
      <c r="J6" s="185"/>
    </row>
    <row r="7" spans="1:10" ht="22.5" customHeight="1">
      <c r="A7" s="182">
        <v>3</v>
      </c>
      <c r="B7" s="183" t="s">
        <v>977</v>
      </c>
      <c r="C7" s="131">
        <v>26</v>
      </c>
      <c r="D7" s="127">
        <v>25</v>
      </c>
      <c r="E7" s="186">
        <v>8</v>
      </c>
      <c r="F7" s="129">
        <f t="shared" si="1"/>
        <v>208</v>
      </c>
      <c r="G7" s="129">
        <f t="shared" si="2"/>
        <v>200</v>
      </c>
      <c r="H7" s="130">
        <f t="shared" si="0"/>
        <v>8</v>
      </c>
      <c r="I7" s="184">
        <f t="shared" ref="I7:I37" si="3">H7/F7</f>
        <v>3.8461538461538464E-2</v>
      </c>
      <c r="J7" s="185"/>
    </row>
    <row r="8" spans="1:10" ht="22.5" customHeight="1">
      <c r="A8" s="182">
        <v>4</v>
      </c>
      <c r="B8" s="183" t="s">
        <v>978</v>
      </c>
      <c r="C8" s="131">
        <v>285</v>
      </c>
      <c r="D8" s="127">
        <v>260</v>
      </c>
      <c r="E8" s="186">
        <v>4</v>
      </c>
      <c r="F8" s="129">
        <f t="shared" si="1"/>
        <v>1140</v>
      </c>
      <c r="G8" s="129">
        <f t="shared" si="2"/>
        <v>1040</v>
      </c>
      <c r="H8" s="130">
        <f t="shared" si="0"/>
        <v>100</v>
      </c>
      <c r="I8" s="184">
        <f t="shared" si="3"/>
        <v>8.771929824561403E-2</v>
      </c>
      <c r="J8" s="185"/>
    </row>
    <row r="9" spans="1:10" ht="22.5" customHeight="1">
      <c r="A9" s="182">
        <v>5</v>
      </c>
      <c r="B9" s="183" t="s">
        <v>979</v>
      </c>
      <c r="C9" s="131">
        <v>52.5</v>
      </c>
      <c r="D9" s="127">
        <v>48</v>
      </c>
      <c r="E9" s="186">
        <v>1</v>
      </c>
      <c r="F9" s="129">
        <f t="shared" si="1"/>
        <v>52.5</v>
      </c>
      <c r="G9" s="129">
        <f t="shared" si="2"/>
        <v>48</v>
      </c>
      <c r="H9" s="130">
        <f t="shared" si="0"/>
        <v>4.5</v>
      </c>
      <c r="I9" s="184">
        <f t="shared" si="3"/>
        <v>8.5714285714285715E-2</v>
      </c>
      <c r="J9" s="185"/>
    </row>
    <row r="10" spans="1:10" ht="22.5" customHeight="1">
      <c r="A10" s="182">
        <v>6</v>
      </c>
      <c r="B10" s="183" t="s">
        <v>980</v>
      </c>
      <c r="C10" s="131">
        <v>75</v>
      </c>
      <c r="D10" s="127">
        <v>70</v>
      </c>
      <c r="E10" s="186">
        <v>2</v>
      </c>
      <c r="F10" s="129">
        <f t="shared" si="1"/>
        <v>150</v>
      </c>
      <c r="G10" s="129">
        <f t="shared" si="2"/>
        <v>140</v>
      </c>
      <c r="H10" s="130">
        <f t="shared" si="0"/>
        <v>10</v>
      </c>
      <c r="I10" s="184">
        <f t="shared" si="3"/>
        <v>6.6666666666666666E-2</v>
      </c>
      <c r="J10" s="185"/>
    </row>
    <row r="11" spans="1:10" ht="22.5" customHeight="1">
      <c r="A11" s="182">
        <v>7</v>
      </c>
      <c r="B11" s="183" t="s">
        <v>981</v>
      </c>
      <c r="C11" s="131">
        <v>49.6</v>
      </c>
      <c r="D11" s="127">
        <v>44</v>
      </c>
      <c r="E11" s="186">
        <v>2</v>
      </c>
      <c r="F11" s="129">
        <f t="shared" si="1"/>
        <v>99.2</v>
      </c>
      <c r="G11" s="129">
        <f t="shared" si="2"/>
        <v>88</v>
      </c>
      <c r="H11" s="130">
        <f t="shared" si="0"/>
        <v>11.200000000000003</v>
      </c>
      <c r="I11" s="184">
        <f t="shared" si="3"/>
        <v>0.11290322580645164</v>
      </c>
      <c r="J11" s="185"/>
    </row>
    <row r="12" spans="1:10" ht="22.5" customHeight="1">
      <c r="A12" s="182">
        <v>8</v>
      </c>
      <c r="B12" s="183" t="s">
        <v>982</v>
      </c>
      <c r="C12" s="131">
        <v>30.55</v>
      </c>
      <c r="D12" s="127">
        <v>30</v>
      </c>
      <c r="E12" s="186">
        <v>6</v>
      </c>
      <c r="F12" s="129">
        <f t="shared" si="1"/>
        <v>183.3</v>
      </c>
      <c r="G12" s="129">
        <f t="shared" si="2"/>
        <v>180</v>
      </c>
      <c r="H12" s="130">
        <f t="shared" si="0"/>
        <v>3.3000000000000114</v>
      </c>
      <c r="I12" s="184">
        <f t="shared" si="3"/>
        <v>1.8003273322422318E-2</v>
      </c>
      <c r="J12" s="185"/>
    </row>
    <row r="13" spans="1:10" ht="22.5" customHeight="1">
      <c r="A13" s="182">
        <v>9</v>
      </c>
      <c r="B13" s="183" t="s">
        <v>983</v>
      </c>
      <c r="C13" s="127">
        <v>38</v>
      </c>
      <c r="D13" s="127">
        <v>35</v>
      </c>
      <c r="E13" s="186">
        <v>1</v>
      </c>
      <c r="F13" s="129">
        <f t="shared" si="1"/>
        <v>38</v>
      </c>
      <c r="G13" s="129">
        <f t="shared" si="2"/>
        <v>35</v>
      </c>
      <c r="H13" s="130">
        <f t="shared" si="0"/>
        <v>3</v>
      </c>
      <c r="I13" s="184">
        <f t="shared" si="3"/>
        <v>7.8947368421052627E-2</v>
      </c>
      <c r="J13" s="185"/>
    </row>
    <row r="14" spans="1:10" ht="22.5" customHeight="1">
      <c r="A14" s="182">
        <v>10</v>
      </c>
      <c r="B14" s="183" t="s">
        <v>984</v>
      </c>
      <c r="C14" s="131">
        <v>13550</v>
      </c>
      <c r="D14" s="127">
        <v>10600</v>
      </c>
      <c r="E14" s="186">
        <v>1</v>
      </c>
      <c r="F14" s="129">
        <f t="shared" si="1"/>
        <v>13550</v>
      </c>
      <c r="G14" s="129">
        <f t="shared" si="2"/>
        <v>10600</v>
      </c>
      <c r="H14" s="130">
        <f t="shared" si="0"/>
        <v>2950</v>
      </c>
      <c r="I14" s="184">
        <f t="shared" si="3"/>
        <v>0.21771217712177121</v>
      </c>
      <c r="J14" s="185"/>
    </row>
    <row r="15" spans="1:10" ht="22.5" customHeight="1">
      <c r="A15" s="182">
        <v>11</v>
      </c>
      <c r="B15" s="183" t="s">
        <v>985</v>
      </c>
      <c r="C15" s="131">
        <v>121.8</v>
      </c>
      <c r="D15" s="127">
        <v>113</v>
      </c>
      <c r="E15" s="186">
        <v>8</v>
      </c>
      <c r="F15" s="129">
        <f t="shared" si="1"/>
        <v>974.4</v>
      </c>
      <c r="G15" s="129">
        <f t="shared" si="2"/>
        <v>904</v>
      </c>
      <c r="H15" s="130">
        <f t="shared" si="0"/>
        <v>70.399999999999977</v>
      </c>
      <c r="I15" s="184">
        <f t="shared" si="3"/>
        <v>7.2249589490968782E-2</v>
      </c>
      <c r="J15" s="185"/>
    </row>
    <row r="16" spans="1:10" ht="22.5" customHeight="1">
      <c r="A16" s="182">
        <v>12</v>
      </c>
      <c r="B16" s="183" t="s">
        <v>986</v>
      </c>
      <c r="C16" s="131">
        <v>106.92</v>
      </c>
      <c r="D16" s="127">
        <v>105</v>
      </c>
      <c r="E16" s="186">
        <v>2</v>
      </c>
      <c r="F16" s="129">
        <f t="shared" si="1"/>
        <v>213.84</v>
      </c>
      <c r="G16" s="129">
        <f t="shared" si="2"/>
        <v>210</v>
      </c>
      <c r="H16" s="130">
        <f t="shared" si="0"/>
        <v>3.8400000000000034</v>
      </c>
      <c r="I16" s="184">
        <f t="shared" si="3"/>
        <v>1.7957351290684639E-2</v>
      </c>
      <c r="J16" s="185"/>
    </row>
    <row r="17" spans="1:10" ht="22.5" customHeight="1">
      <c r="A17" s="182">
        <v>13</v>
      </c>
      <c r="B17" s="183" t="s">
        <v>987</v>
      </c>
      <c r="C17" s="131">
        <v>25.35</v>
      </c>
      <c r="D17" s="127">
        <v>25</v>
      </c>
      <c r="E17" s="186">
        <v>14</v>
      </c>
      <c r="F17" s="129">
        <f t="shared" si="1"/>
        <v>354.90000000000003</v>
      </c>
      <c r="G17" s="129">
        <f t="shared" si="2"/>
        <v>350</v>
      </c>
      <c r="H17" s="130">
        <f t="shared" si="0"/>
        <v>4.9000000000000341</v>
      </c>
      <c r="I17" s="184">
        <f t="shared" si="3"/>
        <v>1.3806706114398517E-2</v>
      </c>
      <c r="J17" s="185"/>
    </row>
    <row r="18" spans="1:10" ht="22.5" customHeight="1">
      <c r="A18" s="182">
        <v>14</v>
      </c>
      <c r="B18" s="183" t="s">
        <v>988</v>
      </c>
      <c r="C18" s="127">
        <v>62.3</v>
      </c>
      <c r="D18" s="127">
        <v>57</v>
      </c>
      <c r="E18" s="186">
        <v>4</v>
      </c>
      <c r="F18" s="129">
        <f t="shared" si="1"/>
        <v>249.2</v>
      </c>
      <c r="G18" s="129">
        <f t="shared" si="2"/>
        <v>228</v>
      </c>
      <c r="H18" s="130">
        <f t="shared" si="0"/>
        <v>21.199999999999989</v>
      </c>
      <c r="I18" s="184">
        <f t="shared" si="3"/>
        <v>8.5072231139646834E-2</v>
      </c>
      <c r="J18" s="185"/>
    </row>
    <row r="19" spans="1:10" ht="22.5" customHeight="1">
      <c r="A19" s="182">
        <v>15</v>
      </c>
      <c r="B19" s="183" t="s">
        <v>989</v>
      </c>
      <c r="C19" s="131">
        <v>60.2</v>
      </c>
      <c r="D19" s="127">
        <v>55</v>
      </c>
      <c r="E19" s="186">
        <v>4</v>
      </c>
      <c r="F19" s="129">
        <f t="shared" si="1"/>
        <v>240.8</v>
      </c>
      <c r="G19" s="129">
        <f t="shared" si="2"/>
        <v>220</v>
      </c>
      <c r="H19" s="130">
        <f t="shared" si="0"/>
        <v>20.800000000000011</v>
      </c>
      <c r="I19" s="184">
        <f t="shared" si="3"/>
        <v>8.6378737541528278E-2</v>
      </c>
      <c r="J19" s="185"/>
    </row>
    <row r="20" spans="1:10" ht="22.5" customHeight="1">
      <c r="A20" s="182">
        <v>16</v>
      </c>
      <c r="B20" s="183" t="s">
        <v>990</v>
      </c>
      <c r="C20" s="131">
        <v>1600</v>
      </c>
      <c r="D20" s="127">
        <v>1450</v>
      </c>
      <c r="E20" s="186">
        <v>1</v>
      </c>
      <c r="F20" s="129">
        <f t="shared" si="1"/>
        <v>1600</v>
      </c>
      <c r="G20" s="129">
        <f t="shared" si="2"/>
        <v>1450</v>
      </c>
      <c r="H20" s="130">
        <f t="shared" si="0"/>
        <v>150</v>
      </c>
      <c r="I20" s="184">
        <f t="shared" si="3"/>
        <v>9.375E-2</v>
      </c>
      <c r="J20" s="185"/>
    </row>
    <row r="21" spans="1:10" ht="22.5" customHeight="1">
      <c r="A21" s="182">
        <v>17</v>
      </c>
      <c r="B21" s="183" t="s">
        <v>991</v>
      </c>
      <c r="C21" s="131">
        <v>196</v>
      </c>
      <c r="D21" s="127">
        <v>182</v>
      </c>
      <c r="E21" s="186">
        <f>6+2</f>
        <v>8</v>
      </c>
      <c r="F21" s="129">
        <f t="shared" si="1"/>
        <v>1568</v>
      </c>
      <c r="G21" s="129">
        <f t="shared" si="2"/>
        <v>1456</v>
      </c>
      <c r="H21" s="130">
        <f t="shared" si="0"/>
        <v>112</v>
      </c>
      <c r="I21" s="184">
        <f t="shared" si="3"/>
        <v>7.1428571428571425E-2</v>
      </c>
      <c r="J21" s="185"/>
    </row>
    <row r="22" spans="1:10" ht="22.5" customHeight="1">
      <c r="A22" s="182">
        <v>18</v>
      </c>
      <c r="B22" s="183" t="s">
        <v>992</v>
      </c>
      <c r="C22" s="131">
        <v>196</v>
      </c>
      <c r="D22" s="127">
        <v>182</v>
      </c>
      <c r="E22" s="186">
        <v>12</v>
      </c>
      <c r="F22" s="129">
        <f t="shared" si="1"/>
        <v>2352</v>
      </c>
      <c r="G22" s="129">
        <f t="shared" si="2"/>
        <v>2184</v>
      </c>
      <c r="H22" s="130">
        <f t="shared" si="0"/>
        <v>168</v>
      </c>
      <c r="I22" s="184">
        <f t="shared" si="3"/>
        <v>7.1428571428571425E-2</v>
      </c>
      <c r="J22" s="185"/>
    </row>
    <row r="23" spans="1:10" ht="22.5" customHeight="1">
      <c r="A23" s="182">
        <v>19</v>
      </c>
      <c r="B23" s="183" t="s">
        <v>993</v>
      </c>
      <c r="C23" s="127">
        <v>135.85</v>
      </c>
      <c r="D23" s="127">
        <v>135</v>
      </c>
      <c r="E23" s="186">
        <v>10</v>
      </c>
      <c r="F23" s="129">
        <f t="shared" si="1"/>
        <v>1358.5</v>
      </c>
      <c r="G23" s="129">
        <f t="shared" si="2"/>
        <v>1350</v>
      </c>
      <c r="H23" s="130">
        <f t="shared" si="0"/>
        <v>8.5</v>
      </c>
      <c r="I23" s="184">
        <f t="shared" si="3"/>
        <v>6.2569009937430992E-3</v>
      </c>
      <c r="J23" s="185"/>
    </row>
    <row r="24" spans="1:10" ht="22.5" customHeight="1">
      <c r="A24" s="182">
        <v>20</v>
      </c>
      <c r="B24" s="183" t="s">
        <v>994</v>
      </c>
      <c r="C24" s="131">
        <v>215</v>
      </c>
      <c r="D24" s="127">
        <v>206</v>
      </c>
      <c r="E24" s="186">
        <v>4</v>
      </c>
      <c r="F24" s="129">
        <f t="shared" si="1"/>
        <v>860</v>
      </c>
      <c r="G24" s="129">
        <f t="shared" si="2"/>
        <v>824</v>
      </c>
      <c r="H24" s="130">
        <f t="shared" si="0"/>
        <v>36</v>
      </c>
      <c r="I24" s="184">
        <f t="shared" si="3"/>
        <v>4.1860465116279069E-2</v>
      </c>
      <c r="J24" s="185"/>
    </row>
    <row r="25" spans="1:10" ht="22.5" customHeight="1">
      <c r="A25" s="182">
        <v>22</v>
      </c>
      <c r="B25" s="183" t="s">
        <v>995</v>
      </c>
      <c r="C25" s="131">
        <v>8300</v>
      </c>
      <c r="D25" s="127">
        <v>7150</v>
      </c>
      <c r="E25" s="186">
        <v>2</v>
      </c>
      <c r="F25" s="129">
        <f t="shared" si="1"/>
        <v>16600</v>
      </c>
      <c r="G25" s="129">
        <f t="shared" si="2"/>
        <v>14300</v>
      </c>
      <c r="H25" s="130">
        <f t="shared" si="0"/>
        <v>2300</v>
      </c>
      <c r="I25" s="184">
        <f t="shared" si="3"/>
        <v>0.13855421686746988</v>
      </c>
      <c r="J25" s="185"/>
    </row>
    <row r="26" spans="1:10" ht="22.5" customHeight="1">
      <c r="A26" s="182">
        <v>23</v>
      </c>
      <c r="B26" s="183" t="s">
        <v>996</v>
      </c>
      <c r="C26" s="131">
        <v>1901</v>
      </c>
      <c r="D26" s="127">
        <v>1829</v>
      </c>
      <c r="E26" s="186">
        <v>4</v>
      </c>
      <c r="F26" s="129">
        <f t="shared" si="1"/>
        <v>7604</v>
      </c>
      <c r="G26" s="129">
        <f t="shared" si="2"/>
        <v>7316</v>
      </c>
      <c r="H26" s="130">
        <f t="shared" si="0"/>
        <v>288</v>
      </c>
      <c r="I26" s="184">
        <f t="shared" si="3"/>
        <v>3.7874802735402419E-2</v>
      </c>
      <c r="J26" s="185"/>
    </row>
    <row r="27" spans="1:10" ht="22.5" customHeight="1">
      <c r="A27" s="182">
        <v>24</v>
      </c>
      <c r="B27" s="183" t="s">
        <v>997</v>
      </c>
      <c r="C27" s="127">
        <v>137</v>
      </c>
      <c r="D27" s="127">
        <v>130</v>
      </c>
      <c r="E27" s="186">
        <v>4</v>
      </c>
      <c r="F27" s="129">
        <f t="shared" si="1"/>
        <v>548</v>
      </c>
      <c r="G27" s="129">
        <f t="shared" si="2"/>
        <v>520</v>
      </c>
      <c r="H27" s="130">
        <f t="shared" si="0"/>
        <v>28</v>
      </c>
      <c r="I27" s="184">
        <f t="shared" si="3"/>
        <v>5.1094890510948905E-2</v>
      </c>
      <c r="J27" s="185"/>
    </row>
    <row r="28" spans="1:10" ht="22.5" customHeight="1">
      <c r="A28" s="182">
        <v>25</v>
      </c>
      <c r="B28" s="183" t="s">
        <v>998</v>
      </c>
      <c r="C28" s="131">
        <v>608</v>
      </c>
      <c r="D28" s="127">
        <v>596</v>
      </c>
      <c r="E28" s="186">
        <v>4</v>
      </c>
      <c r="F28" s="129">
        <f t="shared" si="1"/>
        <v>2432</v>
      </c>
      <c r="G28" s="129">
        <f t="shared" si="2"/>
        <v>2384</v>
      </c>
      <c r="H28" s="130">
        <f t="shared" si="0"/>
        <v>48</v>
      </c>
      <c r="I28" s="184">
        <f t="shared" si="3"/>
        <v>1.9736842105263157E-2</v>
      </c>
      <c r="J28" s="185"/>
    </row>
    <row r="29" spans="1:10" ht="22.5" customHeight="1">
      <c r="A29" s="182">
        <v>26</v>
      </c>
      <c r="B29" s="183" t="s">
        <v>999</v>
      </c>
      <c r="C29" s="131">
        <v>125.97</v>
      </c>
      <c r="D29" s="127">
        <v>110.01</v>
      </c>
      <c r="E29" s="186">
        <v>1</v>
      </c>
      <c r="F29" s="129">
        <f t="shared" si="1"/>
        <v>125.97</v>
      </c>
      <c r="G29" s="129">
        <f t="shared" si="2"/>
        <v>110.01</v>
      </c>
      <c r="H29" s="130">
        <f t="shared" si="0"/>
        <v>15.959999999999994</v>
      </c>
      <c r="I29" s="184">
        <f t="shared" si="3"/>
        <v>0.12669683257918546</v>
      </c>
      <c r="J29" s="185"/>
    </row>
    <row r="30" spans="1:10" ht="22.5" customHeight="1">
      <c r="A30" s="182">
        <v>27</v>
      </c>
      <c r="B30" s="183" t="s">
        <v>1000</v>
      </c>
      <c r="C30" s="131">
        <v>220</v>
      </c>
      <c r="D30" s="127">
        <v>212.5</v>
      </c>
      <c r="E30" s="186">
        <v>2</v>
      </c>
      <c r="F30" s="129">
        <f t="shared" si="1"/>
        <v>440</v>
      </c>
      <c r="G30" s="129">
        <f t="shared" si="2"/>
        <v>425</v>
      </c>
      <c r="H30" s="130">
        <f t="shared" si="0"/>
        <v>15</v>
      </c>
      <c r="I30" s="184">
        <f t="shared" si="3"/>
        <v>3.4090909090909088E-2</v>
      </c>
      <c r="J30" s="185"/>
    </row>
    <row r="31" spans="1:10" ht="22.5" customHeight="1">
      <c r="A31" s="182">
        <v>28</v>
      </c>
      <c r="B31" s="183" t="s">
        <v>1001</v>
      </c>
      <c r="C31" s="131">
        <v>6500</v>
      </c>
      <c r="D31" s="127">
        <v>5120.0600000000004</v>
      </c>
      <c r="E31" s="186">
        <v>2</v>
      </c>
      <c r="F31" s="129">
        <f t="shared" si="1"/>
        <v>13000</v>
      </c>
      <c r="G31" s="129">
        <f t="shared" si="2"/>
        <v>10240.120000000001</v>
      </c>
      <c r="H31" s="130">
        <f t="shared" si="0"/>
        <v>2759.8799999999992</v>
      </c>
      <c r="I31" s="184">
        <f t="shared" si="3"/>
        <v>0.21229846153846146</v>
      </c>
      <c r="J31" s="185"/>
    </row>
    <row r="32" spans="1:10" ht="22.5" customHeight="1">
      <c r="A32" s="182">
        <v>29</v>
      </c>
      <c r="B32" s="183" t="s">
        <v>1002</v>
      </c>
      <c r="C32" s="131">
        <v>97.3</v>
      </c>
      <c r="D32" s="127">
        <v>90</v>
      </c>
      <c r="E32" s="186">
        <v>2</v>
      </c>
      <c r="F32" s="129">
        <f t="shared" si="1"/>
        <v>194.6</v>
      </c>
      <c r="G32" s="129">
        <f t="shared" si="2"/>
        <v>180</v>
      </c>
      <c r="H32" s="130">
        <f t="shared" si="0"/>
        <v>14.599999999999994</v>
      </c>
      <c r="I32" s="184">
        <f t="shared" si="3"/>
        <v>7.5025693730729676E-2</v>
      </c>
      <c r="J32" s="185"/>
    </row>
    <row r="33" spans="1:10" ht="22.5" customHeight="1">
      <c r="A33" s="182">
        <v>30</v>
      </c>
      <c r="B33" s="183" t="s">
        <v>1003</v>
      </c>
      <c r="C33" s="131">
        <v>221.9</v>
      </c>
      <c r="D33" s="127">
        <v>206</v>
      </c>
      <c r="E33" s="186">
        <v>8</v>
      </c>
      <c r="F33" s="129">
        <f t="shared" si="1"/>
        <v>1775.2</v>
      </c>
      <c r="G33" s="129">
        <f t="shared" si="2"/>
        <v>1648</v>
      </c>
      <c r="H33" s="130">
        <f t="shared" si="0"/>
        <v>127.20000000000005</v>
      </c>
      <c r="I33" s="184">
        <f t="shared" si="3"/>
        <v>7.1653898152320886E-2</v>
      </c>
      <c r="J33" s="185"/>
    </row>
    <row r="34" spans="1:10" ht="22.5" customHeight="1">
      <c r="A34" s="182">
        <v>31</v>
      </c>
      <c r="B34" s="183" t="s">
        <v>1004</v>
      </c>
      <c r="C34" s="131">
        <v>1225</v>
      </c>
      <c r="D34" s="127">
        <v>1170</v>
      </c>
      <c r="E34" s="186">
        <v>1</v>
      </c>
      <c r="F34" s="129">
        <f t="shared" si="1"/>
        <v>1225</v>
      </c>
      <c r="G34" s="129">
        <f t="shared" si="2"/>
        <v>1170</v>
      </c>
      <c r="H34" s="130">
        <f t="shared" si="0"/>
        <v>55</v>
      </c>
      <c r="I34" s="184">
        <f t="shared" si="3"/>
        <v>4.4897959183673466E-2</v>
      </c>
      <c r="J34" s="185"/>
    </row>
    <row r="35" spans="1:10" ht="22.5" customHeight="1">
      <c r="A35" s="182">
        <v>32</v>
      </c>
      <c r="B35" s="183" t="s">
        <v>1005</v>
      </c>
      <c r="C35" s="131">
        <v>40.5</v>
      </c>
      <c r="D35" s="127">
        <v>32</v>
      </c>
      <c r="E35" s="186">
        <v>6</v>
      </c>
      <c r="F35" s="129">
        <f t="shared" si="1"/>
        <v>243</v>
      </c>
      <c r="G35" s="129">
        <f t="shared" si="2"/>
        <v>192</v>
      </c>
      <c r="H35" s="130">
        <f t="shared" si="0"/>
        <v>51</v>
      </c>
      <c r="I35" s="184">
        <f t="shared" si="3"/>
        <v>0.20987654320987653</v>
      </c>
      <c r="J35" s="185"/>
    </row>
    <row r="36" spans="1:10" ht="22.5" customHeight="1">
      <c r="A36" s="182">
        <v>33</v>
      </c>
      <c r="B36" s="183" t="s">
        <v>1006</v>
      </c>
      <c r="C36" s="131">
        <v>1079.4000000000001</v>
      </c>
      <c r="D36" s="127">
        <v>1000</v>
      </c>
      <c r="E36" s="186">
        <v>2</v>
      </c>
      <c r="F36" s="129">
        <f t="shared" si="1"/>
        <v>2158.8000000000002</v>
      </c>
      <c r="G36" s="129">
        <f t="shared" si="2"/>
        <v>2000</v>
      </c>
      <c r="H36" s="130">
        <f t="shared" si="0"/>
        <v>158.80000000000018</v>
      </c>
      <c r="I36" s="184">
        <f t="shared" si="3"/>
        <v>7.3559384843431608E-2</v>
      </c>
      <c r="J36" s="185"/>
    </row>
    <row r="37" spans="1:10" ht="22.5" customHeight="1">
      <c r="A37" s="182">
        <v>34</v>
      </c>
      <c r="B37" s="183" t="s">
        <v>1007</v>
      </c>
      <c r="C37" s="131">
        <v>2042.5</v>
      </c>
      <c r="D37" s="127">
        <v>1941.63</v>
      </c>
      <c r="E37" s="186">
        <v>3</v>
      </c>
      <c r="F37" s="129">
        <f t="shared" si="1"/>
        <v>6127.5</v>
      </c>
      <c r="G37" s="129">
        <f t="shared" si="2"/>
        <v>5824.89</v>
      </c>
      <c r="H37" s="130">
        <f t="shared" si="0"/>
        <v>302.60999999999967</v>
      </c>
      <c r="I37" s="184">
        <f t="shared" si="3"/>
        <v>4.9385556915544623E-2</v>
      </c>
      <c r="J37" s="185"/>
    </row>
    <row r="38" spans="1:10" s="190" customFormat="1" ht="27.6" customHeight="1">
      <c r="A38" s="187"/>
      <c r="B38" s="270" t="s">
        <v>127</v>
      </c>
      <c r="C38" s="270"/>
      <c r="D38" s="270"/>
      <c r="E38" s="270"/>
      <c r="F38" s="132">
        <f>SUM(F5:F37)</f>
        <v>82736.810000000012</v>
      </c>
      <c r="G38" s="132">
        <f>SUM(G5:G37)</f>
        <v>72479.02</v>
      </c>
      <c r="H38" s="133">
        <f>SUM(H5:H37)</f>
        <v>10257.790000000001</v>
      </c>
      <c r="I38" s="188">
        <f>H38/F38</f>
        <v>0.12398097050152163</v>
      </c>
      <c r="J38" s="189"/>
    </row>
    <row r="41" spans="1:10">
      <c r="I41" s="193"/>
    </row>
    <row r="43" spans="1:10">
      <c r="F43" s="134"/>
    </row>
    <row r="54" spans="8:8">
      <c r="H54" s="135"/>
    </row>
  </sheetData>
  <mergeCells count="5">
    <mergeCell ref="A3:A4"/>
    <mergeCell ref="B3:B4"/>
    <mergeCell ref="C3:C4"/>
    <mergeCell ref="D3:J3"/>
    <mergeCell ref="B38:E38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KPI-(ข้อ1)</vt:lpstr>
      <vt:lpstr>KPI-(ข้อ2)</vt:lpstr>
      <vt:lpstr>Data Dlivery-Jul</vt:lpstr>
      <vt:lpstr>Data Cost Saving Jul</vt:lpstr>
      <vt:lpstr>'Data Dlivery-Jul'!Print_Area</vt:lpstr>
      <vt:lpstr>'Data Dlivery-Jul'!Print_Titles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urai Boontaeng</dc:creator>
  <cp:lastModifiedBy>urai Boontaeng</cp:lastModifiedBy>
  <cp:lastPrinted>2025-10-14T07:28:00Z</cp:lastPrinted>
  <dcterms:created xsi:type="dcterms:W3CDTF">2023-09-26T04:44:49Z</dcterms:created>
  <dcterms:modified xsi:type="dcterms:W3CDTF">2026-08-24T01:51:29Z</dcterms:modified>
</cp:coreProperties>
</file>