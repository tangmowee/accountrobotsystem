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KPI-PURCHASING\2026\6.Jun\"/>
    </mc:Choice>
  </mc:AlternateContent>
  <xr:revisionPtr revIDLastSave="0" documentId="13_ncr:1_{880B1435-998A-428C-B9DA-7B6FD7E120D4}" xr6:coauthVersionLast="47" xr6:coauthVersionMax="47" xr10:uidLastSave="{00000000-0000-0000-0000-000000000000}"/>
  <bookViews>
    <workbookView xWindow="-108" yWindow="-108" windowWidth="23256" windowHeight="12456" tabRatio="842" activeTab="3" xr2:uid="{2F7CCE07-1CEA-4802-81D2-930AA83C9A3F}"/>
  </bookViews>
  <sheets>
    <sheet name="KPI-(ข้อ1)" sheetId="10" r:id="rId1"/>
    <sheet name="KPI-(ข้อ2)" sheetId="11" r:id="rId2"/>
    <sheet name="Data Delivery June" sheetId="15" r:id="rId3"/>
    <sheet name="Cost Saving June" sheetId="1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a" localSheetId="0">#REF!</definedName>
    <definedName name="\a" localSheetId="1">#REF!</definedName>
    <definedName name="\a">#REF!</definedName>
    <definedName name="__________ws01" localSheetId="0">#REF!</definedName>
    <definedName name="__________ws01" localSheetId="1">#REF!</definedName>
    <definedName name="__________ws01">#REF!</definedName>
    <definedName name="_________ws01" localSheetId="0">#REF!</definedName>
    <definedName name="_________ws01" localSheetId="1">#REF!</definedName>
    <definedName name="_________ws01">#REF!</definedName>
    <definedName name="________ws01" localSheetId="0">#REF!</definedName>
    <definedName name="________ws01" localSheetId="1">#REF!</definedName>
    <definedName name="________ws01">#REF!</definedName>
    <definedName name="_______ws01" localSheetId="0">#REF!</definedName>
    <definedName name="_______ws01" localSheetId="1">#REF!</definedName>
    <definedName name="_______ws01">#REF!</definedName>
    <definedName name="______ws01" localSheetId="0">#REF!</definedName>
    <definedName name="______ws01" localSheetId="1">#REF!</definedName>
    <definedName name="______ws01">#REF!</definedName>
    <definedName name="_____ws01" localSheetId="0">#REF!</definedName>
    <definedName name="_____ws01" localSheetId="1">#REF!</definedName>
    <definedName name="_____ws01">#REF!</definedName>
    <definedName name="____ws01" localSheetId="0">#REF!</definedName>
    <definedName name="____ws01" localSheetId="1">#REF!</definedName>
    <definedName name="____ws01">#REF!</definedName>
    <definedName name="___ws01" localSheetId="0">#REF!</definedName>
    <definedName name="___ws01" localSheetId="1">#REF!</definedName>
    <definedName name="___ws01">#REF!</definedName>
    <definedName name="__ws01" localSheetId="0">#REF!</definedName>
    <definedName name="__ws01" localSheetId="1">#REF!</definedName>
    <definedName name="__ws01">#REF!</definedName>
    <definedName name="_xlnm._FilterDatabase" localSheetId="2" hidden="1">'Data Delivery June'!$B$8:$Q$8</definedName>
    <definedName name="_xlnm._FilterDatabase" localSheetId="0" hidden="1">'KPI-(ข้อ1)'!#REF!</definedName>
    <definedName name="_xlnm._FilterDatabase" localSheetId="1" hidden="1">'KPI-(ข้อ2)'!#REF!</definedName>
    <definedName name="_ws01" localSheetId="0">#REF!</definedName>
    <definedName name="_ws01" localSheetId="1">#REF!</definedName>
    <definedName name="_ws01">#REF!</definedName>
    <definedName name="COMPONENT" localSheetId="0">#REF!</definedName>
    <definedName name="COMPONENT" localSheetId="1">#REF!</definedName>
    <definedName name="COMPONENT">#REF!</definedName>
    <definedName name="D" localSheetId="0">#REF!</definedName>
    <definedName name="D" localSheetId="1">#REF!</definedName>
    <definedName name="D">#REF!</definedName>
    <definedName name="_xlnm.Database">#REF!</definedName>
    <definedName name="emEmployee">#REF!</definedName>
    <definedName name="INJ" localSheetId="0">[1]imp_fan!#REF!</definedName>
    <definedName name="INJ" localSheetId="1">[1]imp_fan!#REF!</definedName>
    <definedName name="INJ">[1]imp_fan!#REF!</definedName>
    <definedName name="Item">#REF!</definedName>
    <definedName name="L" localSheetId="0">[1]imp_fan!#REF!</definedName>
    <definedName name="L" localSheetId="1">[1]imp_fan!#REF!</definedName>
    <definedName name="L">[1]imp_fan!#REF!</definedName>
    <definedName name="LIL" localSheetId="0">[1]imp_fan!#REF!</definedName>
    <definedName name="LIL" localSheetId="1">[1]imp_fan!#REF!</definedName>
    <definedName name="LIL">[1]imp_fan!#REF!</definedName>
    <definedName name="MmExcelLinker_49D82E75_8F9B_4A57_A417_3E7841114B35" localSheetId="3">Quality  [2]Incoming!$K$43:$K$43</definedName>
    <definedName name="MmExcelLinker_49D82E75_8F9B_4A57_A417_3E7841114B35" localSheetId="0">Quality  [2]Incoming!$K$43:$K$43</definedName>
    <definedName name="MmExcelLinker_49D82E75_8F9B_4A57_A417_3E7841114B35" localSheetId="1">Quality  [2]Incoming!$K$43:$K$43</definedName>
    <definedName name="MmExcelLinker_49D82E75_8F9B_4A57_A417_3E7841114B35">Quality  [2]Incoming!$K$43:$K$43</definedName>
    <definedName name="MmExcelLinker_C5DE5CB7_5842_4385_8ABA_156584653BDB" localSheetId="3">SOURCE [3]REJECT!$S$10:$S$10</definedName>
    <definedName name="MmExcelLinker_C5DE5CB7_5842_4385_8ABA_156584653BDB" localSheetId="0">SOURCE [3]REJECT!$S$10:$S$10</definedName>
    <definedName name="MmExcelLinker_C5DE5CB7_5842_4385_8ABA_156584653BDB" localSheetId="1">SOURCE [3]REJECT!$S$10:$S$10</definedName>
    <definedName name="MmExcelLinker_C5DE5CB7_5842_4385_8ABA_156584653BDB">SOURCE [3]REJECT!$S$10:$S$10</definedName>
    <definedName name="Model">OFFSET([4]Description!$B$1,0,0,COUNTA([4]Description!$B:$B),2)</definedName>
    <definedName name="Model_Name">OFFSET([5]Description!$B$1,0,0,COUNTA([5]Description!$B:$B),2)</definedName>
    <definedName name="MyProd">OFFSET('[6]RawMat List'!$B$3,0,0,COUNTA('[6]RawMat List'!$B:$B)-1,16)</definedName>
    <definedName name="PartCOde">OFFSET('[7]Part List'!$B$3,0,0,COUNTA('[7]Part List'!$B:$B)-2,1)</definedName>
    <definedName name="PartList">OFFSET('[6]Part List'!$B$3,0,0,COUNTA('[6]Part List'!$B:$B)-2,16)</definedName>
    <definedName name="Plan">'[8]วางค่า Plan'!$B$6:$D$531</definedName>
    <definedName name="Plan_Confirm">#REF!</definedName>
    <definedName name="Plan_Sum">'[8]วางค่า Plan'!$D$6:$D$531</definedName>
    <definedName name="PLN" localSheetId="0">[1]imp_fan!#REF!</definedName>
    <definedName name="PLN" localSheetId="1">[1]imp_fan!#REF!</definedName>
    <definedName name="PLN">[1]imp_fan!#REF!</definedName>
    <definedName name="_xlnm.Print_Area" localSheetId="2">'Data Delivery June'!$A$1:$Q$8</definedName>
    <definedName name="_xlnm.Print_Area">#REF!</definedName>
    <definedName name="PRINT_AREA_MI" localSheetId="0">#REF!</definedName>
    <definedName name="PRINT_AREA_MI" localSheetId="1">#REF!</definedName>
    <definedName name="PRINT_AREA_MI">#REF!</definedName>
    <definedName name="_xlnm.Print_Titles" localSheetId="2">'Data Delivery June'!$3:$8</definedName>
    <definedName name="ProdCode">OFFSET('[7]RawMat List'!$B$3,0,0,COUNTA('[7]RawMat List'!$B:$B)-1,1)</definedName>
    <definedName name="ProdName">OFFSET('[7]RawMat List'!$C$3,0,0,COUNTA('[7]RawMat List'!$C:$C)-1,1)</definedName>
    <definedName name="STKM" localSheetId="0">[1]imp_fan!#REF!</definedName>
    <definedName name="STKM" localSheetId="1">[1]imp_fan!#REF!</definedName>
    <definedName name="STKM">[1]imp_fan!#REF!</definedName>
    <definedName name="T" localSheetId="0">#REF!</definedName>
    <definedName name="T" localSheetId="1">#REF!</definedName>
    <definedName name="T">#REF!</definedName>
    <definedName name="TS">OFFSET([5]TS!$C$4,0,0,COUNTA([5]TS!$C:$C)-1,12)</definedName>
    <definedName name="VOL" localSheetId="0">[1]imp_fan!#REF!</definedName>
    <definedName name="VOL" localSheetId="1">[1]imp_fan!#REF!</definedName>
    <definedName name="VOL">[1]imp_fan!#REF!</definedName>
    <definedName name="Z" localSheetId="0">#REF!</definedName>
    <definedName name="Z" localSheetId="1">#REF!</definedName>
    <definedName name="Z">#REF!</definedName>
    <definedName name="คงค้าง_Sum">#REF!</definedName>
    <definedName name="ยอดบรรจุ">#REF!</definedName>
    <definedName name="ยอดบรรจุ_Sum">#REF!</definedName>
    <definedName name="ยอดประกอบ">#REF!</definedName>
    <definedName name="ยอดประกอบ_Sum">#REF!</definedName>
    <definedName name="สมบูรญ์อาซาฮี" localSheetId="0">#REF!</definedName>
    <definedName name="สมบูรญ์อาซาฮี" localSheetId="1">#REF!</definedName>
    <definedName name="สมบูรญ์อาซาฮี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6" l="1"/>
  <c r="F13" i="16"/>
  <c r="H13" i="16" s="1"/>
  <c r="I13" i="16" s="1"/>
  <c r="G12" i="16"/>
  <c r="F12" i="16"/>
  <c r="H12" i="16" s="1"/>
  <c r="I12" i="16" s="1"/>
  <c r="G11" i="16"/>
  <c r="F11" i="16"/>
  <c r="H11" i="16" s="1"/>
  <c r="I11" i="16" s="1"/>
  <c r="G10" i="16"/>
  <c r="F10" i="16"/>
  <c r="H10" i="16" s="1"/>
  <c r="I10" i="16" s="1"/>
  <c r="G9" i="16"/>
  <c r="F9" i="16"/>
  <c r="H9" i="16" s="1"/>
  <c r="I9" i="16" s="1"/>
  <c r="G8" i="16"/>
  <c r="F8" i="16"/>
  <c r="H8" i="16" s="1"/>
  <c r="I8" i="16" s="1"/>
  <c r="G7" i="16"/>
  <c r="F7" i="16"/>
  <c r="H7" i="16" s="1"/>
  <c r="I7" i="16" s="1"/>
  <c r="G6" i="16"/>
  <c r="F6" i="16"/>
  <c r="H6" i="16" s="1"/>
  <c r="I6" i="16" s="1"/>
  <c r="G5" i="16"/>
  <c r="G14" i="16" s="1"/>
  <c r="F5" i="16"/>
  <c r="H5" i="16" s="1"/>
  <c r="N9" i="15"/>
  <c r="O9" i="15"/>
  <c r="N10" i="15"/>
  <c r="O10" i="15"/>
  <c r="N11" i="15"/>
  <c r="O11" i="15"/>
  <c r="I12" i="15"/>
  <c r="N12" i="15"/>
  <c r="O12" i="15"/>
  <c r="N13" i="15"/>
  <c r="O13" i="15"/>
  <c r="N14" i="15"/>
  <c r="O14" i="15"/>
  <c r="N15" i="15"/>
  <c r="O15" i="15"/>
  <c r="N16" i="15"/>
  <c r="O16" i="15"/>
  <c r="N17" i="15"/>
  <c r="O17" i="15"/>
  <c r="N18" i="15"/>
  <c r="O18" i="15"/>
  <c r="N19" i="15"/>
  <c r="O19" i="15"/>
  <c r="N20" i="15"/>
  <c r="O20" i="15"/>
  <c r="N21" i="15"/>
  <c r="O21" i="15"/>
  <c r="N22" i="15"/>
  <c r="O22" i="15"/>
  <c r="N23" i="15"/>
  <c r="O23" i="15"/>
  <c r="N24" i="15"/>
  <c r="O24" i="15"/>
  <c r="N25" i="15"/>
  <c r="O25" i="15"/>
  <c r="N26" i="15"/>
  <c r="O26" i="15"/>
  <c r="N27" i="15"/>
  <c r="O27" i="15"/>
  <c r="N28" i="15"/>
  <c r="O28" i="15"/>
  <c r="N29" i="15"/>
  <c r="O29" i="15"/>
  <c r="N30" i="15"/>
  <c r="O30" i="15"/>
  <c r="N31" i="15"/>
  <c r="O31" i="15"/>
  <c r="N32" i="15"/>
  <c r="O32" i="15"/>
  <c r="N33" i="15"/>
  <c r="O33" i="15"/>
  <c r="N34" i="15"/>
  <c r="O34" i="15"/>
  <c r="N35" i="15"/>
  <c r="O35" i="15"/>
  <c r="N36" i="15"/>
  <c r="O36" i="15"/>
  <c r="N37" i="15"/>
  <c r="O37" i="15"/>
  <c r="N38" i="15"/>
  <c r="O38" i="15"/>
  <c r="N39" i="15"/>
  <c r="O39" i="15"/>
  <c r="N40" i="15"/>
  <c r="O40" i="15"/>
  <c r="N41" i="15"/>
  <c r="O41" i="15"/>
  <c r="N42" i="15"/>
  <c r="O42" i="15"/>
  <c r="N43" i="15"/>
  <c r="O43" i="15"/>
  <c r="N44" i="15"/>
  <c r="O44" i="15"/>
  <c r="N45" i="15"/>
  <c r="O45" i="15"/>
  <c r="N46" i="15"/>
  <c r="O46" i="15"/>
  <c r="N47" i="15"/>
  <c r="O47" i="15"/>
  <c r="N48" i="15"/>
  <c r="O48" i="15"/>
  <c r="N49" i="15"/>
  <c r="O49" i="15"/>
  <c r="N50" i="15"/>
  <c r="O50" i="15"/>
  <c r="N51" i="15"/>
  <c r="O51" i="15"/>
  <c r="N52" i="15"/>
  <c r="O52" i="15"/>
  <c r="N53" i="15"/>
  <c r="O53" i="15"/>
  <c r="N54" i="15"/>
  <c r="O54" i="15"/>
  <c r="N55" i="15"/>
  <c r="O55" i="15"/>
  <c r="N56" i="15"/>
  <c r="O56" i="15"/>
  <c r="N57" i="15"/>
  <c r="O57" i="15"/>
  <c r="N58" i="15"/>
  <c r="O58" i="15"/>
  <c r="N59" i="15"/>
  <c r="O59" i="15"/>
  <c r="N60" i="15"/>
  <c r="O60" i="15"/>
  <c r="N61" i="15"/>
  <c r="O61" i="15"/>
  <c r="N62" i="15"/>
  <c r="O62" i="15"/>
  <c r="N63" i="15"/>
  <c r="O63" i="15"/>
  <c r="N64" i="15"/>
  <c r="O64" i="15"/>
  <c r="N65" i="15"/>
  <c r="O65" i="15"/>
  <c r="N66" i="15"/>
  <c r="O66" i="15"/>
  <c r="N67" i="15"/>
  <c r="O67" i="15"/>
  <c r="N68" i="15"/>
  <c r="O68" i="15"/>
  <c r="N69" i="15"/>
  <c r="O69" i="15"/>
  <c r="N70" i="15"/>
  <c r="O70" i="15"/>
  <c r="I71" i="15"/>
  <c r="N71" i="15"/>
  <c r="O71" i="15"/>
  <c r="I72" i="15"/>
  <c r="N72" i="15"/>
  <c r="O72" i="15"/>
  <c r="I73" i="15"/>
  <c r="N73" i="15"/>
  <c r="O73" i="15"/>
  <c r="N74" i="15"/>
  <c r="O74" i="15"/>
  <c r="N75" i="15"/>
  <c r="O75" i="15"/>
  <c r="N76" i="15"/>
  <c r="O76" i="15"/>
  <c r="N77" i="15"/>
  <c r="O77" i="15"/>
  <c r="N78" i="15"/>
  <c r="O78" i="15"/>
  <c r="N79" i="15"/>
  <c r="O79" i="15"/>
  <c r="N80" i="15"/>
  <c r="O80" i="15"/>
  <c r="N81" i="15"/>
  <c r="O81" i="15"/>
  <c r="N82" i="15"/>
  <c r="O82" i="15"/>
  <c r="N83" i="15"/>
  <c r="O83" i="15"/>
  <c r="N84" i="15"/>
  <c r="O84" i="15"/>
  <c r="I85" i="15"/>
  <c r="N85" i="15"/>
  <c r="O85" i="15"/>
  <c r="N86" i="15"/>
  <c r="O86" i="15"/>
  <c r="N87" i="15"/>
  <c r="O87" i="15"/>
  <c r="N88" i="15"/>
  <c r="O88" i="15"/>
  <c r="N89" i="15"/>
  <c r="O89" i="15"/>
  <c r="N90" i="15"/>
  <c r="O90" i="15"/>
  <c r="N91" i="15"/>
  <c r="O91" i="15"/>
  <c r="N92" i="15"/>
  <c r="O92" i="15"/>
  <c r="N93" i="15"/>
  <c r="O93" i="15"/>
  <c r="N94" i="15"/>
  <c r="O94" i="15"/>
  <c r="N95" i="15"/>
  <c r="O95" i="15"/>
  <c r="N96" i="15"/>
  <c r="O96" i="15"/>
  <c r="N97" i="15"/>
  <c r="O97" i="15"/>
  <c r="N98" i="15"/>
  <c r="O98" i="15"/>
  <c r="N99" i="15"/>
  <c r="O99" i="15"/>
  <c r="N100" i="15"/>
  <c r="O100" i="15"/>
  <c r="N101" i="15"/>
  <c r="O101" i="15"/>
  <c r="N102" i="15"/>
  <c r="O102" i="15"/>
  <c r="N103" i="15"/>
  <c r="O103" i="15"/>
  <c r="N104" i="15"/>
  <c r="O104" i="15"/>
  <c r="N105" i="15"/>
  <c r="O105" i="15"/>
  <c r="N106" i="15"/>
  <c r="O106" i="15"/>
  <c r="N107" i="15"/>
  <c r="O107" i="15"/>
  <c r="N108" i="15"/>
  <c r="O108" i="15"/>
  <c r="N109" i="15"/>
  <c r="O109" i="15"/>
  <c r="N110" i="15"/>
  <c r="O110" i="15"/>
  <c r="N111" i="15"/>
  <c r="O111" i="15"/>
  <c r="N112" i="15"/>
  <c r="O112" i="15"/>
  <c r="N113" i="15"/>
  <c r="O113" i="15"/>
  <c r="N114" i="15"/>
  <c r="O114" i="15"/>
  <c r="N115" i="15"/>
  <c r="O115" i="15"/>
  <c r="N116" i="15"/>
  <c r="O116" i="15"/>
  <c r="N117" i="15"/>
  <c r="O117" i="15"/>
  <c r="N118" i="15"/>
  <c r="O118" i="15"/>
  <c r="N119" i="15"/>
  <c r="O119" i="15"/>
  <c r="N120" i="15"/>
  <c r="O120" i="15"/>
  <c r="N121" i="15"/>
  <c r="O121" i="15"/>
  <c r="N122" i="15"/>
  <c r="O122" i="15"/>
  <c r="N123" i="15"/>
  <c r="O123" i="15"/>
  <c r="N124" i="15"/>
  <c r="O124" i="15"/>
  <c r="N125" i="15"/>
  <c r="O125" i="15"/>
  <c r="N126" i="15"/>
  <c r="O126" i="15"/>
  <c r="N127" i="15"/>
  <c r="O127" i="15"/>
  <c r="N128" i="15"/>
  <c r="O128" i="15"/>
  <c r="N129" i="15"/>
  <c r="O129" i="15"/>
  <c r="N130" i="15"/>
  <c r="O130" i="15"/>
  <c r="N131" i="15"/>
  <c r="O131" i="15"/>
  <c r="N132" i="15"/>
  <c r="O132" i="15"/>
  <c r="N133" i="15"/>
  <c r="O133" i="15"/>
  <c r="N134" i="15"/>
  <c r="O134" i="15"/>
  <c r="N135" i="15"/>
  <c r="O135" i="15"/>
  <c r="N136" i="15"/>
  <c r="O136" i="15"/>
  <c r="N137" i="15"/>
  <c r="O137" i="15"/>
  <c r="N138" i="15"/>
  <c r="O138" i="15"/>
  <c r="N139" i="15"/>
  <c r="O139" i="15"/>
  <c r="N140" i="15"/>
  <c r="O140" i="15"/>
  <c r="N141" i="15"/>
  <c r="O141" i="15"/>
  <c r="N142" i="15"/>
  <c r="O142" i="15"/>
  <c r="N143" i="15"/>
  <c r="O143" i="15"/>
  <c r="N144" i="15"/>
  <c r="O144" i="15"/>
  <c r="N145" i="15"/>
  <c r="O145" i="15"/>
  <c r="N146" i="15"/>
  <c r="O146" i="15"/>
  <c r="N147" i="15"/>
  <c r="O147" i="15"/>
  <c r="N148" i="15"/>
  <c r="O148" i="15"/>
  <c r="N149" i="15"/>
  <c r="O149" i="15"/>
  <c r="N150" i="15"/>
  <c r="O150" i="15"/>
  <c r="N151" i="15"/>
  <c r="O151" i="15"/>
  <c r="N152" i="15"/>
  <c r="O152" i="15"/>
  <c r="N153" i="15"/>
  <c r="O153" i="15"/>
  <c r="N154" i="15"/>
  <c r="O154" i="15"/>
  <c r="N155" i="15"/>
  <c r="O155" i="15"/>
  <c r="N156" i="15"/>
  <c r="O156" i="15"/>
  <c r="N157" i="15"/>
  <c r="O157" i="15"/>
  <c r="N158" i="15"/>
  <c r="O158" i="15"/>
  <c r="N159" i="15"/>
  <c r="O159" i="15"/>
  <c r="N160" i="15"/>
  <c r="O160" i="15"/>
  <c r="N161" i="15"/>
  <c r="O161" i="15"/>
  <c r="N162" i="15"/>
  <c r="O162" i="15"/>
  <c r="N163" i="15"/>
  <c r="O163" i="15"/>
  <c r="N164" i="15"/>
  <c r="O164" i="15"/>
  <c r="N165" i="15"/>
  <c r="O165" i="15"/>
  <c r="N166" i="15"/>
  <c r="O166" i="15"/>
  <c r="N167" i="15"/>
  <c r="O167" i="15"/>
  <c r="N168" i="15"/>
  <c r="O168" i="15"/>
  <c r="N169" i="15"/>
  <c r="O169" i="15"/>
  <c r="N170" i="15"/>
  <c r="O170" i="15"/>
  <c r="N171" i="15"/>
  <c r="O171" i="15"/>
  <c r="N172" i="15"/>
  <c r="O172" i="15"/>
  <c r="N173" i="15"/>
  <c r="O173" i="15"/>
  <c r="N174" i="15"/>
  <c r="O174" i="15"/>
  <c r="N175" i="15"/>
  <c r="O175" i="15"/>
  <c r="N176" i="15"/>
  <c r="O176" i="15"/>
  <c r="N177" i="15"/>
  <c r="O177" i="15"/>
  <c r="N178" i="15"/>
  <c r="O178" i="15"/>
  <c r="N179" i="15"/>
  <c r="O179" i="15"/>
  <c r="N180" i="15"/>
  <c r="O180" i="15"/>
  <c r="N181" i="15"/>
  <c r="O181" i="15"/>
  <c r="N182" i="15"/>
  <c r="O182" i="15"/>
  <c r="N183" i="15"/>
  <c r="O183" i="15"/>
  <c r="N184" i="15"/>
  <c r="O184" i="15"/>
  <c r="N185" i="15"/>
  <c r="O185" i="15"/>
  <c r="N186" i="15"/>
  <c r="O186" i="15"/>
  <c r="N187" i="15"/>
  <c r="O187" i="15"/>
  <c r="N188" i="15"/>
  <c r="O188" i="15"/>
  <c r="N189" i="15"/>
  <c r="O189" i="15"/>
  <c r="N190" i="15"/>
  <c r="O190" i="15"/>
  <c r="N191" i="15"/>
  <c r="O191" i="15"/>
  <c r="N192" i="15"/>
  <c r="O192" i="15"/>
  <c r="N193" i="15"/>
  <c r="O193" i="15"/>
  <c r="N194" i="15"/>
  <c r="O194" i="15"/>
  <c r="N195" i="15"/>
  <c r="O195" i="15"/>
  <c r="N196" i="15"/>
  <c r="O196" i="15"/>
  <c r="N197" i="15"/>
  <c r="O197" i="15"/>
  <c r="N198" i="15"/>
  <c r="O198" i="15"/>
  <c r="N199" i="15"/>
  <c r="O199" i="15"/>
  <c r="N200" i="15"/>
  <c r="O200" i="15"/>
  <c r="N201" i="15"/>
  <c r="O201" i="15"/>
  <c r="N202" i="15"/>
  <c r="O202" i="15"/>
  <c r="N203" i="15"/>
  <c r="O203" i="15"/>
  <c r="N204" i="15"/>
  <c r="O204" i="15"/>
  <c r="N205" i="15"/>
  <c r="O205" i="15"/>
  <c r="N206" i="15"/>
  <c r="O206" i="15"/>
  <c r="N207" i="15"/>
  <c r="O207" i="15"/>
  <c r="N208" i="15"/>
  <c r="O208" i="15"/>
  <c r="N209" i="15"/>
  <c r="O209" i="15"/>
  <c r="N210" i="15"/>
  <c r="O210" i="15"/>
  <c r="N211" i="15"/>
  <c r="O211" i="15"/>
  <c r="N212" i="15"/>
  <c r="O212" i="15"/>
  <c r="N213" i="15"/>
  <c r="O213" i="15"/>
  <c r="N214" i="15"/>
  <c r="O214" i="15"/>
  <c r="N215" i="15"/>
  <c r="O215" i="15"/>
  <c r="N216" i="15"/>
  <c r="O216" i="15"/>
  <c r="N217" i="15"/>
  <c r="O217" i="15"/>
  <c r="N218" i="15"/>
  <c r="O218" i="15"/>
  <c r="N219" i="15"/>
  <c r="O219" i="15"/>
  <c r="N220" i="15"/>
  <c r="O220" i="15"/>
  <c r="N221" i="15"/>
  <c r="O221" i="15"/>
  <c r="N222" i="15"/>
  <c r="O222" i="15"/>
  <c r="N223" i="15"/>
  <c r="O223" i="15"/>
  <c r="N224" i="15"/>
  <c r="O224" i="15"/>
  <c r="N225" i="15"/>
  <c r="O225" i="15"/>
  <c r="N226" i="15"/>
  <c r="O226" i="15"/>
  <c r="N227" i="15"/>
  <c r="O227" i="15"/>
  <c r="N228" i="15"/>
  <c r="O228" i="15"/>
  <c r="N229" i="15"/>
  <c r="O229" i="15"/>
  <c r="N230" i="15"/>
  <c r="O230" i="15"/>
  <c r="N231" i="15"/>
  <c r="O231" i="15"/>
  <c r="N232" i="15"/>
  <c r="O232" i="15"/>
  <c r="N233" i="15"/>
  <c r="O233" i="15"/>
  <c r="N234" i="15"/>
  <c r="O234" i="15"/>
  <c r="N235" i="15"/>
  <c r="O235" i="15"/>
  <c r="N236" i="15"/>
  <c r="O236" i="15"/>
  <c r="N237" i="15"/>
  <c r="O237" i="15"/>
  <c r="N238" i="15"/>
  <c r="O238" i="15"/>
  <c r="N239" i="15"/>
  <c r="O239" i="15"/>
  <c r="N240" i="15"/>
  <c r="O240" i="15"/>
  <c r="N241" i="15"/>
  <c r="O241" i="15"/>
  <c r="N242" i="15"/>
  <c r="O242" i="15"/>
  <c r="N243" i="15"/>
  <c r="O243" i="15"/>
  <c r="N244" i="15"/>
  <c r="O244" i="15"/>
  <c r="N245" i="15"/>
  <c r="O245" i="15"/>
  <c r="N246" i="15"/>
  <c r="O246" i="15"/>
  <c r="N247" i="15"/>
  <c r="O247" i="15"/>
  <c r="N248" i="15"/>
  <c r="O248" i="15"/>
  <c r="N249" i="15"/>
  <c r="O249" i="15"/>
  <c r="N250" i="15"/>
  <c r="O250" i="15"/>
  <c r="N251" i="15"/>
  <c r="O251" i="15"/>
  <c r="N252" i="15"/>
  <c r="O252" i="15"/>
  <c r="N253" i="15"/>
  <c r="O253" i="15"/>
  <c r="N254" i="15"/>
  <c r="O254" i="15"/>
  <c r="N255" i="15"/>
  <c r="O255" i="15"/>
  <c r="N256" i="15"/>
  <c r="O256" i="15"/>
  <c r="N257" i="15"/>
  <c r="O257" i="15"/>
  <c r="N258" i="15"/>
  <c r="O258" i="15"/>
  <c r="N259" i="15"/>
  <c r="O259" i="15"/>
  <c r="N260" i="15"/>
  <c r="O260" i="15"/>
  <c r="N261" i="15"/>
  <c r="O261" i="15"/>
  <c r="N262" i="15"/>
  <c r="O262" i="15"/>
  <c r="N263" i="15"/>
  <c r="O263" i="15"/>
  <c r="N264" i="15"/>
  <c r="O264" i="15"/>
  <c r="N265" i="15"/>
  <c r="O265" i="15"/>
  <c r="N266" i="15"/>
  <c r="O266" i="15"/>
  <c r="E269" i="15"/>
  <c r="E270" i="15" s="1"/>
  <c r="O11" i="11"/>
  <c r="O10" i="11"/>
  <c r="O9" i="11"/>
  <c r="I5" i="16" l="1"/>
  <c r="H14" i="16"/>
  <c r="F14" i="16"/>
  <c r="O14" i="11"/>
  <c r="O12" i="11"/>
  <c r="E11" i="10"/>
  <c r="C11" i="10"/>
  <c r="N12" i="11"/>
  <c r="N11" i="10"/>
  <c r="M12" i="11"/>
  <c r="I14" i="16" l="1"/>
  <c r="M11" i="10"/>
  <c r="L12" i="11"/>
  <c r="L11" i="10" l="1"/>
  <c r="K12" i="11"/>
  <c r="J12" i="11"/>
  <c r="I12" i="11" l="1"/>
  <c r="H12" i="11" l="1"/>
  <c r="G12" i="11" l="1"/>
  <c r="F12" i="11" l="1"/>
  <c r="E12" i="11" l="1"/>
  <c r="D12" i="11" l="1"/>
  <c r="C12" i="11" l="1"/>
  <c r="O9" i="10" l="1"/>
  <c r="O10" i="10" l="1"/>
  <c r="O11" i="10" s="1"/>
  <c r="K11" i="10" l="1"/>
  <c r="J11" i="10" l="1"/>
  <c r="I11" i="10" l="1"/>
  <c r="H11" i="10" l="1"/>
  <c r="G11" i="10" l="1"/>
  <c r="F11" i="10"/>
</calcChain>
</file>

<file path=xl/sharedStrings.xml><?xml version="1.0" encoding="utf-8"?>
<sst xmlns="http://schemas.openxmlformats.org/spreadsheetml/2006/main" count="1469" uniqueCount="594">
  <si>
    <t>Total</t>
  </si>
  <si>
    <t>Purchase order(PCS)</t>
  </si>
  <si>
    <t>Invoice on time (PCS)</t>
  </si>
  <si>
    <t>แบบประเมินวัดผลวัตถุประสงค์ - เป้าหมายคุณภาพ</t>
  </si>
  <si>
    <t>ผู้อนุมัติข้อมูล</t>
  </si>
  <si>
    <t>ผู้รับรองข้อมูล</t>
  </si>
  <si>
    <t>ผู้จัดทำ</t>
  </si>
  <si>
    <t xml:space="preserve">วัตถุประสงค์ :  </t>
  </si>
  <si>
    <t>เป้าหมาย :</t>
  </si>
  <si>
    <t>เกณฑ์ :  ต่อเดือน</t>
  </si>
  <si>
    <t>เดือน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</si>
  <si>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</si>
  <si>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</si>
  <si>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</si>
  <si>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</si>
  <si>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</si>
  <si>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</si>
  <si>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</si>
  <si>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</si>
  <si>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</si>
  <si>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</si>
  <si>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</si>
  <si>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</si>
  <si>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หมายเหตุ</t>
  </si>
  <si>
    <t>ผลการประเมิน</t>
  </si>
  <si>
    <t>รายละเอียดของสิ่งที่ทำให้เป้าหมายไม่บรรลุวัตถุประสงค์</t>
  </si>
  <si>
    <t>ลำดับ</t>
  </si>
  <si>
    <t>สาเหตุ</t>
  </si>
  <si>
    <t>การแก้ไขเบื้องต้น</t>
  </si>
  <si>
    <t>การป้องกัน</t>
  </si>
  <si>
    <t>เริ่ม</t>
  </si>
  <si>
    <t>เสร็จ</t>
  </si>
  <si>
    <t>ผู้รับผิดชอบ</t>
  </si>
  <si>
    <r>
      <rPr>
        <b/>
        <sz val="16"/>
        <rFont val="Angsana New"/>
        <family val="1"/>
      </rPr>
      <t>หมายเหตที่ 1 :</t>
    </r>
    <r>
      <rPr>
        <sz val="16"/>
        <rFont val="Angsana New"/>
        <family val="1"/>
      </rPr>
      <t xml:space="preserve">  </t>
    </r>
    <r>
      <rPr>
        <b/>
        <sz val="16"/>
        <rFont val="Angsana New"/>
        <family val="1"/>
      </rPr>
      <t xml:space="preserve">การแก้ไข (  Corrective  Act. ) คือ การแก้ไขปัญหา หรือการแก้ไขสิ่งที่ผิดให้ถูกเท่านั้น รวมทั้งเรื่องการ Review  ด้วย </t>
    </r>
  </si>
  <si>
    <t>หมายเหตที่ 2 :  การป้องกัน (  Preventive  Act. ) ได้มาจากการสะท้อนจากสาเหตุ</t>
  </si>
  <si>
    <t>ฝ่าย :   จัดซื้อ</t>
  </si>
  <si>
    <t>ส่วนงาน :  จัดซื้อ</t>
  </si>
  <si>
    <t>ส่วนงาน :   จัดซื้อ</t>
  </si>
  <si>
    <t>New price amount</t>
  </si>
  <si>
    <t>Current Price amount</t>
  </si>
  <si>
    <t>Cost saving amount</t>
  </si>
  <si>
    <r>
      <t xml:space="preserve">Percentage of cost saving </t>
    </r>
    <r>
      <rPr>
        <b/>
        <sz val="14"/>
        <rFont val="Cordia New"/>
        <family val="2"/>
      </rPr>
      <t>%</t>
    </r>
  </si>
  <si>
    <t>Percentage of Delivery on time%</t>
  </si>
  <si>
    <r>
      <t xml:space="preserve">วัตถุประสงค์ :  </t>
    </r>
    <r>
      <rPr>
        <b/>
        <sz val="16"/>
        <color rgb="FF002060"/>
        <rFont val="Cordia New"/>
        <family val="2"/>
      </rPr>
      <t>Delivery on time (ส่งสินค้าได้ตามกำหนด)</t>
    </r>
  </si>
  <si>
    <t>ผ่าน</t>
  </si>
  <si>
    <t>Cost  Savings (ประหยัดต้นทุน)</t>
  </si>
  <si>
    <r>
      <rPr>
        <b/>
        <sz val="16"/>
        <rFont val="Angsana New"/>
        <family val="1"/>
      </rPr>
      <t>ประจำปี</t>
    </r>
    <r>
      <rPr>
        <sz val="16"/>
        <rFont val="Angsana New"/>
        <family val="1"/>
      </rPr>
      <t xml:space="preserve"> :  2569</t>
    </r>
  </si>
  <si>
    <t>Details</t>
  </si>
  <si>
    <t>Qty.</t>
  </si>
  <si>
    <t>Remark</t>
  </si>
  <si>
    <t>No.</t>
  </si>
  <si>
    <t>JOB NO.</t>
  </si>
  <si>
    <t>Suppliers-Name</t>
  </si>
  <si>
    <t>Unit</t>
  </si>
  <si>
    <t>Price</t>
  </si>
  <si>
    <t>Discount</t>
  </si>
  <si>
    <t>Totals Price</t>
  </si>
  <si>
    <t>PO NO.</t>
  </si>
  <si>
    <t>PO Date</t>
  </si>
  <si>
    <t>Expected date</t>
  </si>
  <si>
    <t>Received date</t>
  </si>
  <si>
    <t>Ability</t>
  </si>
  <si>
    <t>Diff</t>
  </si>
  <si>
    <t>Sup.Confirm delivery</t>
  </si>
  <si>
    <t>Ea.</t>
  </si>
  <si>
    <t>ฮาร์ดแวร์เฮาส์ จำกัด (สาขาเทพารักษ์)</t>
  </si>
  <si>
    <t>ถุง</t>
  </si>
  <si>
    <t>PCS.</t>
  </si>
  <si>
    <t>MISUMI (THAILAND) CO.,LTD</t>
  </si>
  <si>
    <t>ซีเคดี ไทย คอร์ปอเรชั่น จำกัด</t>
  </si>
  <si>
    <t>m.</t>
  </si>
  <si>
    <t>เจ.เค.เอส.กรุ๊ป (2002) จำกัด</t>
  </si>
  <si>
    <t>JR-25-10-108/FCC</t>
  </si>
  <si>
    <t xml:space="preserve">ฮาร์ดแวร์เฮาส์ จำกัด (สาขาอมตะนคร) </t>
  </si>
  <si>
    <t>ไทยโพลิเมอร์ ซัพพลาย จำกัด</t>
  </si>
  <si>
    <t>SET</t>
  </si>
  <si>
    <t>เอ็ม.ซี.เค.สตีล เซ็นเตอร์ จำกัด</t>
  </si>
  <si>
    <t>เส้น</t>
  </si>
  <si>
    <t>เด็นโซ่ เซลส์ (ประเทศไทย) จำกัด</t>
  </si>
  <si>
    <t>เค บี บี เพลทติ้ง</t>
  </si>
  <si>
    <t>สยาม เอส.ซี. สตีล เพลท จำกัด</t>
  </si>
  <si>
    <t>JR-STORE</t>
  </si>
  <si>
    <t>โลตัสอ็อกซิเย่นแก๊ส (2012) จำกัด</t>
  </si>
  <si>
    <t>ยูเอ แมททีเรียล จำกัด</t>
  </si>
  <si>
    <t>เอสเอ็นอาร์ ทูลส์ เอ็นจิเนียร์ริ่ง</t>
  </si>
  <si>
    <t>ซี เจ เอ็นจิเนียริ่ง จำกัด</t>
  </si>
  <si>
    <t>JR-26-04-045/PR69-365/MODIFY (SVS 1)</t>
  </si>
  <si>
    <t>ยามาเซ่น (ประเทศไทย) จำกัด</t>
  </si>
  <si>
    <t>พีเอชเอ ออโตเมชั่น จำกัด</t>
  </si>
  <si>
    <t>JR-STORE/PR69-390</t>
  </si>
  <si>
    <t>ออล พาร์ท อินเตอร์เทรด จำกัด</t>
  </si>
  <si>
    <t xml:space="preserve">  1 ) SUP-FAC-0011 ใบเลื่อย M42 27x0.9X6/10ฟันx2450</t>
  </si>
  <si>
    <t>เที่ยว</t>
  </si>
  <si>
    <t>ที.เอ็ม.ที.พรีซิชั่น เวิร์ค จำกัด</t>
  </si>
  <si>
    <t xml:space="preserve">  1 ) SUP-GAS-0005 GAS NITROGEN ไนโตรเจน 6.0 คิว</t>
  </si>
  <si>
    <t>อินเตอร์ ซัพพลาย (1992) จำกัด</t>
  </si>
  <si>
    <t>อินเตอร์โรล (ประเทศไทย) จำกัด</t>
  </si>
  <si>
    <t>คงกิจเชิดชู อิเล็คทริค แอนด์ แมชชีนทูล จำกัด</t>
  </si>
  <si>
    <t>แผ่น</t>
  </si>
  <si>
    <t>บางพลีสเตชั่นเนอรี่ จำกัด</t>
  </si>
  <si>
    <t>กล่อง</t>
  </si>
  <si>
    <t>Pack.</t>
  </si>
  <si>
    <t>กิโลกรัม</t>
  </si>
  <si>
    <t>Job.</t>
  </si>
  <si>
    <t>คู่</t>
  </si>
  <si>
    <t xml:space="preserve">  2 ) SVP-DEL-0001 ค่าบริการ-ส่งของ-DELIVERY</t>
  </si>
  <si>
    <t>Lot</t>
  </si>
  <si>
    <t>นิมเบิล คอปอเรชัน จำกัด</t>
  </si>
  <si>
    <t>JR-OFFICE</t>
  </si>
  <si>
    <t>FT</t>
  </si>
  <si>
    <t>เซ็นทรัลโบลท จำกัด</t>
  </si>
  <si>
    <t>Lead time 4-5 weeks</t>
  </si>
  <si>
    <t xml:space="preserve">MISUMI (THAILAND) CO.,LTD </t>
  </si>
  <si>
    <t>Purchase Order</t>
  </si>
  <si>
    <t>Invoice on time</t>
  </si>
  <si>
    <t>Supplier delivery on time %</t>
  </si>
  <si>
    <t xml:space="preserve">มนต์รัก เถื่อนศรีจันทร์ </t>
  </si>
  <si>
    <t xml:space="preserve">  1 ) FGD-CCL-0001 CC-LINK BOARDS FOR YRC1000 CONTROLLER</t>
  </si>
  <si>
    <t>PO69-781</t>
  </si>
  <si>
    <t xml:space="preserve">  4 ) MES-FIT-0220 FITTING 06/01 (ข้อต่อเกลียวนอก)</t>
  </si>
  <si>
    <t>ฮาร์ดแวร์เฮาส์ จำกัด (สาขาอมตะนคร)</t>
  </si>
  <si>
    <t xml:space="preserve">  3 ) MES-FIT-0234 FITTING (ข้อต่อตาไก่) 1/4^ นอก 1/8^</t>
  </si>
  <si>
    <t xml:space="preserve">  2 ) MES-FIT-0237 UNION TEE FITTING 1/8^ (สามทางตาไก่ 3ด้าน)</t>
  </si>
  <si>
    <t xml:space="preserve">  1 ) MEP-PIP-0001 PIPE (แป๊บทองแดง) 1/4^MMC หนา#22</t>
  </si>
  <si>
    <t>PO69-779</t>
  </si>
  <si>
    <t xml:space="preserve"> 10 ) MES-FIT-0234 FITTING (ข้อต่อตาไก่) 1/4^ นอก 1/8^</t>
  </si>
  <si>
    <t xml:space="preserve">  9 ) MES-FIT-0233 FITTING (ข้อต่อตาไก่) 1/4^ นอก 1/4^</t>
  </si>
  <si>
    <t xml:space="preserve">  8 ) MES-FIT-0208 FITTING 12/02 (ข้อต่อเกลียวนอก)</t>
  </si>
  <si>
    <t xml:space="preserve">  7 ) MES-FIT-0231 FITTING 12/04 (ข้อต่อเกลียวนอก)</t>
  </si>
  <si>
    <t xml:space="preserve">  6 ) MES-CLA-0013 C CLAMP (แคลมป์ตัว C) 4^ GRIPTON</t>
  </si>
  <si>
    <t xml:space="preserve">  5 ) MES-CON-0111 CONDUIT CONNECTOR หัวท่อกระดูกงู 1/6^ งอ 90 28019</t>
  </si>
  <si>
    <t>ชิ้น</t>
  </si>
  <si>
    <t xml:space="preserve">  4 ) MES-CON-0110 CONDUIT CONNECTOR ชุดหัวท่อกระดูกงู 5รู 28024</t>
  </si>
  <si>
    <t xml:space="preserve">  3 ) MES-CON-0109 CONDUIT CONNECTOR 1/8^หัวท่อกระดูกงู หัวกลม 28016</t>
  </si>
  <si>
    <t xml:space="preserve">  2 ) MEP-PIP-0001 PIPE (แป๊บทองแดง) 1/4^MMC หนา#22</t>
  </si>
  <si>
    <t xml:space="preserve">  1 ) MES-TUB-0023 TUBE สายลมโพลียูรีเทน 8x12 mm สีดำ</t>
  </si>
  <si>
    <t>PO69-780</t>
  </si>
  <si>
    <t xml:space="preserve">  5 ) MES-FIT-0208 FITTING 12/02 (ข้อต่อเกลียวนอก)</t>
  </si>
  <si>
    <t xml:space="preserve">  4 ) MES-FIT-0236 FITTING (ข้อลด) 10/08 AQPG10-8</t>
  </si>
  <si>
    <t xml:space="preserve">  3 ) MES-FIT-0232 FITTING 12-10 (ข้อลด)</t>
  </si>
  <si>
    <t xml:space="preserve">  2 ) MES-FIT-0235 FITTING (สามทางวายลด) 10/08</t>
  </si>
  <si>
    <t>PO69-767</t>
  </si>
  <si>
    <t>Kms.</t>
  </si>
  <si>
    <t xml:space="preserve">  2 ) SVP-TRA-0001 Transportation (Go &amp; Return)</t>
  </si>
  <si>
    <t xml:space="preserve">Auto Advance Service Co.,Ltd. </t>
  </si>
  <si>
    <t>JR-26-05-061/PR69-504/DAILY FOODS</t>
  </si>
  <si>
    <t>Hrs.</t>
  </si>
  <si>
    <t xml:space="preserve">  1 ) SVP-ENG-0001 Engineering Fee for Weekday</t>
  </si>
  <si>
    <t>PO69-710</t>
  </si>
  <si>
    <t xml:space="preserve">  1 ) MEM-FAB-0001 PART GRIPPER SUGAR JR-25-03-014</t>
  </si>
  <si>
    <t>JR-25-03-014/PR69-469/ROBOTIC AUTOMATION</t>
  </si>
  <si>
    <t>PO69-838</t>
  </si>
  <si>
    <t xml:space="preserve">  2 ) ELS-KEY-0003 QPLUS WIRELESS KEYBOARD+MOUSE 1928 Stylish Black</t>
  </si>
  <si>
    <t xml:space="preserve">คอมเซเว่น จำกัด (มหาชน) </t>
  </si>
  <si>
    <t>JR-26-05-054/PR69-552/LERTVILAI(YETI)</t>
  </si>
  <si>
    <t xml:space="preserve">  1 ) ELS-RAM-0002 ADATA RAM NOTEBOOK DDR4 16GB/3200MHz.CL22</t>
  </si>
  <si>
    <t>Lead time 5-6 Weeks</t>
  </si>
  <si>
    <t>PO69-587</t>
  </si>
  <si>
    <t xml:space="preserve">  4 ) MES-TAR-0001 TARGET KIT, PROX SWITCH 74994-31 GRRX2X63 (PHD)</t>
  </si>
  <si>
    <t>ออโตเมชั่น คอนโทรล ซีสเทมส์ กรุ๊ป จำกัด</t>
  </si>
  <si>
    <t>JR-26-04-042/PR69-375/NS BLUESCOPE</t>
  </si>
  <si>
    <t xml:space="preserve">  3 ) MES-BRA-0093 BRACKET FOR GRRX2X63 74992-31 (PHD)</t>
  </si>
  <si>
    <t xml:space="preserve">  2 ) ELS-SEN-0048 PROXIMITY SENSOR 51422-006-02 8mm (PHD)</t>
  </si>
  <si>
    <t xml:space="preserve">  1 ) MES-GRP-0001 GRIPPER GRR12-6-63X350-SPP99-H47 (PHD)</t>
  </si>
  <si>
    <t>PO69-727</t>
  </si>
  <si>
    <t xml:space="preserve">  2 ) MES-ANC-0016 ANCHORS พุกตะปู (ชุบขาว) M12x70 (SANKO)</t>
  </si>
  <si>
    <t>JR-25-12-140/PR69-484/T.C.UNION</t>
  </si>
  <si>
    <t xml:space="preserve">  1 ) MES-ANC-0010 ANCHORS พุกตะปู (ชุบขาว) M8x70 (SANKO)</t>
  </si>
  <si>
    <t>PO69-711</t>
  </si>
  <si>
    <t xml:space="preserve">  1 ) SVP-INP-0001 ค่าตรวจเช็คที่หน้างาน FCC</t>
  </si>
  <si>
    <t xml:space="preserve">เอสเอ็นอาร์ ทูลส์ เอ็นจิเนียร์ริ่ง </t>
  </si>
  <si>
    <t>JR-25-10-108/PR69-470/FCC</t>
  </si>
  <si>
    <t>PO69-802</t>
  </si>
  <si>
    <t xml:space="preserve">  1 ) SVP-WAG-0001 ค่าชุบอโนไดซ์ สีดำ</t>
  </si>
  <si>
    <t>JR-26-04-044/PR69-532/DONALDSON(NPI 2)</t>
  </si>
  <si>
    <t>PO69-703</t>
  </si>
  <si>
    <t xml:space="preserve">  3 ) MES-NUT-0082 EG_NUTS E-GLNUTS8 (MISUMI)</t>
  </si>
  <si>
    <t>JR-26-02-015/PR69-467/DONALDSON(NPI 1)</t>
  </si>
  <si>
    <t>PO69-713</t>
  </si>
  <si>
    <t xml:space="preserve">  1 ) MES-SCR-0218 SCREW สกรูหัวเตเปอร์ (SUS) M5x8</t>
  </si>
  <si>
    <t>JR-26-05-060/PR69-479/SSL</t>
  </si>
  <si>
    <t>PO69-712</t>
  </si>
  <si>
    <t xml:space="preserve">  4 ) MES-WAS-0019 SPRING WASHER แหวนสปริง (SUS) M5</t>
  </si>
  <si>
    <t xml:space="preserve">  3 ) MES-WAS-0021 SPRING WASHER แหวนสปริง (SUS) M6</t>
  </si>
  <si>
    <t xml:space="preserve">  2 ) MES-SCR-0208 SCREW สกรูหัวจมกลม (SUS) M5x8</t>
  </si>
  <si>
    <t xml:space="preserve">  1 ) MES-SCR-0209 SCREW สกรูหัวจมกลม (SUS) M6x10</t>
  </si>
  <si>
    <t>PO69-760</t>
  </si>
  <si>
    <t xml:space="preserve">  1 ) MEP-ALU-0053 ALUMINUM AL6061 T25x25x60MM.</t>
  </si>
  <si>
    <t>JR-26-04-042/PR69-499/NS BLUESCOPE</t>
  </si>
  <si>
    <t xml:space="preserve">  1 ) MES-WAS-0014 WASHERS DJW16-8-5 (MISUMI)</t>
  </si>
  <si>
    <t>PO69-728</t>
  </si>
  <si>
    <t xml:space="preserve">  3 ) SUP-HAN-0016 ประแจหกเหลี่ยม หัวบอลยาวสีขาว 4mm INOX</t>
  </si>
  <si>
    <t xml:space="preserve">  2 ) SUP-HAN-0015 ประแจหกเหลี่ยม หัวบอล 4mm DL3304 DELI</t>
  </si>
  <si>
    <t xml:space="preserve">  1 ) MES-FIT-0207 TEE FITTING 12mm (สามทางวาย 12/00)</t>
  </si>
  <si>
    <t>Lead time 30 days</t>
  </si>
  <si>
    <t>PO69-655</t>
  </si>
  <si>
    <t xml:space="preserve">  2 ) MES-BRA-0076 BRACKET B310-W CKD</t>
  </si>
  <si>
    <t>JR-25-10-108/PR69-430/FCC</t>
  </si>
  <si>
    <t xml:space="preserve">  1 ) MES-PRE-0046 PRESSURE SWITCH P4100-8-W (CKD)</t>
  </si>
  <si>
    <t>PO69-680</t>
  </si>
  <si>
    <t xml:space="preserve">  1 ) SUP-KEY-0015 แม่กุญแจเซฟตี้ 38mm Red SAFETY CHECK</t>
  </si>
  <si>
    <t>JR-STORE/PR69-450</t>
  </si>
  <si>
    <t>PO69-730</t>
  </si>
  <si>
    <t xml:space="preserve"> 10 ) SVP-DEL-0001 ค่าบริการ-ส่งของ-DELIVERY</t>
  </si>
  <si>
    <t>กรุงเทพ ไวร์เวิร์ค จำกัด</t>
  </si>
  <si>
    <t>JR-25-12-140/PR69-485/T.C.UNION</t>
  </si>
  <si>
    <t xml:space="preserve">  9 ) MES-WIC-0108 ตะแกรงอาร์คดำ เบอร์ 11 (3mm.) ขนาด 685x880mm.</t>
  </si>
  <si>
    <t xml:space="preserve">  8 ) MES-WIC-0107 ตะแกรงอาร์คดำ เบอร์ 11 (3mm.) ขนาด 645x880mm.</t>
  </si>
  <si>
    <t xml:space="preserve">  7 ) MES-WIC-0106 ตะแกรงอาร์คดำ เบอร์ 11 (3mm.) ขนาด 535x880mm.</t>
  </si>
  <si>
    <t xml:space="preserve">  6 ) MES-WIC-0105 ตะแกรงอาร์คดำ เบอร์ 11 (3mm.) ขนาด 845x880mm.</t>
  </si>
  <si>
    <t xml:space="preserve">  5 ) MES-WIC-0104 ตะแกรงอาร์คดำ เบอร์ 11 (3mm.) ขนาด 680x880mm.</t>
  </si>
  <si>
    <t xml:space="preserve">  4 ) MES-WIC-0103 ตะแกรงอาร์คดำ เบอร์ 11 (3mm.) ขนาด 880x880mm.</t>
  </si>
  <si>
    <t xml:space="preserve">  3 ) MES-WIC-0102 ตะแกรงอาร์คดำ เบอร์ 11 (3mm.) ขนาด 185x880mm.</t>
  </si>
  <si>
    <t xml:space="preserve">  2 ) MES-WIC-0101 ตะแกรงอาร์คดำ เบอร์ 11 (3mm.) ขนาด 795x880mm.</t>
  </si>
  <si>
    <t xml:space="preserve">  1 ) MES-WIC-0100 ตะแกรงอาร์คดำ เบอร์ 11 (3mm.) ขนาด 1085x880mm.</t>
  </si>
  <si>
    <t>PO69-720</t>
  </si>
  <si>
    <t xml:space="preserve">  3 ) MEM-ACR-0040 DWG.No :_0-RBS-10-24-000-265-A (ACRYLIC BLACK)</t>
  </si>
  <si>
    <t>JR-24-08-054/PR69-475/DONALDSON SVS2 (TUBE)</t>
  </si>
  <si>
    <t xml:space="preserve">  2 ) MEM-ACR-0039 DWG.No :_0-RBS-10-24-000-264-A (ACRYLIC BLACK)</t>
  </si>
  <si>
    <t xml:space="preserve">  1 ) MEM-ACR-0038 DWG.No :_0-RBS-10-24-000-262-A (ACRYLIC BLACK)</t>
  </si>
  <si>
    <t>PO69-693</t>
  </si>
  <si>
    <t xml:space="preserve">  2 ) FGD-CCL-0005 CC-LINK BOARDS FOR DX200 CONTROLLER</t>
  </si>
  <si>
    <t>JR-26-06-063/PR69-455/PRIME BOX</t>
  </si>
  <si>
    <t>PO69-690</t>
  </si>
  <si>
    <t xml:space="preserve">  1 ) MES-WAS-0046 WASHER WS-NBR-M4 (SUNCO)</t>
  </si>
  <si>
    <t>JR-25-10-108/PR69-457/FCC</t>
  </si>
  <si>
    <t>PO69-688</t>
  </si>
  <si>
    <t xml:space="preserve">  2 ) SUP-LOC-0013 LOCTITE HEN-263 THREADLOCKER 50ML</t>
  </si>
  <si>
    <t>JR-25-10-108/PR69-458/FCC</t>
  </si>
  <si>
    <t xml:space="preserve">  1 ) MES-SCR-0085 SCREW สกรูหัวจมกลม (SUS) M4x10</t>
  </si>
  <si>
    <t>PO69-682</t>
  </si>
  <si>
    <t xml:space="preserve">  1 ) ELS-PLC-0053 PLC (MOTION UNIT) RD62P2 (MITSUBISHI)</t>
  </si>
  <si>
    <t>ต.ธีรกิจ อินโนเวชั่น จำกัด</t>
  </si>
  <si>
    <t>JR-26-04-045/PR69-453/MODIFY (SVS 1)</t>
  </si>
  <si>
    <t>PO69-741</t>
  </si>
  <si>
    <t xml:space="preserve">  2 ) SVP-TRA-0001 Installation &amp; Transportaion</t>
  </si>
  <si>
    <t>สยาม แอ็ดวานซ์ เทค เทคโนโลยี จํากัด</t>
  </si>
  <si>
    <t>JR-25-10-108/PR69-492/FCC</t>
  </si>
  <si>
    <t xml:space="preserve">  1 ) MEM-MAC-0004 PUSH THE WORK DWG.No:0204-2011-2</t>
  </si>
  <si>
    <t>PO69-735</t>
  </si>
  <si>
    <t xml:space="preserve">  4 ) MES-WAS-0043 PLAIN WASHER แหวนอีแปะ (ชุบขาว) M12</t>
  </si>
  <si>
    <t xml:space="preserve">  3 ) MES-SCR-0102 SCREW สกรูหัวจมกลม (ชุบขาว) M6x12</t>
  </si>
  <si>
    <t xml:space="preserve">  2 ) MES-SCR-0223 SCREW สกรูหัวหกเหลี่ยม เกลียวตลอด (ชุบขาว) M16x160</t>
  </si>
  <si>
    <t xml:space="preserve">  1 ) MES-SCR-0222 SCREW สกรูหัวหกเหลี่ยม เกลียวตลอด (ชุบขาว) M8x30</t>
  </si>
  <si>
    <t>PO69-734</t>
  </si>
  <si>
    <t xml:space="preserve">  4 ) MES-WAS-0045 SPRING WASHER แหวนสปริง (ชุบขาว) M12</t>
  </si>
  <si>
    <t xml:space="preserve">  3 ) MES-WAS-0022 SPRING WASHER แหวนสปริง (ชุบขาว) M8</t>
  </si>
  <si>
    <t xml:space="preserve">  2 ) MES-WAS-0023 PLAIN WASHER แหวนอีแปะ (ชุบขาว) M8</t>
  </si>
  <si>
    <t xml:space="preserve">  1 ) MES-NUT-0061 NUT หัวน็อต (ชุบขาว) M8</t>
  </si>
  <si>
    <t>PO69-729</t>
  </si>
  <si>
    <t xml:space="preserve">  4 ) MEP-SSS-0010 STEEL SS400 (เหล็กแผ่น) T4mmx4'x8'</t>
  </si>
  <si>
    <t xml:space="preserve">  3 ) MEP-SSS-0011 STEEL SS400 (เหล็กแผ่น) T6mmx4'x8'</t>
  </si>
  <si>
    <t xml:space="preserve">  2 ) MEP-SSS-0037 STEEL (เหล็กกล่อง) 38x38x3.2mmx6M.</t>
  </si>
  <si>
    <t xml:space="preserve">  1 ) MEP-SSS-0006 STEEL (เหล็กกล่อง) 50x50x4mmx6m</t>
  </si>
  <si>
    <t>PO69-723</t>
  </si>
  <si>
    <t xml:space="preserve">  1 ) 51-5038- ค่าซ่อม Service charge:Repair/S4 (เครื่องเลเซอร์)</t>
  </si>
  <si>
    <t>ที.ที.แอล. เอ็นจิเนียริ่ง ซีสเต็มส์ จำกัด</t>
  </si>
  <si>
    <t>PO69-714</t>
  </si>
  <si>
    <t>PO69-704</t>
  </si>
  <si>
    <t xml:space="preserve">  1 ) SUP-SIL-0004 SILCONE ^DEXERIALS^ L6301 (ซิลิโคนสีใส)</t>
  </si>
  <si>
    <t>JR-25-09-101/PR69-468/YAMAZEN (AUTO DOOR)</t>
  </si>
  <si>
    <t>PO69-697</t>
  </si>
  <si>
    <t xml:space="preserve">  2 ) MES-ANC-0008 ANCHORS พุกตะปู (ชุบขาว) M20x150 (SANKO)</t>
  </si>
  <si>
    <t>JR-25-12-140/PR69-464/T.C.UNION</t>
  </si>
  <si>
    <t xml:space="preserve">  1 ) MEP-SSS-0036 STEEL (ท่อสตีมดำ) ASTM Sch 40 (4^x T6.02mm)OD114mm</t>
  </si>
  <si>
    <t>PO69-771</t>
  </si>
  <si>
    <t xml:space="preserve">  9 ) SUP-PAN-0012 สีสเปรย์ รองพื้นขาวด้าน #F100 Kobe</t>
  </si>
  <si>
    <t>กิตติรุ่งเรือง เทรดดิ้ง</t>
  </si>
  <si>
    <t>JR-OFFICE &amp; JR-PROJECT</t>
  </si>
  <si>
    <t xml:space="preserve">  8 ) SUP-PAN-0013 สีสเปรย์ ดำเงา #910 Kobe</t>
  </si>
  <si>
    <t>ชุด</t>
  </si>
  <si>
    <t xml:space="preserve">  7 ) SUF-OFF-0001 ชุดหลอดไฟ LED 18w.HAFELE</t>
  </si>
  <si>
    <t xml:space="preserve">  6 ) ELS-BLO-0014 BLOCK บล็อกลอยพลาสติก 4*2</t>
  </si>
  <si>
    <t xml:space="preserve">  5 ) ELS-PLU-0036 หน้ากาก 3 ช่อง</t>
  </si>
  <si>
    <t xml:space="preserve">  4 ) ELS-PLU-0035 PLUG (ปลั๊กกราวด์ สีขาว) NPV NP-4205</t>
  </si>
  <si>
    <t xml:space="preserve">  3 ) SUF-MTN-0006 ยาแนวจระเข้ เงิน 0110 (ขาวไข่มุก)</t>
  </si>
  <si>
    <t xml:space="preserve">  2 ) SUF-MTN-0007 ชุดชาร์ปทองเหลืองชุบ 7 นิ้ว</t>
  </si>
  <si>
    <t xml:space="preserve">  1 ) SUF-HSK-0001 ถุงหิ้ว 12*26</t>
  </si>
  <si>
    <t>PO69-719</t>
  </si>
  <si>
    <t xml:space="preserve">  1 ) MEM-SUS-0053 JR-26-04-044-020-004-A (SUS304)</t>
  </si>
  <si>
    <t>JR-26-02-015/PR69-474/DONALDSON(NPI 1)</t>
  </si>
  <si>
    <t>PO69-686</t>
  </si>
  <si>
    <t xml:space="preserve">  1 ) SUP-MOL-0001 จาระบีหุ่นยนต์ MOLYWHITE Model RE-00</t>
  </si>
  <si>
    <t xml:space="preserve">จิน189 จำกัด </t>
  </si>
  <si>
    <t>JR-STORE/PR69-461</t>
  </si>
  <si>
    <t>PO69-706</t>
  </si>
  <si>
    <t>พีที ออโตเมชั่น พาร์ท จำกัด</t>
  </si>
  <si>
    <t xml:space="preserve">  1 ) SUP-TER-0045 จั๊มเปอร์ หางปลา TB-2010 (10ช่อง)</t>
  </si>
  <si>
    <t>PO69-701</t>
  </si>
  <si>
    <t xml:space="preserve">  1 ) SUF-STA-0100 เทปลบคำผิด PLUS WH-605 5มม.x6ม.</t>
  </si>
  <si>
    <t>ลีเรคโก (ประเทศไทย) จำกัด</t>
  </si>
  <si>
    <t>PO69-677</t>
  </si>
  <si>
    <t xml:space="preserve">  1 ) MEM-ACR-0037 DWG.No:JR-26-XXX-050-001-C (ACRYLIC WHITE)</t>
  </si>
  <si>
    <t>สหภัณฑ์ พลาสติกโปรดักส์ จำกัด</t>
  </si>
  <si>
    <t>JR-26-04-044/PR69-447/DONALDSON(NPI 2)</t>
  </si>
  <si>
    <t>PO69-768</t>
  </si>
  <si>
    <t xml:space="preserve">  1 ) SUP-LOC-0011 THREADLOCKER 50ML. NO.242 ^LOCTITE^</t>
  </si>
  <si>
    <t>เจนเนอรัล พาท ดิสทริบิวชั่น จำกัด</t>
  </si>
  <si>
    <t>JR-25-12-137/ADVANCE/RICOH</t>
  </si>
  <si>
    <t>PO69-764</t>
  </si>
  <si>
    <t xml:space="preserve">  2 ) MES-BOL-0031 U-BOLT 2^ (รัดท่อ) Zinc</t>
  </si>
  <si>
    <t>JR-MARKETING/PR69-503/MARKETING</t>
  </si>
  <si>
    <t xml:space="preserve">  1 ) MES-BOL-0030 U-BOLT 4^ (รัดท่อ) Zinc</t>
  </si>
  <si>
    <t>PO69-736</t>
  </si>
  <si>
    <t xml:space="preserve">  1 ) MES-SPE-0022 SPEED CONTROLLER SC3W-8-10 CKD</t>
  </si>
  <si>
    <t>JR-25-12-140/PR69-489/T.C.UNION</t>
  </si>
  <si>
    <t>PO69-722</t>
  </si>
  <si>
    <t xml:space="preserve">  2 ) ELS-MON-0007 MONITOR DS-D5024F2-BP2 23.8'' HIKVISION</t>
  </si>
  <si>
    <t>JR-26-04-045/PR69-480/MODIFY (SVS 1)</t>
  </si>
  <si>
    <t xml:space="preserve">  1 ) ELS-KEY-0002 WIRELESS KEYBOARD+MOUSE 9010M-GY RAPOO</t>
  </si>
  <si>
    <t>PO69-707</t>
  </si>
  <si>
    <t xml:space="preserve">  4 ) SUF-STA-0156 บิลเงินสด NO.1</t>
  </si>
  <si>
    <t>รีม</t>
  </si>
  <si>
    <t xml:space="preserve">  3 ) SUF-STA-0549 กระดาษถ่ายเอกสาร A4 70g 500p ^Smartist^</t>
  </si>
  <si>
    <t xml:space="preserve">  2 ) SUF-STA-0176 ซองน้ำตาล 110 แกรม A4 9X12 เนื้อดี</t>
  </si>
  <si>
    <t xml:space="preserve">  1 ) SUF-STA-0014 เทปใสแกน 1^x3/4x36y Unitape(1x8)</t>
  </si>
  <si>
    <t>PO69-709</t>
  </si>
  <si>
    <t>แกลอน</t>
  </si>
  <si>
    <t xml:space="preserve">  9 ) SUF-STA-0446 น้ำยาเช็ดกระจก วินเด็กซ์ มัสเซิล 5 ลิตร</t>
  </si>
  <si>
    <t>JR-OFFICE/PR69-462</t>
  </si>
  <si>
    <t xml:space="preserve">  8 ) SUF-STA-0238 น้ำยาดันฝุ่นเอาท์ 3800 มล.(ไฮจีนิสท์)BJC</t>
  </si>
  <si>
    <t xml:space="preserve">  7 ) SUF-STA-0007 น้ำยาล้างจาน ซันไลท์ แกลลอน</t>
  </si>
  <si>
    <t xml:space="preserve">  6 ) SUF-STA-0476 น้ำยามาจิกคลีน 3500 ml.เขียว</t>
  </si>
  <si>
    <t xml:space="preserve">  5 ) SUF-STA-0160 น้ำยาล้างห้องน้ำ เป็ด แกลลอน 3500cc*ม่วง</t>
  </si>
  <si>
    <t xml:space="preserve">  4 ) SUF-STA-0003 น้ำยาถูพื้นมัสเซิล 5 ลิตร</t>
  </si>
  <si>
    <t xml:space="preserve">  2 ) SUF-STA-0242 ถุงขยะ 36x45 Black (1กก.)</t>
  </si>
  <si>
    <t>PO69-694</t>
  </si>
  <si>
    <t xml:space="preserve">  2 ) SUP-STA-0020 ถุงมือ PU ไซส์ L GPU09-BK-1SC</t>
  </si>
  <si>
    <t>ซินเนอร์จี เอเชีย โซลูชั่น จำกัด</t>
  </si>
  <si>
    <t xml:space="preserve">  1 ) SUP-STA-0021 ถุงมือ PU ไซส์ M GPU08-BK-1SC</t>
  </si>
  <si>
    <t>PO69-699</t>
  </si>
  <si>
    <t>PO69-700</t>
  </si>
  <si>
    <t xml:space="preserve">  1 ) SUF-STA-0453 เมาส์ไร้สาย LOGITECH M331 SILENT PLUS</t>
  </si>
  <si>
    <t>ทูเดย์ ไอที แอนด์ คอมพิวเตอร์ จำกัด</t>
  </si>
  <si>
    <t>JR-OFFICE/PR69-461</t>
  </si>
  <si>
    <t>PO69-698</t>
  </si>
  <si>
    <t xml:space="preserve">  1 ) MEM-SUS-0052 JR-24-03-011-014-005-A (SUS304)</t>
  </si>
  <si>
    <t>JR-26-02-015/PR69-463/DONALDSON (MODIFY)</t>
  </si>
  <si>
    <t>PO69-674</t>
  </si>
  <si>
    <t xml:space="preserve">  1 ) MES-ROL-0037 ROLLER RD-35HBJ72Q90 RL: 810;AGL: 850</t>
  </si>
  <si>
    <t>JR-26-05-058/PR69-442/DSM</t>
  </si>
  <si>
    <t>สัญญา 1 ปี (ก.ค.2568-มิ.ย.2569)Oct'2025 ,Jan'2026 ,Apr'2026</t>
  </si>
  <si>
    <t>PO68-468</t>
  </si>
  <si>
    <t>เครื่อง</t>
  </si>
  <si>
    <t xml:space="preserve">  2 ) 53-2016- ค่าบริการล้างเครื่องปรับอากาศ 25,000 ถึง 40,000BTU</t>
  </si>
  <si>
    <t>พีที.แอร์ เซอร์วิส เซ็นเตอร์ จำกัด</t>
  </si>
  <si>
    <t>JR-OFFICE/PR68-291</t>
  </si>
  <si>
    <t xml:space="preserve">  1 ) 53-2016- ค่าบริการล้างเครื่องปรับอากาศ 9,000 ถึง 25,000BTU</t>
  </si>
  <si>
    <t>PO69-782</t>
  </si>
  <si>
    <t xml:space="preserve">  2 ) SUP-SAF-0008 หมวกคลุมผม ใยสังเคราะห์ สีขาว (PK50)</t>
  </si>
  <si>
    <t>JR-25-12-140/PR69-517/T.C.UNION</t>
  </si>
  <si>
    <t xml:space="preserve">  1 ) SUP-SAF-0007 หน้ากากอนามัย 3ชั้น GT สีขาว (PK50)</t>
  </si>
  <si>
    <t>PO69-743</t>
  </si>
  <si>
    <t xml:space="preserve">  1 ) MES-DRI-0009 FIXDE DRIVER RD-35VFNAAQ7X RL: 804;AGL: 840</t>
  </si>
  <si>
    <t>JR-25-12-140/PR69-498/T.C.UNION</t>
  </si>
  <si>
    <t>PO69-737</t>
  </si>
  <si>
    <t xml:space="preserve">  1 ) MES-AIR-0279 AIR CYLINDER SCA2-00-40B-250-T0H5-D (CKD)</t>
  </si>
  <si>
    <t>JR-25-12-140/PR69-490/T.C.UNION</t>
  </si>
  <si>
    <t>PO69-772</t>
  </si>
  <si>
    <t xml:space="preserve">  3 ) SUP-GAS-0003 GAS CARBON DIOXIDE (CO2) คาร์บอนไดออกไซด์ 6.0 คิว</t>
  </si>
  <si>
    <t xml:space="preserve">  2 ) SUP-GAS-0004 GAS ARGON อาร์กอน 6.0 คิว</t>
  </si>
  <si>
    <t>PO69-758</t>
  </si>
  <si>
    <t xml:space="preserve">  3 ) MEP-SSS-0039 STEEL SS400 (เหล็กแผ่น) T2MM.x5FT.x10FT.</t>
  </si>
  <si>
    <t>JR-25-12-140/PR69-502/T.C.UNION</t>
  </si>
  <si>
    <t xml:space="preserve">  2 ) MEP-SSS-0038 STEEL SS400 (เหล็กกล่อง) 40x40x2.3MMx6M.มอก.</t>
  </si>
  <si>
    <t xml:space="preserve">  1 ) MEP-SSS-0008 STEEL SS400 (เหล็กแผ่น) T2MM.x4FT.x8FT.</t>
  </si>
  <si>
    <t>PO69-726</t>
  </si>
  <si>
    <t xml:space="preserve">  1 ) ELS-USB-0013 WIRELESS USB ADAPTER ARCHER T3U PLUS</t>
  </si>
  <si>
    <t xml:space="preserve">ทูเดย์ ไอที แอนด์ คอมพิวเตอร์ จำกัด </t>
  </si>
  <si>
    <t>JR-26-04-044/PR69-483/DONALDSON(NPI 2)</t>
  </si>
  <si>
    <t>PO69-725</t>
  </si>
  <si>
    <t>JR-26-04-045/PR69-482/MODIFY (SVS 1)</t>
  </si>
  <si>
    <t>PO69-718</t>
  </si>
  <si>
    <t xml:space="preserve">  2 ) MEM-URE-0013 JR-26-05-060 Support Stacker (URETHANE GREEN 60A)</t>
  </si>
  <si>
    <t>JR-26-05-060/PR69-478/SSL</t>
  </si>
  <si>
    <t xml:space="preserve">  1 ) MEM-URE-0012 JR-26-05-060 Support Stacker 1 URETHANE GREEN 60A</t>
  </si>
  <si>
    <t>PO69-717</t>
  </si>
  <si>
    <t xml:space="preserve">  2 ) MEM-URE-0011 JR-26-05-059 Support Stacker (URETHANE GREEN 60A)</t>
  </si>
  <si>
    <t>JR-26-05-059/PR69-477/SSL</t>
  </si>
  <si>
    <t xml:space="preserve">  1 ) MEM-URE-0010 JR-26-05-059 Support Stacker 1 URETHANE GREEN 60A</t>
  </si>
  <si>
    <t>PO69-696</t>
  </si>
  <si>
    <t xml:space="preserve">  1 ) SVP-WAG-0001 ค่าชุบกัลวาไนซ์ (โครงกล่อง 1 SET)</t>
  </si>
  <si>
    <t>สยามสตีล กัลวาไนซิ่ง จำกัด</t>
  </si>
  <si>
    <t>JR-24-04-021/PR69-465/TEI (Palletizing)</t>
  </si>
  <si>
    <t xml:space="preserve">  2 ) MES-DOW-0074 DOWEL PINS E-MSH4-12 ECONOMY (MISUMI)</t>
  </si>
  <si>
    <t>PO69-738</t>
  </si>
  <si>
    <t>ครั้ง</t>
  </si>
  <si>
    <t xml:space="preserve">  2 ) 53-6004- ค่าธรรมเนียมธนาคาร</t>
  </si>
  <si>
    <t>ซิสอินโฟร์ คอนเน็ค</t>
  </si>
  <si>
    <t>JR-OFFICE/PR69-438/Asset</t>
  </si>
  <si>
    <t xml:space="preserve">  1 ) 14-1004- Yealink Bluetooth Headset BH71 Yealink BH71</t>
  </si>
  <si>
    <t>PO69-705</t>
  </si>
  <si>
    <t xml:space="preserve">  2 ) SUP-GLO-0002 ถุงมือผ้า 5 ขีด ขอบเขียว</t>
  </si>
  <si>
    <t>เค.วี.เอส. เอ็นจิเนียริ่ง จำกัด</t>
  </si>
  <si>
    <t xml:space="preserve">  1 ) SUP-RIB-0001 ตลับหมึก RIBBON MK-RS100B FOR CANON MK1500</t>
  </si>
  <si>
    <t>PO69-695</t>
  </si>
  <si>
    <t xml:space="preserve">  1 ) SUP-TER-0004 TERMINAL CORD END SELLVER CE-0.75-8</t>
  </si>
  <si>
    <t>PO69-724</t>
  </si>
  <si>
    <t xml:space="preserve">  4 ) MEM-SSS-0116 DWG No : Tool-4 (SS400) JR-25-10-108</t>
  </si>
  <si>
    <t>JR-25-10-108/PR69-476/FCC</t>
  </si>
  <si>
    <t xml:space="preserve">  3 ) MEM-SSS-0115 DWG No : Tool-3 (SS400) JR-25-10-108</t>
  </si>
  <si>
    <t xml:space="preserve">  2 ) MEM-SSS-0114 DWG No : Tool-2 (SS400) JR-25-10-108</t>
  </si>
  <si>
    <t xml:space="preserve">  1 ) MEM-SSS-0113 DWG No : Tool-1 (SS400) JR-25-10-108</t>
  </si>
  <si>
    <t>PO69-721</t>
  </si>
  <si>
    <t xml:space="preserve">  4 ) MES-STU-0010 STUD (ชุบขาว) M8x1M.</t>
  </si>
  <si>
    <t>JR-25-10-108/PR69-481/FCC</t>
  </si>
  <si>
    <t xml:space="preserve">  3 ) MES-SCR-0221 SCREW สกรูหัวจม เกลียวตลอด (ชุบขาว) M8x80</t>
  </si>
  <si>
    <t xml:space="preserve">  2 ) MES-SCR-0220 SCREW สกรูหัวจม เกลียวตลอด (ชุบขาว) M8x50</t>
  </si>
  <si>
    <t xml:space="preserve">  1 ) MES-SCR-0219 SCREW สกรูหัวจมเตเปอร์ (ชุบขาว) M5x16</t>
  </si>
  <si>
    <t>PO69-731</t>
  </si>
  <si>
    <t xml:space="preserve">  1 ) MES-CHA-0031 CHAIN SSEL 815-K325 SYSTEM PLAST 1009L</t>
  </si>
  <si>
    <t>JR-25-10-108/PR69-486/FCC</t>
  </si>
  <si>
    <t>PO69-679</t>
  </si>
  <si>
    <t xml:space="preserve">  6 ) MEM-URE-0013 JR-26-05-060 Support Stacker (URETHANE GREEN 60A)</t>
  </si>
  <si>
    <t>JR-26-05-060/PR69-449/SSL</t>
  </si>
  <si>
    <t xml:space="preserve">  5 ) MEM-URE-0012 JR-26-05-060 Support Stacker 1 URETHANE GREEN 60A</t>
  </si>
  <si>
    <t xml:space="preserve">  4 ) MEM-MCN-0023 JR-26-05-060 Gripper Support MC NYLON BLUE</t>
  </si>
  <si>
    <t xml:space="preserve">  3 ) MEM-MCN-0022 JR-26-05-060 Gripper Support Bottom MC NYLON BLUE</t>
  </si>
  <si>
    <t xml:space="preserve">  2 ) MEM-MCN-0021 JR-26-05-060 AJ Gripper Top (MC NYLON BLUE)</t>
  </si>
  <si>
    <t xml:space="preserve">  1 ) MEM-MCN-0020 JR-26-05-060 AJ Gripper Bottom (MC NYLON BLUE)</t>
  </si>
  <si>
    <t>PO69-678</t>
  </si>
  <si>
    <t xml:space="preserve">  6 ) MEM-URE-0011 JR-26-05-059 Support Stacker (URETHANE GREEN 60A)</t>
  </si>
  <si>
    <t>JR-26-05-059/PR69-448/SSL</t>
  </si>
  <si>
    <t xml:space="preserve">  5 ) MEM-URE-0010 JR-26-05-059 Support Stacker 1 URETHANE GREEN 60A</t>
  </si>
  <si>
    <t xml:space="preserve">  4 ) MEM-MCN-0019 JR-26-05-059 Gripper Support (MC NYLON BLUE)</t>
  </si>
  <si>
    <t xml:space="preserve">  3 ) MEM-MCN-0018 JR-26-05-059 Gripper Support Bottom MC NYLON BLUE</t>
  </si>
  <si>
    <t xml:space="preserve">  2 ) MEM-MCN-0017 JR-26-05-059 AJ Gripper Top (MC NYLON BLUE)</t>
  </si>
  <si>
    <t xml:space="preserve">  1 ) MEM-MCN-0016 JR-26-05-059 AJ Gripper Bottom (MC NYLON BLUE)</t>
  </si>
  <si>
    <t>PO69-691</t>
  </si>
  <si>
    <t xml:space="preserve">  2 ) MEP-SUS-0018 SUS304 (สแตนเลสแผ่น) T2MM.X4FT.X8FT.(2B)</t>
  </si>
  <si>
    <t>JR-26-04-045/PR69-460/MODIFY (SVS 1)</t>
  </si>
  <si>
    <t xml:space="preserve">  1 ) MEP-SUS-0017 SUS304 (สแตนเลสแผ่น) T1.5MM.X4FT.X8FT.(2B)</t>
  </si>
  <si>
    <t>PO69-684</t>
  </si>
  <si>
    <t xml:space="preserve">  2 ) MEM-BRA-0007 DWG No:JR-25-10-108-006-304_R2 (BRASS)</t>
  </si>
  <si>
    <t>JR-25-10-108/PR69-454/FCC</t>
  </si>
  <si>
    <t xml:space="preserve">  1 ) MEM-BRA-0006 DWG No:JR-25-10-108-006-304_R1 (BRASS)</t>
  </si>
  <si>
    <t>PO69-702</t>
  </si>
  <si>
    <t>JR-25-10-108/PR69-466/FCC</t>
  </si>
  <si>
    <t>PO69-598</t>
  </si>
  <si>
    <t>4 ) SVP-DEL-0001 ค่าส่ง Delivery</t>
  </si>
  <si>
    <t xml:space="preserve">Shenzhen HONGSHENG Dingsheng Precision Technology Co.,Ltd </t>
  </si>
  <si>
    <t xml:space="preserve">  3 ) SUP-END-0045 END MILL CARBIDE 4FL M12x35x12x75  (จีน)</t>
  </si>
  <si>
    <t xml:space="preserve">  2 ) SUP-END-0044 END MILL CARBIDE 4FL M10x30x10x75  (จีน)</t>
  </si>
  <si>
    <t xml:space="preserve">  1 ) SUP-END-0042 END MILL CARBIDE 4FL M6x15x6x50  (จีน)</t>
  </si>
  <si>
    <t>PO69-683</t>
  </si>
  <si>
    <t xml:space="preserve">  4 ) SUP-GAS-0002 GAS OXYGEN (O2) ออกซิเจน 6.0 คิว</t>
  </si>
  <si>
    <t xml:space="preserve">  3 ) SUP-GAS-0004 GAS ARGON อาร์กอน 6.0 คิว</t>
  </si>
  <si>
    <t xml:space="preserve">  2 ) SUP-GAS-0003 GAS CARBON DIOXIDE (CO2) คาร์บอนไดออกไซด์ 6.0 คิว</t>
  </si>
  <si>
    <t>รับของเอง</t>
  </si>
  <si>
    <t>PO69-671</t>
  </si>
  <si>
    <t xml:space="preserve">  2 ) FGD-DEL-DRL-02 POWER SUPPLY DRL-24V240W1EN DELTA</t>
  </si>
  <si>
    <t>ทีเอ็นกรุ๊ป คอร์ปอเรชั่น จำกัด (มหาชน)</t>
  </si>
  <si>
    <t>JR-26-06-062/PR69-446/CH.PIBOON</t>
  </si>
  <si>
    <t xml:space="preserve">  1 ) FGD-DEL-DRL-01 POWER SUPPLY DRL-24V120W1EN DELTA</t>
  </si>
  <si>
    <t>รอ Confirm วันเข้าหน้างานลูกค้า</t>
  </si>
  <si>
    <t>PO69-492</t>
  </si>
  <si>
    <t xml:space="preserve">  1 ) 5150-43 ค่าขนส่ง 6 ล้อตู้ลิฟท์ ขนงานจาก Robot ไป Donaldson</t>
  </si>
  <si>
    <t>แอคทีฟ.เอ็น แอนด์ เซอร์วิส มายด์ ทรานสปอร์ต จำกัด</t>
  </si>
  <si>
    <t>JR-26-02-015/PR69-322/DONALDSON (MODIFY)</t>
  </si>
  <si>
    <t>Ship Date : 22/04/2026</t>
  </si>
  <si>
    <t>PO69-493</t>
  </si>
  <si>
    <t xml:space="preserve">  2 ) FGD-APP-EXT-01 EXTERNAL S-EM-R-U-2VE1/2BS-B-W/I-W/O</t>
  </si>
  <si>
    <t>Effecto, Inc.</t>
  </si>
  <si>
    <t>JR-26-04-039/PR69-317/AAT</t>
  </si>
  <si>
    <t xml:space="preserve">  1 ) FGD-APP-MOD-16 MODULE S-EM-R-E-SCM-BP</t>
  </si>
  <si>
    <t>Ship Date : 20/05/2026</t>
  </si>
  <si>
    <t>PO69-408</t>
  </si>
  <si>
    <t xml:space="preserve">  3 ) FGD-APP-ERE-04 ER160-PNP-100-E2-0-C0402</t>
  </si>
  <si>
    <t xml:space="preserve">Effecto, Inc. </t>
  </si>
  <si>
    <t>JR-26-03-027/PR69-271/AAT</t>
  </si>
  <si>
    <t xml:space="preserve">  2 ) FGD-APP-PRO-03 PROBE MALE HSS120306230A1502</t>
  </si>
  <si>
    <t xml:space="preserve">  1 ) FGD-APP-PRO-12 PROBE, MALE UH SPRING FORCE GOLD</t>
  </si>
  <si>
    <t>PO69-676</t>
  </si>
  <si>
    <t xml:space="preserve">  1 ) MES-FIT-0228 MALE UNION FITTING 1/4^x1/8^(ข้อต่อตาไก่)</t>
  </si>
  <si>
    <t>PO69-670</t>
  </si>
  <si>
    <t xml:space="preserve">  1 ) SUP-SPL-0013 สแตนเลสแผ่น (SUS304) 3x1220x2440mm. 2B</t>
  </si>
  <si>
    <t>PO69-667</t>
  </si>
  <si>
    <t xml:space="preserve">  1 ) 5150-43 ค่าขนส่ง 6 ล้อเปิดข้าง จากโรบอท ไป สยามสตีล</t>
  </si>
  <si>
    <t xml:space="preserve">อภิสิทธิ์ แสนเศษ </t>
  </si>
  <si>
    <t>JR-24-04-021/PR69-439/TEI (Palletizing)</t>
  </si>
  <si>
    <t>PO69-669</t>
  </si>
  <si>
    <t xml:space="preserve"> 1 ) MES-SCR-0170 ORINGS EA-NVA100 ECONOMY (MISUMI)        </t>
  </si>
  <si>
    <t xml:space="preserve">JR-25-12-140/PR69-441/T.C.UNION          </t>
  </si>
  <si>
    <t>PO69-664</t>
  </si>
  <si>
    <t xml:space="preserve"> 12 ) MES-SCR-0154 SCREW สกรูหัวหกเหลี่ยม (SUS) M6x20</t>
  </si>
  <si>
    <t>JR-26-02-015/PR69-435/DONALDSON(NPI 1)</t>
  </si>
  <si>
    <t xml:space="preserve"> 11 ) MES-SCR-0217 SCREW สกรูหัวหกเหลี่ยม (SUS) M6x15</t>
  </si>
  <si>
    <t xml:space="preserve"> 10 ) MES-SCR-0173 SCREW สกรูหัวหกเหลี่ยม (SUS) M6x12</t>
  </si>
  <si>
    <t xml:space="preserve">  9 ) MES-SCR-0216 SCREW สกรูหัวหกเหลี่ยม (SUS) M6x10</t>
  </si>
  <si>
    <t xml:space="preserve">  8 ) MES-SCR-0159 SCREW สกรูหัวหกเหลี่ยม (SUS) M5x15</t>
  </si>
  <si>
    <t xml:space="preserve">  7 ) MES-SCR-0215 SCREW สกรูหัวหกเหลี่ยม (SUS) M5x12</t>
  </si>
  <si>
    <t xml:space="preserve">  6 ) MES-SCR-0214 SCREW สกรูหัวหกเหลี่ยม (SUS) M5x10</t>
  </si>
  <si>
    <t xml:space="preserve">  5 ) MES-SCR-0170 SCREW สกรูหัวหกเหลี่ยม (SUS) M4x20</t>
  </si>
  <si>
    <t xml:space="preserve">  4 ) MES-SCR-0213 SCREW สกรูหัวหกเหลี่ยม (SUS) M4x15</t>
  </si>
  <si>
    <t xml:space="preserve">  3 ) MES-SCR-0212 SCREW สกรูหัวหกเหลี่ยม (SUS) M4x12</t>
  </si>
  <si>
    <t xml:space="preserve">  2 ) MES-SCR-0178 SCREW สกรูหัวหกเหลี่ยม (SUS) M4x10</t>
  </si>
  <si>
    <t xml:space="preserve">  1 ) MES-SCR-0163 SCREW สกรูหัวหกเหลี่ยม (SUS) M4x8</t>
  </si>
  <si>
    <t>PO69-644</t>
  </si>
  <si>
    <t xml:space="preserve">  2 ) MEM-ALU-0120 JR-26-XXX-070-009-B (AL6061)+Clear anodize</t>
  </si>
  <si>
    <t>JR-26-04-044/PR69-421/DONALDSON(NPI 2)</t>
  </si>
  <si>
    <t xml:space="preserve">  1 ) MEM-ALU-0119 JR-26-XXX-070-004-B (AL6061)+Clear anodize</t>
  </si>
  <si>
    <t>PO69-643</t>
  </si>
  <si>
    <t xml:space="preserve">  3 ) MEM-ALU-0118 JR-26-04-045-012-003-A (AL6061)+Black anodize</t>
  </si>
  <si>
    <t>JR-26-04-045/PR69-419/MODIFY (SVS 1)</t>
  </si>
  <si>
    <t xml:space="preserve">  2 ) MEM-ALU-0117 JR-26-04-045-012-002-A (AL6061)+Black anodize</t>
  </si>
  <si>
    <t xml:space="preserve">  1 ) MEM-ALU-0116 JR-26-04-045-012-001-A (AL6061)+Black anodize</t>
  </si>
  <si>
    <t>PO69-026</t>
  </si>
  <si>
    <t xml:space="preserve">  4 ) MES-TIM-0023 TIMING 3rd axis timing belt (VS050A1)</t>
  </si>
  <si>
    <t>JR-26-01-001/PR69-009/AB FOOD</t>
  </si>
  <si>
    <t xml:space="preserve">  3 ) SVP-TRA-0001 Transportation fee 1</t>
  </si>
  <si>
    <t xml:space="preserve">  2 ) SVP-INS-0001 Labor 1</t>
  </si>
  <si>
    <t xml:space="preserve">  1 ) SVP-ENG-0001 Basic charge1 (Robot/Controller)</t>
  </si>
  <si>
    <t>PO69-022</t>
  </si>
  <si>
    <t xml:space="preserve">  5 ) MES-GRE-0003 Harmonic Grease 4B No.2 (0.5kg.)</t>
  </si>
  <si>
    <t xml:space="preserve">  4 ) MES-DRI-0007 6th axis harmonic drive kit</t>
  </si>
  <si>
    <t>Lead time ของ 2.5 month</t>
  </si>
  <si>
    <t>รองานชุบเสร็จค่อยไปรับ</t>
  </si>
  <si>
    <t xml:space="preserve">  2 ) 5150-43 ค่าขนส่ง 6 ล้อเปิดข้าง จากสยามสตีล กลับ โรบอท</t>
  </si>
  <si>
    <t>Lead time 7 days</t>
  </si>
  <si>
    <t>PO69-628</t>
  </si>
  <si>
    <t xml:space="preserve">  2 ) ELS-LIG-0013 LED BAR LIGHT  VLTX3D300X29R5W-LP-24V</t>
  </si>
  <si>
    <t>Shanghai Weilang Technology Co.,Ltd.</t>
  </si>
  <si>
    <t>JR-26-04-044/PR69-411/DONALDSON(NPI 2)</t>
  </si>
  <si>
    <t xml:space="preserve">  1 ) ELS-LIG-0012 LED RING LIGHT  VLHXA30D120R5W-24V</t>
  </si>
  <si>
    <t>PO69-627</t>
  </si>
  <si>
    <t xml:space="preserve">  3 ) ELS-LIG-0017 LED RING LIGHT  VLHXA30D120R5W-24V</t>
  </si>
  <si>
    <t>JR-26-04-045/PR69-409/MODIFY (SVS 1)</t>
  </si>
  <si>
    <t xml:space="preserve">  2 ) ELS-LIG-0016 LED DOME LIGHT  VLYKBWGD165W-40MM-TK-24V</t>
  </si>
  <si>
    <t xml:space="preserve">  1 ) ELS-LIG-0014 LED BACKLINGHT  VLYKIDTD150W-25MM-TK-24V</t>
  </si>
  <si>
    <t>PO69-152</t>
  </si>
  <si>
    <t xml:space="preserve">  2 ) MES-FRM-0001 โครงเครื่องรับเครื่องชั่ง W3000xL3000xH2500mm</t>
  </si>
  <si>
    <t>นิวล็อง (ประเทศไทย) จำกัด</t>
  </si>
  <si>
    <t>JR-25-12-140/PR69-084/T.C.UNION</t>
  </si>
  <si>
    <t xml:space="preserve">  1 ) MES-WEI-0005 เครื่องชั่งบรรจุ รุ่น SPB แบบสกรูคู่ 2ถัง 20-50KG.</t>
  </si>
  <si>
    <t>PO69-773</t>
  </si>
  <si>
    <t xml:space="preserve">  1 ) SUP-GAU-0006 REGULATOR LPG BOXING(TAT00011378)เกจ์ปรับแรงดัน</t>
  </si>
  <si>
    <t>ไทย ออล ทูลส์ จำกัด</t>
  </si>
  <si>
    <t>JR-25-07-075/PR69-507/CHROMALLOY</t>
  </si>
  <si>
    <t>PO69-708</t>
  </si>
  <si>
    <t>ห่อ</t>
  </si>
  <si>
    <t xml:space="preserve">  1 ) SUF-STA-0554 Tissue กระดาษทิชชูแบบแผ่น Neno 4 ชั้น(360แผ่น/ห่อ)</t>
  </si>
  <si>
    <t xml:space="preserve">ทิชชู่ชลบุรี </t>
  </si>
  <si>
    <t>PO69-672</t>
  </si>
  <si>
    <t xml:space="preserve">  1 ) MES-SOL-0089 SOLENOID AIR VALVE 4V22008B (AIRTAC)</t>
  </si>
  <si>
    <t>JR-25-12-140/PR69-445/T.C.UNION</t>
  </si>
  <si>
    <t>PO69-689</t>
  </si>
  <si>
    <t xml:space="preserve">  1 ) MEM-PEK-0001 DWG.NO.JR-25-10-108-002-102 (PEEK)</t>
  </si>
  <si>
    <t>JR-25-10-108/PR69-459/FCC</t>
  </si>
  <si>
    <t>PO69-658</t>
  </si>
  <si>
    <t xml:space="preserve">  3 ) MEM-SSS-0100 JR-25-10-108-011-207 (S45C)+EN</t>
  </si>
  <si>
    <t>JR-25-10-108/PR69-432/FCC</t>
  </si>
  <si>
    <t xml:space="preserve">  2 ) MEM-SSS-0101 JR-25-10-108-011-206 (SS400)+EN</t>
  </si>
  <si>
    <t xml:space="preserve">  1 ) MEM-SSS-0099 JR-25-10-108-011-201 (SS400)+EN</t>
  </si>
  <si>
    <t>โอนจ่าย 16/6 จ่ายแล้วไปรับของ</t>
  </si>
  <si>
    <t>PO69-681</t>
  </si>
  <si>
    <t xml:space="preserve">  1 ) ELS-TRY-0002 HDG-BFR 100x65x3000 (Hot Dip Galvanized) Basor</t>
  </si>
  <si>
    <t>ซิกม่าแอคท์ จำกัด</t>
  </si>
  <si>
    <t>JR-25-12-140/PR69-451/T.C.UNION</t>
  </si>
  <si>
    <t>PO69-565</t>
  </si>
  <si>
    <t xml:space="preserve">  1 ) ELS-CON-0156 POSITION CONTROLLER PCON-CB-35PSA-CC-0-0-ABU IAI</t>
  </si>
  <si>
    <t>นิจิเดน เทรดดิ้ง (ไทยแลนด์) จำกัด</t>
  </si>
  <si>
    <t xml:space="preserve"> 10 ) SUF-STA-0120 ถุงขยะ 18x22 Black (1กก.)</t>
  </si>
  <si>
    <t xml:space="preserve">  1 ) SUF-STA-0121 ถุงขยะ 24x28 Black (1กก.)</t>
  </si>
  <si>
    <t xml:space="preserve">  3 ) SUF-STA-0485 ถุงขยะ 40x60 Black (1กก.)</t>
  </si>
  <si>
    <t>PO รอ Approve</t>
  </si>
  <si>
    <t>รอเคลียร์</t>
  </si>
  <si>
    <t xml:space="preserve"> PU</t>
  </si>
  <si>
    <t>Section:</t>
  </si>
  <si>
    <t>ส่งของเรียบร้อยแล้ว</t>
  </si>
  <si>
    <t>Update PO ถึง 13/02/2026</t>
  </si>
  <si>
    <t xml:space="preserve"> Ms.Urai.B</t>
  </si>
  <si>
    <t>Created by :</t>
  </si>
  <si>
    <t>Confirm วันส่งของแล้ว</t>
  </si>
  <si>
    <t xml:space="preserve">รายงานใบสั่งซื้อ เรียงตามวันที่ (PO) </t>
  </si>
  <si>
    <t>รอ Confirm วันส่งของที่แน่นอน</t>
  </si>
  <si>
    <t>บริษัท โรบอท ซิสเต็ม จำกัด</t>
  </si>
  <si>
    <t>Cost Saving Jun 2026</t>
  </si>
  <si>
    <t>(Repeat product)</t>
  </si>
  <si>
    <t>Item</t>
  </si>
  <si>
    <t>Current Price list</t>
  </si>
  <si>
    <t>Jun 2026</t>
  </si>
  <si>
    <t>New price#1</t>
  </si>
  <si>
    <t>Current price 
amount</t>
  </si>
  <si>
    <t>Save amount</t>
  </si>
  <si>
    <t>% Save</t>
  </si>
  <si>
    <t>INVERTER TAUAB-ACS180-04S-04A0-4 (ABB)</t>
  </si>
  <si>
    <t>INVERTER TAUAB-ACS180-04S-02A6-4 (ABB)</t>
  </si>
  <si>
    <t xml:space="preserve">เมาส์ไร้สาย LOGITECH M331 SILENT PLUS             </t>
  </si>
  <si>
    <t>กระดาษ 70g A4 Smartist 500p</t>
  </si>
  <si>
    <t>SPACER Y400-D SMC</t>
  </si>
  <si>
    <t>PRESSURE SWITCH IS10M-40-1-D SMC</t>
  </si>
  <si>
    <t>PLAIN WASHER แหวนอีแปะ (ชุบขาว) M8</t>
  </si>
  <si>
    <t>SPRING WASHER แหวนสปริง (ชุบขาว) M8</t>
  </si>
  <si>
    <t>Total's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</si>
</sst>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%"/>
    <numFmt numFmtId="165" formatCode="[$-101041E]d\ mmm\ yy;@"/>
    <numFmt numFmtId="166" formatCode="[$-101041E]d\ mmmm\ yyyy;@"/>
    <numFmt numFmtId="167" formatCode="_(* #,##0.00_);_(* \(#,##0.00\);_(* &quot;-&quot;??_);_(@_)"/>
    <numFmt numFmtId="168" formatCode="dd/mm/yy"/>
    <numFmt numFmtId="169" formatCode="_-* #,##0.0_-;\-* #,##0.0_-;_-* &quot;-&quot;??_-;_-@_-"/>
    <numFmt numFmtId="170" formatCode="B1mmm\-yy"/>
  </numFmts>
  <fonts count="111"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4"/>
      <name val="Angsana New"/>
      <family val="1"/>
    </font>
    <font>
      <b/>
      <sz val="14"/>
      <name val="Angsana New"/>
      <family val="1"/>
    </font>
    <font>
      <b/>
      <sz val="20"/>
      <name val="Angsana New"/>
      <family val="1"/>
    </font>
    <font>
      <b/>
      <sz val="16"/>
      <name val="Angsana New"/>
      <family val="1"/>
    </font>
    <font>
      <b/>
      <sz val="16"/>
      <name val="Cordia New"/>
      <family val="2"/>
      <charset val="222"/>
    </font>
    <font>
      <sz val="16"/>
      <name val="Angsana New"/>
      <family val="1"/>
    </font>
    <font>
      <sz val="16"/>
      <name val="Cordia New"/>
      <family val="2"/>
      <charset val="222"/>
    </font>
    <font>
      <b/>
      <sz val="14"/>
      <name val="Cordia New"/>
      <family val="2"/>
      <charset val="222"/>
    </font>
    <font>
      <b/>
      <u/>
      <sz val="16"/>
      <name val="Cordia New"/>
      <family val="2"/>
      <charset val="222"/>
    </font>
    <font>
      <b/>
      <u/>
      <sz val="16"/>
      <color theme="1"/>
      <name val="Cordia New"/>
      <family val="2"/>
      <charset val="222"/>
    </font>
    <font>
      <b/>
      <sz val="16"/>
      <color theme="1"/>
      <name val="Cordia New"/>
      <family val="2"/>
      <charset val="222"/>
    </font>
    <font>
      <b/>
      <sz val="16"/>
      <color rgb="FFFF0000"/>
      <name val="Cordia New"/>
      <family val="2"/>
      <charset val="222"/>
    </font>
    <font>
      <b/>
      <sz val="16"/>
      <color indexed="12"/>
      <name val="Cordia New"/>
      <family val="2"/>
      <charset val="222"/>
    </font>
    <font>
      <sz val="16"/>
      <color rgb="FFFF0000"/>
      <name val="Cordia New"/>
      <family val="2"/>
      <charset val="222"/>
    </font>
    <font>
      <b/>
      <u/>
      <sz val="16"/>
      <name val="Angsana New"/>
      <family val="1"/>
    </font>
    <font>
      <sz val="12"/>
      <name val="Angsana New"/>
      <family val="1"/>
      <charset val="222"/>
    </font>
    <font>
      <sz val="16"/>
      <color theme="1"/>
      <name val="Angsana New"/>
      <family val="1"/>
    </font>
    <font>
      <b/>
      <sz val="16"/>
      <name val="Cordia New"/>
      <family val="2"/>
    </font>
    <font>
      <b/>
      <sz val="16"/>
      <color rgb="FF002060"/>
      <name val="Cordia New"/>
      <family val="2"/>
    </font>
    <font>
      <b/>
      <sz val="16"/>
      <color rgb="FF002060"/>
      <name val="Cordia New"/>
      <family val="2"/>
      <charset val="222"/>
    </font>
    <font>
      <b/>
      <sz val="14"/>
      <name val="Cordia New"/>
      <family val="2"/>
    </font>
    <font>
      <sz val="14"/>
      <name val="Angsana New"/>
      <family val="1"/>
      <charset val="222"/>
    </font>
    <font>
      <b/>
      <u/>
      <sz val="16"/>
      <color rgb="FF002060"/>
      <name val="Cordia New"/>
      <family val="2"/>
    </font>
    <font>
      <b/>
      <sz val="16"/>
      <color rgb="FF0070C0"/>
      <name val="Angsana New"/>
      <family val="1"/>
    </font>
    <font>
      <b/>
      <sz val="18"/>
      <color rgb="FFC00000"/>
      <name val="Angsana New"/>
      <family val="1"/>
    </font>
    <font>
      <b/>
      <sz val="16"/>
      <color theme="5" tint="-0.249977111117893"/>
      <name val="Angsana New"/>
      <family val="1"/>
    </font>
    <font>
      <b/>
      <sz val="18"/>
      <color rgb="FF0070C0"/>
      <name val="Angsana New"/>
      <family val="1"/>
    </font>
    <font>
      <b/>
      <sz val="18"/>
      <name val="Angsana New"/>
      <family val="1"/>
    </font>
    <font>
      <b/>
      <sz val="18"/>
      <color theme="5" tint="-0.249977111117893"/>
      <name val="Angsana New"/>
      <family val="1"/>
    </font>
    <font>
      <sz val="16"/>
      <color rgb="FF0070C0"/>
      <name val="Angsana New"/>
      <family val="1"/>
    </font>
    <font>
      <sz val="16"/>
      <color theme="5" tint="-0.249977111117893"/>
      <name val="Angsana New"/>
      <family val="1"/>
    </font>
    <font>
      <sz val="16"/>
      <color rgb="FFFF0000"/>
      <name val="Angsana New"/>
      <family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8"/>
      <color rgb="FF0070C0"/>
      <name val="Angsana New"/>
      <family val="1"/>
    </font>
    <font>
      <b/>
      <sz val="16"/>
      <color rgb="FFC00000"/>
      <name val="Angsana New"/>
      <family val="1"/>
    </font>
    <font>
      <b/>
      <sz val="11"/>
      <color theme="1"/>
      <name val="Tahoma"/>
      <family val="2"/>
    </font>
    <font>
      <sz val="11"/>
      <color theme="4"/>
      <name val="Tahoma"/>
      <family val="2"/>
    </font>
    <font>
      <sz val="11"/>
      <color theme="1"/>
      <name val="Tahoma"/>
      <family val="2"/>
    </font>
    <font>
      <sz val="11"/>
      <color rgb="FFC00000"/>
      <name val="Tahoma"/>
      <family val="2"/>
    </font>
    <font>
      <b/>
      <sz val="11"/>
      <name val="Tahoma"/>
      <family val="2"/>
    </font>
    <font>
      <b/>
      <sz val="11"/>
      <color rgb="FFC00000"/>
      <name val="Tahoma"/>
      <family val="2"/>
    </font>
    <font>
      <sz val="11"/>
      <name val="Tahoma"/>
      <family val="2"/>
    </font>
    <font>
      <u/>
      <sz val="11"/>
      <color theme="10"/>
      <name val="Calibri"/>
      <family val="2"/>
      <charset val="222"/>
      <scheme val="minor"/>
    </font>
    <font>
      <u/>
      <sz val="11"/>
      <color theme="1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1">
    <xf numFmtId="0" fontId="0" fillId="0" borderId="0"/>
    <xf numFmtId="0" fontId="64" fillId="0" borderId="0"/>
    <xf numFmtId="0" fontId="64" fillId="0" borderId="0"/>
    <xf numFmtId="0" fontId="62" fillId="0" borderId="0"/>
    <xf numFmtId="0" fontId="63" fillId="0" borderId="0"/>
    <xf numFmtId="43" fontId="62" fillId="0" borderId="0" applyFont="0" applyFill="0" applyBorder="0" applyAlignment="0" applyProtection="0"/>
    <xf numFmtId="0" fontId="61" fillId="0" borderId="0"/>
    <xf numFmtId="43" fontId="61" fillId="0" borderId="0" applyFont="0" applyFill="0" applyBorder="0" applyAlignment="0" applyProtection="0"/>
    <xf numFmtId="4" fontId="65" fillId="0" borderId="0" applyFill="0" applyBorder="0" applyProtection="0">
      <alignment horizontal="left" vertical="center"/>
    </xf>
    <xf numFmtId="0" fontId="60" fillId="0" borderId="0"/>
    <xf numFmtId="0" fontId="59" fillId="0" borderId="0"/>
    <xf numFmtId="43" fontId="59" fillId="0" borderId="0" applyFont="0" applyFill="0" applyBorder="0" applyAlignment="0" applyProtection="0"/>
    <xf numFmtId="165" fontId="63" fillId="0" borderId="0"/>
    <xf numFmtId="165" fontId="63" fillId="0" borderId="0"/>
    <xf numFmtId="165" fontId="58" fillId="0" borderId="0"/>
    <xf numFmtId="0" fontId="57" fillId="0" borderId="0"/>
    <xf numFmtId="0" fontId="57" fillId="0" borderId="0"/>
    <xf numFmtId="167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3" fillId="0" borderId="0"/>
    <xf numFmtId="43" fontId="65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43" fontId="6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51" fillId="0" borderId="0"/>
    <xf numFmtId="9" fontId="51" fillId="0" borderId="0" applyFont="0" applyFill="0" applyBorder="0" applyAlignment="0" applyProtection="0"/>
    <xf numFmtId="0" fontId="50" fillId="0" borderId="0"/>
    <xf numFmtId="0" fontId="50" fillId="0" borderId="0"/>
    <xf numFmtId="167" fontId="50" fillId="0" borderId="0" applyFont="0" applyFill="0" applyBorder="0" applyAlignment="0" applyProtection="0"/>
    <xf numFmtId="0" fontId="49" fillId="0" borderId="0"/>
    <xf numFmtId="167" fontId="49" fillId="0" borderId="0" applyFont="0" applyFill="0" applyBorder="0" applyAlignment="0" applyProtection="0"/>
    <xf numFmtId="0" fontId="49" fillId="0" borderId="0"/>
    <xf numFmtId="9" fontId="49" fillId="0" borderId="0" applyFont="0" applyFill="0" applyBorder="0" applyAlignment="0" applyProtection="0"/>
    <xf numFmtId="0" fontId="48" fillId="0" borderId="0"/>
    <xf numFmtId="167" fontId="48" fillId="0" borderId="0" applyFont="0" applyFill="0" applyBorder="0" applyAlignment="0" applyProtection="0"/>
    <xf numFmtId="0" fontId="47" fillId="0" borderId="0"/>
    <xf numFmtId="167" fontId="47" fillId="0" borderId="0" applyFont="0" applyFill="0" applyBorder="0" applyAlignment="0" applyProtection="0"/>
    <xf numFmtId="0" fontId="46" fillId="0" borderId="0"/>
    <xf numFmtId="167" fontId="46" fillId="0" borderId="0" applyFont="0" applyFill="0" applyBorder="0" applyAlignment="0" applyProtection="0"/>
    <xf numFmtId="0" fontId="45" fillId="0" borderId="0"/>
    <xf numFmtId="167" fontId="45" fillId="0" borderId="0" applyFont="0" applyFill="0" applyBorder="0" applyAlignment="0" applyProtection="0"/>
    <xf numFmtId="0" fontId="44" fillId="0" borderId="0"/>
    <xf numFmtId="43" fontId="44" fillId="0" borderId="0" applyFont="0" applyFill="0" applyBorder="0" applyAlignment="0" applyProtection="0"/>
    <xf numFmtId="0" fontId="44" fillId="0" borderId="0"/>
    <xf numFmtId="9" fontId="44" fillId="0" borderId="0" applyFont="0" applyFill="0" applyBorder="0" applyAlignment="0" applyProtection="0"/>
    <xf numFmtId="0" fontId="43" fillId="0" borderId="0"/>
    <xf numFmtId="43" fontId="43" fillId="0" borderId="0" applyFont="0" applyFill="0" applyBorder="0" applyAlignment="0" applyProtection="0"/>
    <xf numFmtId="0" fontId="43" fillId="0" borderId="0"/>
    <xf numFmtId="9" fontId="43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8" fillId="0" borderId="0"/>
    <xf numFmtId="9" fontId="38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0" fontId="37" fillId="0" borderId="0"/>
    <xf numFmtId="9" fontId="37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9" fontId="35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09" fillId="0" borderId="0" applyNumberFormat="0" applyFill="0" applyBorder="0" applyAlignment="0" applyProtection="0"/>
  </cellStyleXfs>
  <cellXfs count="280">
    <xf numFmtId="0" fontId="0" fillId="0" borderId="0" xfId="0"/>
    <xf numFmtId="165" fontId="66" fillId="2" borderId="14" xfId="12" applyFont="1" applyFill="1" applyBorder="1" applyAlignment="1">
      <alignment vertical="center"/>
    </xf>
    <xf numFmtId="165" fontId="66" fillId="2" borderId="15" xfId="12" applyFont="1" applyFill="1" applyBorder="1" applyAlignment="1">
      <alignment vertical="center"/>
    </xf>
    <xf numFmtId="165" fontId="66" fillId="2" borderId="0" xfId="12" applyFont="1" applyFill="1" applyAlignment="1">
      <alignment vertical="center"/>
    </xf>
    <xf numFmtId="165" fontId="66" fillId="2" borderId="16" xfId="12" applyFont="1" applyFill="1" applyBorder="1" applyAlignment="1">
      <alignment vertical="center"/>
    </xf>
    <xf numFmtId="165" fontId="65" fillId="2" borderId="17" xfId="12" applyFont="1" applyFill="1" applyBorder="1" applyAlignment="1">
      <alignment vertical="center"/>
    </xf>
    <xf numFmtId="165" fontId="65" fillId="2" borderId="18" xfId="12" applyFont="1" applyFill="1" applyBorder="1" applyAlignment="1">
      <alignment vertical="center"/>
    </xf>
    <xf numFmtId="165" fontId="66" fillId="2" borderId="6" xfId="12" applyFont="1" applyFill="1" applyBorder="1" applyAlignment="1">
      <alignment horizontal="center" vertical="center"/>
    </xf>
    <xf numFmtId="165" fontId="65" fillId="2" borderId="0" xfId="12" applyFont="1" applyFill="1" applyAlignment="1">
      <alignment vertical="center"/>
    </xf>
    <xf numFmtId="165" fontId="69" fillId="2" borderId="14" xfId="12" applyFont="1" applyFill="1" applyBorder="1" applyAlignment="1">
      <alignment vertical="center"/>
    </xf>
    <xf numFmtId="165" fontId="69" fillId="2" borderId="15" xfId="12" applyFont="1" applyFill="1" applyBorder="1" applyAlignment="1">
      <alignment vertical="center"/>
    </xf>
    <xf numFmtId="165" fontId="69" fillId="2" borderId="15" xfId="12" applyFont="1" applyFill="1" applyBorder="1" applyAlignment="1">
      <alignment horizontal="center" vertical="center"/>
    </xf>
    <xf numFmtId="0" fontId="69" fillId="2" borderId="15" xfId="12" applyNumberFormat="1" applyFont="1" applyFill="1" applyBorder="1" applyAlignment="1">
      <alignment horizontal="center" vertical="center"/>
    </xf>
    <xf numFmtId="165" fontId="70" fillId="2" borderId="15" xfId="12" applyFont="1" applyFill="1" applyBorder="1" applyAlignment="1">
      <alignment horizontal="center" vertical="center"/>
    </xf>
    <xf numFmtId="165" fontId="68" fillId="2" borderId="4" xfId="12" applyFont="1" applyFill="1" applyBorder="1" applyAlignment="1">
      <alignment horizontal="center" vertical="center"/>
    </xf>
    <xf numFmtId="165" fontId="69" fillId="2" borderId="16" xfId="12" applyFont="1" applyFill="1" applyBorder="1" applyAlignment="1">
      <alignment vertical="center"/>
    </xf>
    <xf numFmtId="165" fontId="69" fillId="2" borderId="0" xfId="12" applyFont="1" applyFill="1" applyAlignment="1">
      <alignment vertical="center"/>
    </xf>
    <xf numFmtId="165" fontId="69" fillId="2" borderId="0" xfId="12" applyFont="1" applyFill="1" applyAlignment="1">
      <alignment horizontal="center" vertical="center"/>
    </xf>
    <xf numFmtId="165" fontId="71" fillId="2" borderId="0" xfId="12" applyFont="1" applyFill="1" applyAlignment="1">
      <alignment vertical="center"/>
    </xf>
    <xf numFmtId="0" fontId="69" fillId="2" borderId="0" xfId="12" applyNumberFormat="1" applyFont="1" applyFill="1" applyAlignment="1">
      <alignment horizontal="center" vertical="center"/>
    </xf>
    <xf numFmtId="165" fontId="70" fillId="2" borderId="0" xfId="12" applyFont="1" applyFill="1" applyAlignment="1">
      <alignment horizontal="center" vertical="center"/>
    </xf>
    <xf numFmtId="165" fontId="70" fillId="2" borderId="9" xfId="12" applyFont="1" applyFill="1" applyBorder="1" applyAlignment="1">
      <alignment vertical="center"/>
    </xf>
    <xf numFmtId="165" fontId="70" fillId="2" borderId="0" xfId="12" applyFont="1" applyFill="1" applyAlignment="1">
      <alignment vertical="center"/>
    </xf>
    <xf numFmtId="165" fontId="72" fillId="2" borderId="17" xfId="12" applyFont="1" applyFill="1" applyBorder="1" applyAlignment="1">
      <alignment vertical="center"/>
    </xf>
    <xf numFmtId="165" fontId="72" fillId="2" borderId="18" xfId="12" applyFont="1" applyFill="1" applyBorder="1" applyAlignment="1">
      <alignment vertical="center"/>
    </xf>
    <xf numFmtId="165" fontId="72" fillId="2" borderId="18" xfId="12" applyFont="1" applyFill="1" applyBorder="1" applyAlignment="1">
      <alignment horizontal="center" vertical="center"/>
    </xf>
    <xf numFmtId="0" fontId="72" fillId="2" borderId="18" xfId="12" applyNumberFormat="1" applyFont="1" applyFill="1" applyBorder="1" applyAlignment="1">
      <alignment horizontal="center" vertical="center"/>
    </xf>
    <xf numFmtId="165" fontId="65" fillId="2" borderId="18" xfId="12" applyFont="1" applyFill="1" applyBorder="1" applyAlignment="1">
      <alignment horizontal="center" vertical="center"/>
    </xf>
    <xf numFmtId="165" fontId="69" fillId="2" borderId="0" xfId="12" applyFont="1" applyFill="1" applyAlignment="1">
      <alignment horizontal="left" vertical="center"/>
    </xf>
    <xf numFmtId="165" fontId="69" fillId="2" borderId="0" xfId="12" applyFont="1" applyFill="1" applyAlignment="1">
      <alignment horizontal="right" vertical="center"/>
    </xf>
    <xf numFmtId="165" fontId="71" fillId="2" borderId="0" xfId="12" applyFont="1" applyFill="1" applyAlignment="1">
      <alignment horizontal="left" vertical="center"/>
    </xf>
    <xf numFmtId="0" fontId="69" fillId="2" borderId="0" xfId="12" applyNumberFormat="1" applyFont="1" applyFill="1" applyAlignment="1">
      <alignment horizontal="left" vertical="center"/>
    </xf>
    <xf numFmtId="165" fontId="70" fillId="2" borderId="0" xfId="12" applyFont="1" applyFill="1" applyAlignment="1">
      <alignment horizontal="left" vertical="center"/>
    </xf>
    <xf numFmtId="165" fontId="68" fillId="2" borderId="9" xfId="12" applyFont="1" applyFill="1" applyBorder="1" applyAlignment="1">
      <alignment horizontal="left" vertical="center"/>
    </xf>
    <xf numFmtId="165" fontId="69" fillId="3" borderId="12" xfId="12" applyFont="1" applyFill="1" applyBorder="1" applyAlignment="1">
      <alignment horizontal="center" vertical="center"/>
    </xf>
    <xf numFmtId="0" fontId="69" fillId="3" borderId="12" xfId="12" applyNumberFormat="1" applyFont="1" applyFill="1" applyBorder="1" applyAlignment="1">
      <alignment horizontal="center" vertical="center"/>
    </xf>
    <xf numFmtId="165" fontId="69" fillId="3" borderId="13" xfId="12" applyFont="1" applyFill="1" applyBorder="1" applyAlignment="1">
      <alignment horizontal="center" vertical="center"/>
    </xf>
    <xf numFmtId="165" fontId="69" fillId="3" borderId="21" xfId="12" applyFont="1" applyFill="1" applyBorder="1" applyAlignment="1">
      <alignment horizontal="center" vertical="center"/>
    </xf>
    <xf numFmtId="165" fontId="68" fillId="2" borderId="0" xfId="12" applyFont="1" applyFill="1" applyAlignment="1">
      <alignment horizontal="center" vertical="center"/>
    </xf>
    <xf numFmtId="165" fontId="69" fillId="2" borderId="20" xfId="13" applyFont="1" applyFill="1" applyBorder="1" applyAlignment="1">
      <alignment horizontal="left" vertical="center" wrapText="1"/>
    </xf>
    <xf numFmtId="3" fontId="73" fillId="0" borderId="12" xfId="13" applyNumberFormat="1" applyFont="1" applyBorder="1" applyAlignment="1">
      <alignment horizontal="center" vertical="center"/>
    </xf>
    <xf numFmtId="3" fontId="70" fillId="2" borderId="24" xfId="12" applyNumberFormat="1" applyFont="1" applyFill="1" applyBorder="1" applyAlignment="1">
      <alignment horizontal="left" vertical="center"/>
    </xf>
    <xf numFmtId="3" fontId="70" fillId="2" borderId="25" xfId="12" applyNumberFormat="1" applyFont="1" applyFill="1" applyBorder="1" applyAlignment="1">
      <alignment horizontal="left" vertical="center"/>
    </xf>
    <xf numFmtId="3" fontId="70" fillId="2" borderId="26" xfId="12" applyNumberFormat="1" applyFont="1" applyFill="1" applyBorder="1" applyAlignment="1">
      <alignment horizontal="left" vertical="center"/>
    </xf>
    <xf numFmtId="165" fontId="69" fillId="2" borderId="19" xfId="13" applyFont="1" applyFill="1" applyBorder="1" applyAlignment="1">
      <alignment horizontal="left" vertical="center"/>
    </xf>
    <xf numFmtId="3" fontId="73" fillId="2" borderId="12" xfId="13" applyNumberFormat="1" applyFont="1" applyFill="1" applyBorder="1" applyAlignment="1">
      <alignment horizontal="center" vertical="center"/>
    </xf>
    <xf numFmtId="0" fontId="73" fillId="2" borderId="12" xfId="13" applyNumberFormat="1" applyFont="1" applyFill="1" applyBorder="1" applyAlignment="1">
      <alignment horizontal="center" vertical="center"/>
    </xf>
    <xf numFmtId="3" fontId="73" fillId="2" borderId="13" xfId="13" applyNumberFormat="1" applyFont="1" applyFill="1" applyBorder="1" applyAlignment="1">
      <alignment horizontal="center" vertical="center"/>
    </xf>
    <xf numFmtId="165" fontId="75" fillId="2" borderId="19" xfId="13" applyFont="1" applyFill="1" applyBorder="1" applyAlignment="1">
      <alignment vertical="center"/>
    </xf>
    <xf numFmtId="165" fontId="75" fillId="2" borderId="22" xfId="13" applyFont="1" applyFill="1" applyBorder="1" applyAlignment="1">
      <alignment vertical="center"/>
    </xf>
    <xf numFmtId="9" fontId="75" fillId="2" borderId="12" xfId="13" applyNumberFormat="1" applyFont="1" applyFill="1" applyBorder="1" applyAlignment="1">
      <alignment horizontal="center" vertical="center"/>
    </xf>
    <xf numFmtId="165" fontId="70" fillId="2" borderId="0" xfId="13" applyFont="1" applyFill="1" applyAlignment="1">
      <alignment vertical="center"/>
    </xf>
    <xf numFmtId="165" fontId="77" fillId="2" borderId="19" xfId="12" applyFont="1" applyFill="1" applyBorder="1" applyAlignment="1">
      <alignment vertical="center"/>
    </xf>
    <xf numFmtId="165" fontId="77" fillId="2" borderId="20" xfId="12" applyFont="1" applyFill="1" applyBorder="1" applyAlignment="1">
      <alignment vertical="center"/>
    </xf>
    <xf numFmtId="165" fontId="68" fillId="2" borderId="0" xfId="12" applyFont="1" applyFill="1" applyAlignment="1">
      <alignment vertical="center"/>
    </xf>
    <xf numFmtId="1" fontId="77" fillId="2" borderId="16" xfId="12" applyNumberFormat="1" applyFont="1" applyFill="1" applyBorder="1" applyAlignment="1">
      <alignment vertical="center"/>
    </xf>
    <xf numFmtId="1" fontId="77" fillId="2" borderId="0" xfId="12" applyNumberFormat="1" applyFont="1" applyFill="1" applyAlignment="1">
      <alignment vertical="center"/>
    </xf>
    <xf numFmtId="1" fontId="70" fillId="2" borderId="0" xfId="12" applyNumberFormat="1" applyFont="1" applyFill="1" applyAlignment="1">
      <alignment horizontal="left" vertical="center"/>
    </xf>
    <xf numFmtId="1" fontId="70" fillId="2" borderId="9" xfId="12" applyNumberFormat="1" applyFont="1" applyFill="1" applyBorder="1" applyAlignment="1">
      <alignment horizontal="left" vertical="center"/>
    </xf>
    <xf numFmtId="1" fontId="68" fillId="2" borderId="0" xfId="12" applyNumberFormat="1" applyFont="1" applyFill="1" applyAlignment="1">
      <alignment vertical="center"/>
    </xf>
    <xf numFmtId="165" fontId="77" fillId="2" borderId="16" xfId="12" applyFont="1" applyFill="1" applyBorder="1" applyAlignment="1">
      <alignment vertical="center"/>
    </xf>
    <xf numFmtId="165" fontId="77" fillId="2" borderId="0" xfId="12" applyFont="1" applyFill="1" applyAlignment="1">
      <alignment vertical="center"/>
    </xf>
    <xf numFmtId="10" fontId="75" fillId="2" borderId="0" xfId="12" applyNumberFormat="1" applyFont="1" applyFill="1" applyAlignment="1">
      <alignment horizontal="center" vertical="center"/>
    </xf>
    <xf numFmtId="10" fontId="76" fillId="2" borderId="0" xfId="12" applyNumberFormat="1" applyFont="1" applyFill="1" applyAlignment="1">
      <alignment horizontal="center" vertical="center"/>
    </xf>
    <xf numFmtId="10" fontId="78" fillId="2" borderId="0" xfId="12" applyNumberFormat="1" applyFont="1" applyFill="1" applyAlignment="1">
      <alignment horizontal="center" vertical="center"/>
    </xf>
    <xf numFmtId="3" fontId="70" fillId="2" borderId="0" xfId="12" applyNumberFormat="1" applyFont="1" applyFill="1" applyAlignment="1">
      <alignment horizontal="left" vertical="center"/>
    </xf>
    <xf numFmtId="3" fontId="70" fillId="2" borderId="9" xfId="12" applyNumberFormat="1" applyFont="1" applyFill="1" applyBorder="1" applyAlignment="1">
      <alignment horizontal="left" vertical="center"/>
    </xf>
    <xf numFmtId="165" fontId="68" fillId="2" borderId="16" xfId="12" applyFont="1" applyFill="1" applyBorder="1" applyAlignment="1">
      <alignment vertical="center"/>
    </xf>
    <xf numFmtId="0" fontId="70" fillId="2" borderId="0" xfId="12" applyNumberFormat="1" applyFont="1" applyFill="1" applyAlignment="1">
      <alignment horizontal="center" vertical="center"/>
    </xf>
    <xf numFmtId="165" fontId="66" fillId="2" borderId="9" xfId="12" applyFont="1" applyFill="1" applyBorder="1" applyAlignment="1">
      <alignment horizontal="center" vertical="center"/>
    </xf>
    <xf numFmtId="165" fontId="70" fillId="2" borderId="16" xfId="12" applyFont="1" applyFill="1" applyBorder="1" applyAlignment="1">
      <alignment vertical="center"/>
    </xf>
    <xf numFmtId="165" fontId="79" fillId="2" borderId="16" xfId="12" applyFont="1" applyFill="1" applyBorder="1" applyAlignment="1">
      <alignment vertical="center"/>
    </xf>
    <xf numFmtId="0" fontId="68" fillId="4" borderId="5" xfId="12" applyNumberFormat="1" applyFont="1" applyFill="1" applyBorder="1" applyAlignment="1">
      <alignment horizontal="center"/>
    </xf>
    <xf numFmtId="0" fontId="80" fillId="0" borderId="28" xfId="12" applyNumberFormat="1" applyFont="1" applyBorder="1" applyAlignment="1">
      <alignment horizontal="center" vertical="top"/>
    </xf>
    <xf numFmtId="165" fontId="80" fillId="2" borderId="0" xfId="12" applyFont="1" applyFill="1" applyAlignment="1">
      <alignment vertical="center"/>
    </xf>
    <xf numFmtId="0" fontId="80" fillId="0" borderId="33" xfId="12" applyNumberFormat="1" applyFont="1" applyBorder="1" applyAlignment="1">
      <alignment horizontal="center" vertical="top"/>
    </xf>
    <xf numFmtId="0" fontId="80" fillId="0" borderId="8" xfId="12" applyNumberFormat="1" applyFont="1" applyBorder="1" applyAlignment="1">
      <alignment horizontal="left" vertical="top" wrapText="1"/>
    </xf>
    <xf numFmtId="0" fontId="80" fillId="0" borderId="18" xfId="12" applyNumberFormat="1" applyFont="1" applyBorder="1" applyAlignment="1">
      <alignment horizontal="left" vertical="top" wrapText="1"/>
    </xf>
    <xf numFmtId="0" fontId="80" fillId="0" borderId="7" xfId="12" applyNumberFormat="1" applyFont="1" applyBorder="1" applyAlignment="1">
      <alignment horizontal="left" vertical="top" wrapText="1"/>
    </xf>
    <xf numFmtId="0" fontId="80" fillId="0" borderId="18" xfId="12" applyNumberFormat="1" applyFont="1" applyBorder="1" applyAlignment="1">
      <alignment horizontal="left" vertical="top"/>
    </xf>
    <xf numFmtId="0" fontId="80" fillId="0" borderId="7" xfId="12" applyNumberFormat="1" applyFont="1" applyBorder="1" applyAlignment="1">
      <alignment horizontal="left" vertical="top"/>
    </xf>
    <xf numFmtId="166" fontId="80" fillId="0" borderId="18" xfId="12" applyNumberFormat="1" applyFont="1" applyBorder="1" applyAlignment="1">
      <alignment horizontal="center" vertical="top"/>
    </xf>
    <xf numFmtId="166" fontId="80" fillId="0" borderId="8" xfId="12" applyNumberFormat="1" applyFont="1" applyBorder="1" applyAlignment="1">
      <alignment horizontal="center" vertical="top"/>
    </xf>
    <xf numFmtId="166" fontId="80" fillId="0" borderId="7" xfId="12" applyNumberFormat="1" applyFont="1" applyBorder="1" applyAlignment="1">
      <alignment horizontal="center" vertical="top"/>
    </xf>
    <xf numFmtId="165" fontId="80" fillId="2" borderId="18" xfId="12" applyFont="1" applyFill="1" applyBorder="1" applyAlignment="1">
      <alignment horizontal="center" vertical="top"/>
    </xf>
    <xf numFmtId="165" fontId="80" fillId="2" borderId="6" xfId="12" applyFont="1" applyFill="1" applyBorder="1" applyAlignment="1">
      <alignment horizontal="center" vertical="top"/>
    </xf>
    <xf numFmtId="165" fontId="81" fillId="0" borderId="17" xfId="14" applyFont="1" applyBorder="1"/>
    <xf numFmtId="165" fontId="81" fillId="0" borderId="18" xfId="14" applyFont="1" applyBorder="1"/>
    <xf numFmtId="165" fontId="70" fillId="2" borderId="18" xfId="12" applyFont="1" applyFill="1" applyBorder="1" applyAlignment="1">
      <alignment horizontal="center" vertical="center"/>
    </xf>
    <xf numFmtId="0" fontId="70" fillId="2" borderId="18" xfId="12" applyNumberFormat="1" applyFont="1" applyFill="1" applyBorder="1" applyAlignment="1">
      <alignment horizontal="center" vertical="center"/>
    </xf>
    <xf numFmtId="165" fontId="65" fillId="2" borderId="0" xfId="12" applyFont="1" applyFill="1" applyAlignment="1">
      <alignment horizontal="center" vertical="center"/>
    </xf>
    <xf numFmtId="0" fontId="65" fillId="2" borderId="0" xfId="12" applyNumberFormat="1" applyFont="1" applyFill="1" applyAlignment="1">
      <alignment horizontal="center" vertical="center"/>
    </xf>
    <xf numFmtId="165" fontId="66" fillId="2" borderId="0" xfId="12" applyFont="1" applyFill="1" applyAlignment="1">
      <alignment horizontal="center" vertical="center"/>
    </xf>
    <xf numFmtId="9" fontId="84" fillId="2" borderId="0" xfId="13" applyNumberFormat="1" applyFont="1" applyFill="1" applyAlignment="1">
      <alignment horizontal="left" vertical="center"/>
    </xf>
    <xf numFmtId="165" fontId="84" fillId="2" borderId="0" xfId="12" applyFont="1" applyFill="1" applyAlignment="1">
      <alignment horizontal="left" vertical="center"/>
    </xf>
    <xf numFmtId="4" fontId="74" fillId="0" borderId="12" xfId="13" applyNumberFormat="1" applyFont="1" applyBorder="1" applyAlignment="1">
      <alignment horizontal="center" vertical="center"/>
    </xf>
    <xf numFmtId="4" fontId="73" fillId="2" borderId="12" xfId="13" applyNumberFormat="1" applyFont="1" applyFill="1" applyBorder="1" applyAlignment="1">
      <alignment horizontal="center" vertical="center"/>
    </xf>
    <xf numFmtId="4" fontId="73" fillId="0" borderId="12" xfId="13" applyNumberFormat="1" applyFont="1" applyBorder="1" applyAlignment="1">
      <alignment horizontal="center" vertical="center"/>
    </xf>
    <xf numFmtId="4" fontId="74" fillId="0" borderId="13" xfId="13" applyNumberFormat="1" applyFont="1" applyBorder="1" applyAlignment="1">
      <alignment horizontal="center" vertical="center"/>
    </xf>
    <xf numFmtId="4" fontId="73" fillId="2" borderId="13" xfId="13" applyNumberFormat="1" applyFont="1" applyFill="1" applyBorder="1" applyAlignment="1">
      <alignment horizontal="center" vertical="center"/>
    </xf>
    <xf numFmtId="1" fontId="84" fillId="2" borderId="0" xfId="12" applyNumberFormat="1" applyFont="1" applyFill="1" applyAlignment="1">
      <alignment horizontal="center" vertical="center"/>
    </xf>
    <xf numFmtId="10" fontId="82" fillId="2" borderId="12" xfId="12" applyNumberFormat="1" applyFont="1" applyFill="1" applyBorder="1" applyAlignment="1">
      <alignment horizontal="center" vertical="center"/>
    </xf>
    <xf numFmtId="10" fontId="83" fillId="2" borderId="12" xfId="12" applyNumberFormat="1" applyFont="1" applyFill="1" applyBorder="1" applyAlignment="1">
      <alignment horizontal="center" vertical="center"/>
    </xf>
    <xf numFmtId="10" fontId="83" fillId="2" borderId="12" xfId="13" applyNumberFormat="1" applyFont="1" applyFill="1" applyBorder="1" applyAlignment="1">
      <alignment horizontal="center" vertical="center"/>
    </xf>
    <xf numFmtId="4" fontId="87" fillId="2" borderId="21" xfId="13" applyNumberFormat="1" applyFont="1" applyFill="1" applyBorder="1" applyAlignment="1">
      <alignment horizontal="center" vertical="center"/>
    </xf>
    <xf numFmtId="164" fontId="83" fillId="2" borderId="27" xfId="13" applyNumberFormat="1" applyFont="1" applyFill="1" applyBorder="1" applyAlignment="1">
      <alignment horizontal="center" vertical="center"/>
    </xf>
    <xf numFmtId="10" fontId="83" fillId="2" borderId="27" xfId="12" applyNumberFormat="1" applyFont="1" applyFill="1" applyBorder="1" applyAlignment="1">
      <alignment horizontal="center" vertical="center"/>
    </xf>
    <xf numFmtId="3" fontId="87" fillId="2" borderId="21" xfId="13" applyNumberFormat="1" applyFont="1" applyFill="1" applyBorder="1" applyAlignment="1">
      <alignment horizontal="center" vertical="center"/>
    </xf>
    <xf numFmtId="4" fontId="68" fillId="0" borderId="0" xfId="8" applyFont="1" applyFill="1" applyAlignment="1">
      <alignment horizontal="left"/>
    </xf>
    <xf numFmtId="4" fontId="68" fillId="0" borderId="0" xfId="8" applyFont="1" applyFill="1">
      <alignment horizontal="left" vertical="center"/>
    </xf>
    <xf numFmtId="4" fontId="70" fillId="0" borderId="0" xfId="8" applyFont="1" applyFill="1" applyBorder="1" applyAlignment="1"/>
    <xf numFmtId="0" fontId="68" fillId="0" borderId="0" xfId="8" applyNumberFormat="1" applyFont="1" applyFill="1" applyBorder="1" applyAlignment="1">
      <alignment horizontal="right"/>
    </xf>
    <xf numFmtId="4" fontId="70" fillId="0" borderId="0" xfId="8" applyFont="1" applyFill="1" applyBorder="1" applyAlignment="1">
      <alignment horizontal="center"/>
    </xf>
    <xf numFmtId="43" fontId="68" fillId="0" borderId="0" xfId="29" applyFont="1" applyFill="1" applyAlignment="1">
      <alignment horizontal="right"/>
    </xf>
    <xf numFmtId="43" fontId="70" fillId="0" borderId="0" xfId="29" applyFont="1" applyFill="1" applyAlignment="1">
      <alignment horizontal="center"/>
    </xf>
    <xf numFmtId="4" fontId="68" fillId="0" borderId="0" xfId="8" applyFont="1" applyFill="1" applyAlignment="1">
      <alignment horizontal="center"/>
    </xf>
    <xf numFmtId="4" fontId="88" fillId="0" borderId="0" xfId="8" applyFont="1" applyFill="1" applyAlignment="1">
      <alignment horizontal="center"/>
    </xf>
    <xf numFmtId="4" fontId="89" fillId="0" borderId="0" xfId="8" applyFont="1" applyFill="1" applyAlignment="1">
      <alignment horizontal="center"/>
    </xf>
    <xf numFmtId="4" fontId="90" fillId="0" borderId="0" xfId="8" applyFont="1" applyFill="1" applyAlignment="1">
      <alignment horizontal="left"/>
    </xf>
    <xf numFmtId="4" fontId="91" fillId="0" borderId="0" xfId="8" applyFont="1" applyFill="1" applyAlignment="1">
      <alignment horizontal="center"/>
    </xf>
    <xf numFmtId="4" fontId="92" fillId="0" borderId="12" xfId="8" applyFont="1" applyFill="1" applyBorder="1" applyAlignment="1">
      <alignment horizontal="center" vertical="center"/>
    </xf>
    <xf numFmtId="0" fontId="92" fillId="0" borderId="12" xfId="8" applyNumberFormat="1" applyFont="1" applyFill="1" applyBorder="1" applyAlignment="1">
      <alignment horizontal="center" vertical="center"/>
    </xf>
    <xf numFmtId="43" fontId="92" fillId="0" borderId="12" xfId="29" applyFont="1" applyFill="1" applyBorder="1" applyAlignment="1">
      <alignment horizontal="center" vertical="center"/>
    </xf>
    <xf numFmtId="4" fontId="91" fillId="0" borderId="12" xfId="8" applyFont="1" applyFill="1" applyBorder="1" applyAlignment="1">
      <alignment horizontal="center" vertical="center"/>
    </xf>
    <xf numFmtId="4" fontId="89" fillId="0" borderId="12" xfId="8" applyFont="1" applyFill="1" applyBorder="1" applyAlignment="1">
      <alignment horizontal="center" vertical="center"/>
    </xf>
    <xf numFmtId="4" fontId="93" fillId="0" borderId="12" xfId="8" applyFont="1" applyFill="1" applyBorder="1" applyAlignment="1">
      <alignment horizontal="center" vertical="center"/>
    </xf>
    <xf numFmtId="4" fontId="92" fillId="0" borderId="0" xfId="8" applyFont="1" applyFill="1" applyAlignment="1">
      <alignment horizontal="center" vertical="center"/>
    </xf>
    <xf numFmtId="3" fontId="70" fillId="0" borderId="12" xfId="8" applyNumberFormat="1" applyFont="1" applyFill="1" applyBorder="1" applyAlignment="1">
      <alignment horizontal="center" vertical="center"/>
    </xf>
    <xf numFmtId="4" fontId="70" fillId="0" borderId="12" xfId="8" applyFont="1" applyFill="1" applyBorder="1">
      <alignment horizontal="left" vertical="center"/>
    </xf>
    <xf numFmtId="3" fontId="70" fillId="0" borderId="12" xfId="8" applyNumberFormat="1" applyFont="1" applyFill="1" applyBorder="1">
      <alignment horizontal="left" vertical="center"/>
    </xf>
    <xf numFmtId="43" fontId="70" fillId="0" borderId="12" xfId="29" applyFont="1" applyFill="1" applyBorder="1" applyAlignment="1">
      <alignment horizontal="right" vertical="center"/>
    </xf>
    <xf numFmtId="4" fontId="70" fillId="0" borderId="12" xfId="8" applyFont="1" applyFill="1" applyBorder="1" applyAlignment="1">
      <alignment horizontal="center" vertical="center"/>
    </xf>
    <xf numFmtId="4" fontId="68" fillId="0" borderId="12" xfId="8" applyFont="1" applyFill="1" applyBorder="1" applyAlignment="1">
      <alignment horizontal="center" vertical="center"/>
    </xf>
    <xf numFmtId="168" fontId="70" fillId="0" borderId="12" xfId="8" applyNumberFormat="1" applyFont="1" applyFill="1" applyBorder="1" applyAlignment="1">
      <alignment horizontal="center" vertical="center"/>
    </xf>
    <xf numFmtId="168" fontId="94" fillId="0" borderId="12" xfId="8" applyNumberFormat="1" applyFont="1" applyFill="1" applyBorder="1" applyAlignment="1">
      <alignment horizontal="center" vertical="center"/>
    </xf>
    <xf numFmtId="168" fontId="89" fillId="0" borderId="12" xfId="8" applyNumberFormat="1" applyFont="1" applyFill="1" applyBorder="1" applyAlignment="1">
      <alignment horizontal="center" vertical="center"/>
    </xf>
    <xf numFmtId="0" fontId="95" fillId="0" borderId="12" xfId="8" applyNumberFormat="1" applyFont="1" applyFill="1" applyBorder="1" applyAlignment="1">
      <alignment horizontal="center" vertical="center"/>
    </xf>
    <xf numFmtId="168" fontId="91" fillId="0" borderId="12" xfId="8" applyNumberFormat="1" applyFont="1" applyFill="1" applyBorder="1" applyAlignment="1">
      <alignment horizontal="center" vertical="center"/>
    </xf>
    <xf numFmtId="4" fontId="96" fillId="0" borderId="12" xfId="8" applyFont="1" applyFill="1" applyBorder="1">
      <alignment horizontal="left" vertical="center"/>
    </xf>
    <xf numFmtId="3" fontId="70" fillId="0" borderId="0" xfId="8" applyNumberFormat="1" applyFont="1" applyFill="1">
      <alignment horizontal="left" vertical="center"/>
    </xf>
    <xf numFmtId="4" fontId="70" fillId="0" borderId="0" xfId="8" applyFont="1" applyFill="1">
      <alignment horizontal="left" vertical="center"/>
    </xf>
    <xf numFmtId="4" fontId="70" fillId="0" borderId="12" xfId="8" applyFont="1" applyFill="1" applyBorder="1" applyAlignment="1">
      <alignment horizontal="right" vertical="center"/>
    </xf>
    <xf numFmtId="43" fontId="70" fillId="0" borderId="12" xfId="29" applyFont="1" applyFill="1" applyBorder="1" applyAlignment="1">
      <alignment horizontal="left" vertical="center"/>
    </xf>
    <xf numFmtId="43" fontId="70" fillId="0" borderId="12" xfId="29" applyFont="1" applyFill="1" applyBorder="1" applyAlignment="1">
      <alignment horizontal="center" vertical="center"/>
    </xf>
    <xf numFmtId="4" fontId="70" fillId="0" borderId="0" xfId="8" applyFont="1" applyFill="1" applyAlignment="1">
      <alignment horizontal="center" vertical="center"/>
    </xf>
    <xf numFmtId="43" fontId="70" fillId="0" borderId="0" xfId="29" applyFont="1" applyFill="1" applyAlignment="1">
      <alignment horizontal="right" vertical="center"/>
    </xf>
    <xf numFmtId="43" fontId="70" fillId="0" borderId="0" xfId="29" applyFont="1" applyFill="1" applyAlignment="1">
      <alignment horizontal="center" vertical="center"/>
    </xf>
    <xf numFmtId="4" fontId="68" fillId="0" borderId="0" xfId="8" applyFont="1" applyFill="1" applyAlignment="1">
      <alignment horizontal="center" vertical="center"/>
    </xf>
    <xf numFmtId="4" fontId="94" fillId="0" borderId="0" xfId="8" applyFont="1" applyFill="1" applyAlignment="1">
      <alignment horizontal="center" vertical="center"/>
    </xf>
    <xf numFmtId="4" fontId="89" fillId="0" borderId="0" xfId="8" applyFont="1" applyFill="1" applyAlignment="1">
      <alignment horizontal="center" vertical="center"/>
    </xf>
    <xf numFmtId="4" fontId="95" fillId="0" borderId="0" xfId="8" applyFont="1" applyFill="1" applyAlignment="1">
      <alignment horizontal="center" vertical="center"/>
    </xf>
    <xf numFmtId="4" fontId="91" fillId="0" borderId="0" xfId="8" applyFont="1" applyFill="1" applyAlignment="1">
      <alignment horizontal="center" vertical="center"/>
    </xf>
    <xf numFmtId="0" fontId="70" fillId="0" borderId="0" xfId="8" applyNumberFormat="1" applyFont="1" applyFill="1" applyAlignment="1">
      <alignment horizontal="right" vertical="center"/>
    </xf>
    <xf numFmtId="168" fontId="100" fillId="0" borderId="12" xfId="8" applyNumberFormat="1" applyFont="1" applyFill="1" applyBorder="1" applyAlignment="1">
      <alignment horizontal="center" vertical="center"/>
    </xf>
    <xf numFmtId="43" fontId="99" fillId="7" borderId="0" xfId="175" applyFont="1" applyFill="1" applyBorder="1" applyAlignment="1"/>
    <xf numFmtId="0" fontId="97" fillId="7" borderId="0" xfId="176" applyFont="1" applyFill="1" applyAlignment="1">
      <alignment horizontal="right" vertical="center"/>
    </xf>
    <xf numFmtId="43" fontId="98" fillId="6" borderId="0" xfId="175" applyFont="1" applyFill="1" applyBorder="1" applyAlignment="1"/>
    <xf numFmtId="0" fontId="97" fillId="6" borderId="0" xfId="176" applyFont="1" applyFill="1" applyAlignment="1">
      <alignment horizontal="right"/>
    </xf>
    <xf numFmtId="43" fontId="98" fillId="5" borderId="0" xfId="175" applyFont="1" applyFill="1" applyBorder="1" applyAlignment="1"/>
    <xf numFmtId="0" fontId="97" fillId="5" borderId="0" xfId="176" applyFont="1" applyFill="1" applyAlignment="1">
      <alignment horizontal="right"/>
    </xf>
    <xf numFmtId="168" fontId="88" fillId="0" borderId="12" xfId="8" applyNumberFormat="1" applyFont="1" applyFill="1" applyBorder="1" applyAlignment="1">
      <alignment horizontal="center" vertical="center"/>
    </xf>
    <xf numFmtId="168" fontId="101" fillId="0" borderId="12" xfId="8" applyNumberFormat="1" applyFont="1" applyFill="1" applyBorder="1" applyAlignment="1">
      <alignment horizontal="center" vertical="center"/>
    </xf>
    <xf numFmtId="4" fontId="96" fillId="0" borderId="12" xfId="8" applyFont="1" applyFill="1" applyBorder="1" applyAlignment="1">
      <alignment horizontal="right" vertical="center"/>
    </xf>
    <xf numFmtId="43" fontId="96" fillId="0" borderId="12" xfId="29" applyFont="1" applyFill="1" applyBorder="1" applyAlignment="1">
      <alignment horizontal="left" vertical="center"/>
    </xf>
    <xf numFmtId="4" fontId="96" fillId="0" borderId="12" xfId="8" applyFont="1" applyFill="1" applyBorder="1" applyAlignment="1">
      <alignment horizontal="center" vertical="center"/>
    </xf>
    <xf numFmtId="43" fontId="96" fillId="0" borderId="12" xfId="29" applyFont="1" applyFill="1" applyBorder="1" applyAlignment="1">
      <alignment horizontal="right" vertical="center"/>
    </xf>
    <xf numFmtId="169" fontId="70" fillId="0" borderId="12" xfId="29" applyNumberFormat="1" applyFont="1" applyFill="1" applyBorder="1" applyAlignment="1">
      <alignment horizontal="left" vertical="center"/>
    </xf>
    <xf numFmtId="4" fontId="70" fillId="0" borderId="34" xfId="8" applyFont="1" applyFill="1" applyBorder="1" applyAlignment="1">
      <alignment horizontal="left"/>
    </xf>
    <xf numFmtId="4" fontId="91" fillId="0" borderId="0" xfId="8" applyFont="1" applyFill="1" applyAlignment="1">
      <alignment horizontal="right" vertical="center"/>
    </xf>
    <xf numFmtId="4" fontId="90" fillId="0" borderId="0" xfId="8" applyFont="1" applyFill="1" applyAlignment="1">
      <alignment horizontal="center" vertical="center"/>
    </xf>
    <xf numFmtId="4" fontId="88" fillId="0" borderId="0" xfId="8" applyFont="1" applyFill="1" applyAlignment="1">
      <alignment horizontal="center" vertical="center"/>
    </xf>
    <xf numFmtId="43" fontId="68" fillId="0" borderId="0" xfId="29" applyFont="1" applyFill="1" applyAlignment="1">
      <alignment horizontal="right" vertical="center"/>
    </xf>
    <xf numFmtId="4" fontId="70" fillId="0" borderId="0" xfId="8" applyFont="1" applyFill="1" applyBorder="1" applyAlignment="1">
      <alignment horizontal="center" vertical="center"/>
    </xf>
    <xf numFmtId="0" fontId="68" fillId="0" borderId="0" xfId="8" applyNumberFormat="1" applyFont="1" applyFill="1" applyBorder="1" applyAlignment="1">
      <alignment horizontal="right" vertical="center"/>
    </xf>
    <xf numFmtId="4" fontId="70" fillId="0" borderId="0" xfId="8" applyFont="1" applyFill="1" applyBorder="1" applyAlignment="1">
      <alignment vertical="center"/>
    </xf>
    <xf numFmtId="4" fontId="70" fillId="0" borderId="34" xfId="8" applyFont="1" applyFill="1" applyBorder="1">
      <alignment horizontal="left" vertical="center"/>
    </xf>
    <xf numFmtId="4" fontId="96" fillId="0" borderId="0" xfId="8" applyFont="1" applyFill="1" applyBorder="1" applyAlignment="1">
      <alignment horizontal="center" vertical="center"/>
    </xf>
    <xf numFmtId="0" fontId="70" fillId="0" borderId="0" xfId="8" applyNumberFormat="1" applyFont="1" applyFill="1" applyBorder="1" applyAlignment="1">
      <alignment horizontal="right" vertical="center"/>
    </xf>
    <xf numFmtId="4" fontId="96" fillId="0" borderId="0" xfId="8" applyFont="1" applyFill="1" applyBorder="1" applyAlignment="1">
      <alignment vertical="center"/>
    </xf>
    <xf numFmtId="4" fontId="96" fillId="0" borderId="34" xfId="8" applyFont="1" applyFill="1" applyBorder="1">
      <alignment horizontal="left" vertical="center"/>
    </xf>
    <xf numFmtId="165" fontId="67" fillId="2" borderId="14" xfId="12" applyFont="1" applyFill="1" applyBorder="1" applyAlignment="1">
      <alignment horizontal="center" vertical="center"/>
    </xf>
    <xf numFmtId="165" fontId="67" fillId="2" borderId="15" xfId="12" applyFont="1" applyFill="1" applyBorder="1" applyAlignment="1">
      <alignment horizontal="center" vertical="center"/>
    </xf>
    <xf numFmtId="165" fontId="67" fillId="2" borderId="4" xfId="12" applyFont="1" applyFill="1" applyBorder="1" applyAlignment="1">
      <alignment horizontal="center" vertical="center"/>
    </xf>
    <xf numFmtId="165" fontId="67" fillId="2" borderId="16" xfId="12" applyFont="1" applyFill="1" applyBorder="1" applyAlignment="1">
      <alignment horizontal="center" vertical="center"/>
    </xf>
    <xf numFmtId="165" fontId="67" fillId="2" borderId="0" xfId="12" applyFont="1" applyFill="1" applyAlignment="1">
      <alignment horizontal="center" vertical="center"/>
    </xf>
    <xf numFmtId="165" fontId="67" fillId="2" borderId="9" xfId="12" applyFont="1" applyFill="1" applyBorder="1" applyAlignment="1">
      <alignment horizontal="center" vertical="center"/>
    </xf>
    <xf numFmtId="165" fontId="67" fillId="2" borderId="17" xfId="12" applyFont="1" applyFill="1" applyBorder="1" applyAlignment="1">
      <alignment horizontal="center" vertical="center"/>
    </xf>
    <xf numFmtId="165" fontId="67" fillId="2" borderId="18" xfId="12" applyFont="1" applyFill="1" applyBorder="1" applyAlignment="1">
      <alignment horizontal="center" vertical="center"/>
    </xf>
    <xf numFmtId="165" fontId="67" fillId="2" borderId="6" xfId="12" applyFont="1" applyFill="1" applyBorder="1" applyAlignment="1">
      <alignment horizontal="center" vertical="center"/>
    </xf>
    <xf numFmtId="165" fontId="68" fillId="2" borderId="1" xfId="12" applyFont="1" applyFill="1" applyBorder="1" applyAlignment="1">
      <alignment horizontal="center" vertical="center"/>
    </xf>
    <xf numFmtId="165" fontId="68" fillId="2" borderId="3" xfId="12" applyFont="1" applyFill="1" applyBorder="1" applyAlignment="1">
      <alignment horizontal="center" vertical="center"/>
    </xf>
    <xf numFmtId="165" fontId="68" fillId="2" borderId="2" xfId="12" applyFont="1" applyFill="1" applyBorder="1" applyAlignment="1">
      <alignment horizontal="center" vertical="center"/>
    </xf>
    <xf numFmtId="165" fontId="66" fillId="2" borderId="14" xfId="12" applyFont="1" applyFill="1" applyBorder="1" applyAlignment="1">
      <alignment horizontal="center" vertical="center"/>
    </xf>
    <xf numFmtId="165" fontId="66" fillId="2" borderId="4" xfId="12" applyFont="1" applyFill="1" applyBorder="1" applyAlignment="1">
      <alignment horizontal="center" vertical="center"/>
    </xf>
    <xf numFmtId="165" fontId="66" fillId="2" borderId="17" xfId="12" applyFont="1" applyFill="1" applyBorder="1" applyAlignment="1">
      <alignment horizontal="center" vertical="center"/>
    </xf>
    <xf numFmtId="165" fontId="66" fillId="2" borderId="6" xfId="12" applyFont="1" applyFill="1" applyBorder="1" applyAlignment="1">
      <alignment horizontal="center" vertical="center"/>
    </xf>
    <xf numFmtId="165" fontId="66" fillId="2" borderId="15" xfId="12" applyFont="1" applyFill="1" applyBorder="1" applyAlignment="1">
      <alignment horizontal="center" vertical="center"/>
    </xf>
    <xf numFmtId="165" fontId="66" fillId="2" borderId="18" xfId="12" applyFont="1" applyFill="1" applyBorder="1" applyAlignment="1">
      <alignment horizontal="center" vertical="center"/>
    </xf>
    <xf numFmtId="3" fontId="70" fillId="2" borderId="21" xfId="12" applyNumberFormat="1" applyFont="1" applyFill="1" applyBorder="1" applyAlignment="1">
      <alignment horizontal="left" vertical="center"/>
    </xf>
    <xf numFmtId="3" fontId="70" fillId="2" borderId="22" xfId="12" applyNumberFormat="1" applyFont="1" applyFill="1" applyBorder="1" applyAlignment="1">
      <alignment horizontal="left" vertical="center"/>
    </xf>
    <xf numFmtId="3" fontId="70" fillId="2" borderId="23" xfId="12" applyNumberFormat="1" applyFont="1" applyFill="1" applyBorder="1" applyAlignment="1">
      <alignment horizontal="left" vertical="center"/>
    </xf>
    <xf numFmtId="165" fontId="69" fillId="2" borderId="15" xfId="12" applyFont="1" applyFill="1" applyBorder="1" applyAlignment="1">
      <alignment horizontal="center" vertical="center"/>
    </xf>
    <xf numFmtId="165" fontId="69" fillId="2" borderId="0" xfId="12" applyFont="1" applyFill="1" applyAlignment="1">
      <alignment horizontal="center" vertical="center"/>
    </xf>
    <xf numFmtId="165" fontId="69" fillId="2" borderId="18" xfId="12" applyFont="1" applyFill="1" applyBorder="1" applyAlignment="1">
      <alignment horizontal="center" vertical="center"/>
    </xf>
    <xf numFmtId="165" fontId="70" fillId="2" borderId="0" xfId="12" applyFont="1" applyFill="1" applyAlignment="1">
      <alignment horizontal="center" vertical="center"/>
    </xf>
    <xf numFmtId="165" fontId="69" fillId="3" borderId="19" xfId="12" applyFont="1" applyFill="1" applyBorder="1" applyAlignment="1">
      <alignment horizontal="center" vertical="center"/>
    </xf>
    <xf numFmtId="165" fontId="69" fillId="3" borderId="20" xfId="12" applyFont="1" applyFill="1" applyBorder="1" applyAlignment="1">
      <alignment horizontal="center" vertical="center"/>
    </xf>
    <xf numFmtId="165" fontId="68" fillId="3" borderId="21" xfId="12" applyFont="1" applyFill="1" applyBorder="1" applyAlignment="1">
      <alignment horizontal="center" vertical="center"/>
    </xf>
    <xf numFmtId="165" fontId="68" fillId="3" borderId="22" xfId="12" applyFont="1" applyFill="1" applyBorder="1" applyAlignment="1">
      <alignment horizontal="center" vertical="center"/>
    </xf>
    <xf numFmtId="165" fontId="68" fillId="3" borderId="23" xfId="12" applyFont="1" applyFill="1" applyBorder="1" applyAlignment="1">
      <alignment horizontal="center" vertical="center"/>
    </xf>
    <xf numFmtId="165" fontId="69" fillId="2" borderId="19" xfId="13" applyFont="1" applyFill="1" applyBorder="1" applyAlignment="1">
      <alignment horizontal="left" vertical="center" wrapText="1"/>
    </xf>
    <xf numFmtId="165" fontId="69" fillId="2" borderId="20" xfId="13" applyFont="1" applyFill="1" applyBorder="1" applyAlignment="1">
      <alignment horizontal="left" vertical="center" wrapText="1"/>
    </xf>
    <xf numFmtId="3" fontId="70" fillId="2" borderId="24" xfId="12" applyNumberFormat="1" applyFont="1" applyFill="1" applyBorder="1" applyAlignment="1">
      <alignment horizontal="left" vertical="center"/>
    </xf>
    <xf numFmtId="3" fontId="70" fillId="2" borderId="25" xfId="12" applyNumberFormat="1" applyFont="1" applyFill="1" applyBorder="1" applyAlignment="1">
      <alignment horizontal="left" vertical="center"/>
    </xf>
    <xf numFmtId="3" fontId="70" fillId="2" borderId="26" xfId="12" applyNumberFormat="1" applyFont="1" applyFill="1" applyBorder="1" applyAlignment="1">
      <alignment horizontal="left" vertical="center"/>
    </xf>
    <xf numFmtId="165" fontId="69" fillId="2" borderId="19" xfId="13" applyFont="1" applyFill="1" applyBorder="1" applyAlignment="1">
      <alignment horizontal="left" vertical="center"/>
    </xf>
    <xf numFmtId="165" fontId="69" fillId="2" borderId="20" xfId="13" applyFont="1" applyFill="1" applyBorder="1" applyAlignment="1">
      <alignment horizontal="left" vertical="center"/>
    </xf>
    <xf numFmtId="165" fontId="80" fillId="2" borderId="31" xfId="12" applyFont="1" applyFill="1" applyBorder="1" applyAlignment="1">
      <alignment horizontal="center" vertical="top"/>
    </xf>
    <xf numFmtId="165" fontId="80" fillId="2" borderId="32" xfId="12" applyFont="1" applyFill="1" applyBorder="1" applyAlignment="1">
      <alignment horizontal="center" vertical="top"/>
    </xf>
    <xf numFmtId="0" fontId="68" fillId="4" borderId="11" xfId="12" applyNumberFormat="1" applyFont="1" applyFill="1" applyBorder="1" applyAlignment="1">
      <alignment horizontal="center"/>
    </xf>
    <xf numFmtId="0" fontId="68" fillId="4" borderId="15" xfId="12" applyNumberFormat="1" applyFont="1" applyFill="1" applyBorder="1" applyAlignment="1">
      <alignment horizontal="center"/>
    </xf>
    <xf numFmtId="0" fontId="68" fillId="4" borderId="10" xfId="12" applyNumberFormat="1" applyFont="1" applyFill="1" applyBorder="1" applyAlignment="1">
      <alignment horizontal="center"/>
    </xf>
    <xf numFmtId="0" fontId="68" fillId="4" borderId="11" xfId="12" applyNumberFormat="1" applyFont="1" applyFill="1" applyBorder="1" applyAlignment="1">
      <alignment horizontal="center" wrapText="1"/>
    </xf>
    <xf numFmtId="0" fontId="68" fillId="4" borderId="15" xfId="12" applyNumberFormat="1" applyFont="1" applyFill="1" applyBorder="1" applyAlignment="1">
      <alignment horizontal="center" wrapText="1"/>
    </xf>
    <xf numFmtId="0" fontId="68" fillId="4" borderId="10" xfId="12" applyNumberFormat="1" applyFont="1" applyFill="1" applyBorder="1" applyAlignment="1">
      <alignment horizontal="center" wrapText="1"/>
    </xf>
    <xf numFmtId="0" fontId="68" fillId="4" borderId="4" xfId="12" applyNumberFormat="1" applyFont="1" applyFill="1" applyBorder="1" applyAlignment="1">
      <alignment horizontal="center"/>
    </xf>
    <xf numFmtId="0" fontId="80" fillId="0" borderId="13" xfId="12" applyNumberFormat="1" applyFont="1" applyBorder="1" applyAlignment="1">
      <alignment horizontal="left" vertical="top" wrapText="1"/>
    </xf>
    <xf numFmtId="0" fontId="80" fillId="0" borderId="22" xfId="12" applyNumberFormat="1" applyFont="1" applyBorder="1" applyAlignment="1">
      <alignment horizontal="left" vertical="top" wrapText="1"/>
    </xf>
    <xf numFmtId="0" fontId="80" fillId="0" borderId="20" xfId="12" applyNumberFormat="1" applyFont="1" applyBorder="1" applyAlignment="1">
      <alignment horizontal="left" vertical="top" wrapText="1"/>
    </xf>
    <xf numFmtId="0" fontId="80" fillId="0" borderId="12" xfId="12" applyNumberFormat="1" applyFont="1" applyBorder="1" applyAlignment="1">
      <alignment horizontal="left" vertical="top" wrapText="1"/>
    </xf>
    <xf numFmtId="0" fontId="80" fillId="0" borderId="22" xfId="12" applyNumberFormat="1" applyFont="1" applyBorder="1" applyAlignment="1">
      <alignment horizontal="left" vertical="top"/>
    </xf>
    <xf numFmtId="0" fontId="80" fillId="0" borderId="20" xfId="12" applyNumberFormat="1" applyFont="1" applyBorder="1" applyAlignment="1">
      <alignment horizontal="left" vertical="top"/>
    </xf>
    <xf numFmtId="166" fontId="80" fillId="0" borderId="29" xfId="12" applyNumberFormat="1" applyFont="1" applyBorder="1" applyAlignment="1">
      <alignment horizontal="center" vertical="top"/>
    </xf>
    <xf numFmtId="166" fontId="80" fillId="0" borderId="30" xfId="12" applyNumberFormat="1" applyFont="1" applyBorder="1" applyAlignment="1">
      <alignment horizontal="center" vertical="top"/>
    </xf>
    <xf numFmtId="166" fontId="80" fillId="0" borderId="12" xfId="12" applyNumberFormat="1" applyFont="1" applyBorder="1" applyAlignment="1">
      <alignment horizontal="center" vertical="top"/>
    </xf>
    <xf numFmtId="165" fontId="82" fillId="2" borderId="19" xfId="13" applyFont="1" applyFill="1" applyBorder="1" applyAlignment="1">
      <alignment horizontal="left" vertical="center" wrapText="1"/>
    </xf>
    <xf numFmtId="165" fontId="82" fillId="2" borderId="20" xfId="13" applyFont="1" applyFill="1" applyBorder="1" applyAlignment="1">
      <alignment horizontal="left" vertical="center" wrapText="1"/>
    </xf>
    <xf numFmtId="0" fontId="65" fillId="0" borderId="13" xfId="12" applyNumberFormat="1" applyFont="1" applyBorder="1" applyAlignment="1">
      <alignment horizontal="left" vertical="top" wrapText="1"/>
    </xf>
    <xf numFmtId="0" fontId="86" fillId="0" borderId="12" xfId="12" applyNumberFormat="1" applyFont="1" applyBorder="1" applyAlignment="1">
      <alignment horizontal="left" vertical="top" wrapText="1"/>
    </xf>
    <xf numFmtId="0" fontId="102" fillId="0" borderId="0" xfId="178" applyFont="1" applyAlignment="1">
      <alignment horizontal="left"/>
    </xf>
    <xf numFmtId="0" fontId="103" fillId="0" borderId="0" xfId="178" applyFont="1" applyAlignment="1">
      <alignment horizontal="center"/>
    </xf>
    <xf numFmtId="0" fontId="104" fillId="0" borderId="0" xfId="178" applyFont="1" applyAlignment="1">
      <alignment horizontal="center" vertical="center"/>
    </xf>
    <xf numFmtId="0" fontId="105" fillId="0" borderId="0" xfId="178" applyFont="1" applyAlignment="1">
      <alignment horizontal="center" vertical="center"/>
    </xf>
    <xf numFmtId="0" fontId="104" fillId="0" borderId="0" xfId="178" applyFont="1" applyAlignment="1">
      <alignment vertical="center"/>
    </xf>
    <xf numFmtId="0" fontId="102" fillId="8" borderId="12" xfId="178" applyFont="1" applyFill="1" applyBorder="1" applyAlignment="1">
      <alignment horizontal="center" vertical="center"/>
    </xf>
    <xf numFmtId="0" fontId="106" fillId="8" borderId="12" xfId="178" applyFont="1" applyFill="1" applyBorder="1" applyAlignment="1">
      <alignment horizontal="center" vertical="center"/>
    </xf>
    <xf numFmtId="0" fontId="102" fillId="8" borderId="12" xfId="178" applyFont="1" applyFill="1" applyBorder="1" applyAlignment="1">
      <alignment horizontal="center" vertical="center" wrapText="1"/>
    </xf>
    <xf numFmtId="170" fontId="106" fillId="8" borderId="12" xfId="178" quotePrefix="1" applyNumberFormat="1" applyFont="1" applyFill="1" applyBorder="1" applyAlignment="1">
      <alignment horizontal="center" vertical="center"/>
    </xf>
    <xf numFmtId="0" fontId="104" fillId="0" borderId="0" xfId="178" applyFont="1"/>
    <xf numFmtId="0" fontId="102" fillId="8" borderId="35" xfId="178" applyFont="1" applyFill="1" applyBorder="1" applyAlignment="1">
      <alignment horizontal="center" vertical="center"/>
    </xf>
    <xf numFmtId="0" fontId="106" fillId="8" borderId="35" xfId="178" applyFont="1" applyFill="1" applyBorder="1" applyAlignment="1">
      <alignment horizontal="center" vertical="center"/>
    </xf>
    <xf numFmtId="0" fontId="102" fillId="8" borderId="35" xfId="178" applyFont="1" applyFill="1" applyBorder="1" applyAlignment="1">
      <alignment horizontal="center" vertical="center" wrapText="1"/>
    </xf>
    <xf numFmtId="0" fontId="102" fillId="8" borderId="36" xfId="178" applyFont="1" applyFill="1" applyBorder="1" applyAlignment="1">
      <alignment horizontal="center" vertical="center" wrapText="1"/>
    </xf>
    <xf numFmtId="0" fontId="102" fillId="8" borderId="35" xfId="178" applyFont="1" applyFill="1" applyBorder="1" applyAlignment="1">
      <alignment horizontal="center" vertical="center"/>
    </xf>
    <xf numFmtId="0" fontId="102" fillId="8" borderId="35" xfId="178" applyFont="1" applyFill="1" applyBorder="1" applyAlignment="1">
      <alignment horizontal="center" vertical="center" wrapText="1"/>
    </xf>
    <xf numFmtId="0" fontId="107" fillId="8" borderId="35" xfId="178" applyFont="1" applyFill="1" applyBorder="1" applyAlignment="1">
      <alignment horizontal="center" vertical="center" wrapText="1"/>
    </xf>
    <xf numFmtId="0" fontId="107" fillId="8" borderId="35" xfId="178" applyFont="1" applyFill="1" applyBorder="1" applyAlignment="1">
      <alignment horizontal="center" vertical="center"/>
    </xf>
    <xf numFmtId="0" fontId="102" fillId="8" borderId="36" xfId="178" applyFont="1" applyFill="1" applyBorder="1" applyAlignment="1">
      <alignment horizontal="center" vertical="center"/>
    </xf>
    <xf numFmtId="0" fontId="104" fillId="0" borderId="37" xfId="178" applyFont="1" applyBorder="1" applyAlignment="1">
      <alignment horizontal="center"/>
    </xf>
    <xf numFmtId="0" fontId="108" fillId="0" borderId="37" xfId="178" applyFont="1" applyBorder="1" applyAlignment="1">
      <alignment horizontal="left"/>
    </xf>
    <xf numFmtId="43" fontId="104" fillId="0" borderId="37" xfId="177" applyFont="1" applyFill="1" applyBorder="1" applyAlignment="1">
      <alignment horizontal="right"/>
    </xf>
    <xf numFmtId="43" fontId="104" fillId="0" borderId="0" xfId="177" applyFont="1" applyAlignment="1">
      <alignment horizontal="center"/>
    </xf>
    <xf numFmtId="43" fontId="104" fillId="0" borderId="37" xfId="177" applyFont="1" applyBorder="1" applyAlignment="1">
      <alignment horizontal="center"/>
    </xf>
    <xf numFmtId="43" fontId="105" fillId="0" borderId="37" xfId="177" applyFont="1" applyFill="1" applyBorder="1" applyAlignment="1">
      <alignment horizontal="center"/>
    </xf>
    <xf numFmtId="10" fontId="105" fillId="0" borderId="37" xfId="179" applyNumberFormat="1" applyFont="1" applyFill="1" applyBorder="1" applyAlignment="1">
      <alignment horizontal="center"/>
    </xf>
    <xf numFmtId="0" fontId="104" fillId="0" borderId="37" xfId="178" applyFont="1" applyBorder="1"/>
    <xf numFmtId="43" fontId="108" fillId="0" borderId="37" xfId="177" applyFont="1" applyBorder="1" applyAlignment="1">
      <alignment horizontal="right"/>
    </xf>
    <xf numFmtId="2" fontId="104" fillId="0" borderId="37" xfId="178" applyNumberFormat="1" applyFont="1" applyBorder="1"/>
    <xf numFmtId="0" fontId="104" fillId="8" borderId="38" xfId="178" applyFont="1" applyFill="1" applyBorder="1" applyAlignment="1">
      <alignment horizontal="center"/>
    </xf>
    <xf numFmtId="0" fontId="106" fillId="8" borderId="38" xfId="178" applyFont="1" applyFill="1" applyBorder="1" applyAlignment="1">
      <alignment horizontal="center"/>
    </xf>
    <xf numFmtId="43" fontId="102" fillId="8" borderId="38" xfId="177" applyFont="1" applyFill="1" applyBorder="1" applyAlignment="1">
      <alignment horizontal="center"/>
    </xf>
    <xf numFmtId="43" fontId="107" fillId="8" borderId="38" xfId="177" applyFont="1" applyFill="1" applyBorder="1" applyAlignment="1">
      <alignment horizontal="center"/>
    </xf>
    <xf numFmtId="10" fontId="107" fillId="8" borderId="38" xfId="179" applyNumberFormat="1" applyFont="1" applyFill="1" applyBorder="1" applyAlignment="1">
      <alignment horizontal="center"/>
    </xf>
    <xf numFmtId="0" fontId="102" fillId="8" borderId="39" xfId="178" applyFont="1" applyFill="1" applyBorder="1"/>
    <xf numFmtId="0" fontId="102" fillId="0" borderId="0" xfId="178" applyFont="1"/>
    <xf numFmtId="0" fontId="104" fillId="0" borderId="0" xfId="178" applyFont="1" applyAlignment="1">
      <alignment horizontal="center"/>
    </xf>
    <xf numFmtId="0" fontId="105" fillId="0" borderId="0" xfId="178" applyFont="1" applyAlignment="1">
      <alignment horizontal="center"/>
    </xf>
    <xf numFmtId="2" fontId="105" fillId="0" borderId="0" xfId="178" applyNumberFormat="1" applyFont="1" applyAlignment="1">
      <alignment horizontal="center"/>
    </xf>
    <xf numFmtId="0" fontId="110" fillId="0" borderId="0" xfId="180" applyFont="1" applyAlignment="1">
      <alignment horizontal="center"/>
    </xf>
    <xf numFmtId="43" fontId="105" fillId="0" borderId="0" xfId="177" applyFont="1" applyAlignment="1">
      <alignment horizontal="center"/>
    </xf>
  </cellXfs>
  <cellStyles count="181">
    <cellStyle name="Comma" xfId="177" builtinId="3"/>
    <cellStyle name="Comma 2" xfId="5" xr:uid="{5B136DC6-8BED-4314-BCDB-E4E4CB17AC02}"/>
    <cellStyle name="Comma 2 2" xfId="7" xr:uid="{09592BDC-DE14-4107-A437-A6D89F25D149}"/>
    <cellStyle name="Comma 2 2 2" xfId="11" xr:uid="{ED44BB16-6A2C-480C-9F89-71802B34B7E8}"/>
    <cellStyle name="Comma 2 2 2 2" xfId="18" xr:uid="{8197A013-F95A-406C-91BF-3B93E5F21A01}"/>
    <cellStyle name="Comma 2 2 2 2 2" xfId="21" xr:uid="{5A73D591-9C34-4935-A9D8-1D72F7FE7A8B}"/>
    <cellStyle name="Comma 2 3" xfId="31" xr:uid="{FEAD5FEE-CEB9-454A-86D1-509044B4532A}"/>
    <cellStyle name="Comma 2 4" xfId="36" xr:uid="{5A25E1C9-ED6A-471F-892D-A6E9A4C448F3}"/>
    <cellStyle name="Comma 2 5" xfId="96" xr:uid="{3E2E5F9C-D7ED-448D-906F-87C62A84AAB5}"/>
    <cellStyle name="Comma 3" xfId="26" xr:uid="{FAB3CB03-5F50-4270-A01D-45ECEDDF9C17}"/>
    <cellStyle name="Comma 3 2 2" xfId="19" xr:uid="{DFF22315-EBCA-4FC1-AC18-424D4A47E6BD}"/>
    <cellStyle name="Comma 3 2 2 2" xfId="22" xr:uid="{54FBBDEB-A9EE-4007-B6DC-11ECBCB4D156}"/>
    <cellStyle name="Comma 4" xfId="17" xr:uid="{B22F4C4B-D367-4999-9837-42C824E166B2}"/>
    <cellStyle name="Comma 4 10" xfId="59" xr:uid="{F49291ED-4E59-4914-9CBF-746B0310DA7F}"/>
    <cellStyle name="Comma 4 11" xfId="63" xr:uid="{94086DC5-69FB-4334-972D-B7D3D3DB6326}"/>
    <cellStyle name="Comma 4 12" xfId="65" xr:uid="{B32F1321-D651-4B32-8655-5F95BA0EC7DB}"/>
    <cellStyle name="Comma 4 13" xfId="69" xr:uid="{F4F61E0A-09E2-43A0-9F83-5EE0BD13248A}"/>
    <cellStyle name="Comma 4 14" xfId="71" xr:uid="{07EC39E6-D2F1-4555-8500-9685B15EACC1}"/>
    <cellStyle name="Comma 4 15" xfId="75" xr:uid="{8214A860-E5E3-4566-BF55-58FC1BEC397B}"/>
    <cellStyle name="Comma 4 16" xfId="79" xr:uid="{6102C911-6ACB-48D0-82CB-0694F4A7AEE7}"/>
    <cellStyle name="Comma 4 17" xfId="83" xr:uid="{137C6A3A-75DD-476A-84D4-BA920EDDB442}"/>
    <cellStyle name="Comma 4 18" xfId="87" xr:uid="{DE81AB08-5449-4287-86E1-13C089C747DA}"/>
    <cellStyle name="Comma 4 19" xfId="91" xr:uid="{D9F4F9B8-6152-44C0-A3A0-BA52BB0C9DCD}"/>
    <cellStyle name="Comma 4 2" xfId="27" xr:uid="{FCC0AC82-62D1-416E-B84E-F02AB51226D7}"/>
    <cellStyle name="Comma 4 20" xfId="97" xr:uid="{5D05AF1F-B5EF-4829-B687-4034B62A8887}"/>
    <cellStyle name="Comma 4 20 2" xfId="99" xr:uid="{46CCB59A-1EE0-4268-A536-9FAF854CD7A0}"/>
    <cellStyle name="Comma 4 20 2 10" xfId="172" xr:uid="{FB106D98-EA71-48EA-B884-A9A85845B8C5}"/>
    <cellStyle name="Comma 4 20 2 11" xfId="174" xr:uid="{A1FC6235-406F-4FE3-815A-A80A3F36FB54}"/>
    <cellStyle name="Comma 4 20 2 12" xfId="175" xr:uid="{370769F2-F320-4FBC-A3D6-67F863BDC8D3}"/>
    <cellStyle name="Comma 4 20 2 2" xfId="104" xr:uid="{C205F0CF-D7F7-4C8A-9A5A-16F976404797}"/>
    <cellStyle name="Comma 4 20 2 3" xfId="108" xr:uid="{309825F8-78C4-4925-8308-305A88850159}"/>
    <cellStyle name="Comma 4 20 2 4" xfId="153" xr:uid="{ED153BAE-5868-44C7-A02F-4BA4533963A0}"/>
    <cellStyle name="Comma 4 20 2 5" xfId="156" xr:uid="{F690A2DF-340B-448A-A1F3-68CCB1B21947}"/>
    <cellStyle name="Comma 4 20 2 6" xfId="158" xr:uid="{98C994F7-E16C-4A02-BAA7-48FC2840A848}"/>
    <cellStyle name="Comma 4 20 2 7" xfId="160" xr:uid="{567510C5-C63C-4224-9A16-9349383792CB}"/>
    <cellStyle name="Comma 4 20 2 8" xfId="164" xr:uid="{57EF7F85-6976-4727-9F12-A8CA86304A5D}"/>
    <cellStyle name="Comma 4 20 2 9" xfId="168" xr:uid="{5741E4CD-B716-4684-A00E-0968BD6106D4}"/>
    <cellStyle name="Comma 4 20 3" xfId="102" xr:uid="{A45A602F-A682-41AE-B7AE-235A3C2AE47A}"/>
    <cellStyle name="Comma 4 20 3 2" xfId="114" xr:uid="{9ACF0E79-8DD7-4CC4-BD84-B15E8F242DDE}"/>
    <cellStyle name="Comma 4 20 3 3" xfId="117" xr:uid="{006D71CB-1B6F-4C08-B471-B194FF650BF0}"/>
    <cellStyle name="Comma 4 20 3 3 2" xfId="120" xr:uid="{D07E5F5E-3F51-4909-8396-2B60491F9588}"/>
    <cellStyle name="Comma 4 20 3 3 2 2" xfId="122" xr:uid="{27369232-E753-413B-AD39-CBE1662C85D7}"/>
    <cellStyle name="Comma 4 20 3 3 2 2 2" xfId="140" xr:uid="{40234755-72EA-43F7-812D-964AF795E536}"/>
    <cellStyle name="Comma 4 20 3 3 2 2 3" xfId="144" xr:uid="{CEC12829-36F4-4F71-A022-8D31A278DFAB}"/>
    <cellStyle name="Comma 4 20 3 3 2 2 4" xfId="146" xr:uid="{C0D6BD3F-FA71-485A-A592-1BF6A87ED30A}"/>
    <cellStyle name="Comma 4 20 3 3 2 2 5" xfId="149" xr:uid="{064BE6D6-FF5C-4668-9D2B-7F6B3A014F4C}"/>
    <cellStyle name="Comma 4 20 3 3 2 3" xfId="125" xr:uid="{90C0C639-5595-4F47-BDFF-91E5CE8BF906}"/>
    <cellStyle name="Comma 4 20 3 3 2 4" xfId="128" xr:uid="{4E6CBFB6-C315-4F82-9687-E1111203A9E4}"/>
    <cellStyle name="Comma 4 20 3 3 2 5" xfId="131" xr:uid="{828E4207-2660-4D2D-94B0-E8EC296677CF}"/>
    <cellStyle name="Comma 4 20 3 3 2 6" xfId="136" xr:uid="{C335D9C8-BD00-44D1-8DF9-9EC478525970}"/>
    <cellStyle name="Comma 4 20 4" xfId="107" xr:uid="{65B4EF12-9349-4FF0-89E9-1BFDD1082499}"/>
    <cellStyle name="Comma 4 20 5" xfId="112" xr:uid="{C67B1AC8-F5B4-40DC-96E9-0B4A916192F3}"/>
    <cellStyle name="Comma 4 3" xfId="41" xr:uid="{76842133-BE8A-44CD-B2C1-67608D53630E}"/>
    <cellStyle name="Comma 4 4" xfId="43" xr:uid="{D50C814B-773D-49F3-8E69-A55466B8EFF8}"/>
    <cellStyle name="Comma 4 5" xfId="47" xr:uid="{6CCF1736-274D-45E3-ACA9-7D5A5902FB0B}"/>
    <cellStyle name="Comma 4 6" xfId="49" xr:uid="{2DEFFA4B-CD1A-4A23-A59B-DE871F14BE74}"/>
    <cellStyle name="Comma 4 7" xfId="51" xr:uid="{D3C7AEC8-6B64-4A82-B148-B74AC9A4E8A7}"/>
    <cellStyle name="Comma 4 8" xfId="53" xr:uid="{527E721C-76ED-4BBC-AA1B-56F87AADC1A1}"/>
    <cellStyle name="Comma 4 9" xfId="55" xr:uid="{EDECA1BC-0017-42F3-B8C8-248F9A7AB0B3}"/>
    <cellStyle name="Comma 5" xfId="29" xr:uid="{6EBF988B-FBC3-4102-9987-33D2A688FD27}"/>
    <cellStyle name="Comma 6" xfId="33" xr:uid="{012DE349-84E1-43EA-B0AB-E4EB61EEA771}"/>
    <cellStyle name="Hyperlink" xfId="180" builtinId="8"/>
    <cellStyle name="Normal" xfId="0" builtinId="0"/>
    <cellStyle name="Normal 148" xfId="4" xr:uid="{59EF4C59-55BC-428B-A9C7-725A9D8B46FF}"/>
    <cellStyle name="Normal 153" xfId="1" xr:uid="{2D94CA1F-8479-44A1-8DAE-DF973EB1B23D}"/>
    <cellStyle name="Normal 153 2" xfId="2" xr:uid="{77FDE893-DBDC-4882-A275-D8C1DEF94EE5}"/>
    <cellStyle name="Normal 2" xfId="3" xr:uid="{1BB99BC3-4F93-42F6-9257-EFAFE4CB2F1F}"/>
    <cellStyle name="Normal 2 2" xfId="6" xr:uid="{90C68F75-FE57-46B7-AFEC-F1E18098939D}"/>
    <cellStyle name="Normal 2 2 2" xfId="10" xr:uid="{A281E28A-BF46-4B3D-BD6A-D43AB604694E}"/>
    <cellStyle name="Normal 2 2 2 2" xfId="16" xr:uid="{7DB22AC1-5003-4360-AEC6-FC9D81AA20C0}"/>
    <cellStyle name="Normal 2 2 2 2 10" xfId="58" xr:uid="{2F0D40B3-1B56-4F20-A3AA-EB06AA7E3586}"/>
    <cellStyle name="Normal 2 2 2 2 11" xfId="62" xr:uid="{9731CE88-FB17-488B-9BA0-E60A6760E44E}"/>
    <cellStyle name="Normal 2 2 2 2 12" xfId="64" xr:uid="{3B92D980-EAA7-46C3-99EB-E06D265D2FD5}"/>
    <cellStyle name="Normal 2 2 2 2 13" xfId="68" xr:uid="{470D4B56-17D8-42FB-ABF7-1349589B3DC2}"/>
    <cellStyle name="Normal 2 2 2 2 14" xfId="70" xr:uid="{D2D3B398-5FEE-4578-A2F3-CBEDDC4A7F25}"/>
    <cellStyle name="Normal 2 2 2 2 15" xfId="74" xr:uid="{847368CC-68AA-41C0-9603-362D09AFAF68}"/>
    <cellStyle name="Normal 2 2 2 2 16" xfId="78" xr:uid="{9E74F87A-5B0C-48F2-BE53-E96C1334B220}"/>
    <cellStyle name="Normal 2 2 2 2 17" xfId="82" xr:uid="{13FFF053-3193-471C-8265-978772571F1D}"/>
    <cellStyle name="Normal 2 2 2 2 18" xfId="86" xr:uid="{55C8E7B8-604A-4DFE-ADBD-8A81EF465143}"/>
    <cellStyle name="Normal 2 2 2 2 19" xfId="90" xr:uid="{457BFE7B-6AF7-49F0-B97B-650154E907B6}"/>
    <cellStyle name="Normal 2 2 2 2 2" xfId="20" xr:uid="{E6CB7C40-6974-456A-8416-F881E40EFC78}"/>
    <cellStyle name="Normal 2 2 2 2 2 10" xfId="80" xr:uid="{F66FFE96-3C5D-4EB7-A070-237A0B949270}"/>
    <cellStyle name="Normal 2 2 2 2 2 11" xfId="84" xr:uid="{B5B55DCA-BE8D-44DA-8C03-60D2A503D772}"/>
    <cellStyle name="Normal 2 2 2 2 2 12" xfId="88" xr:uid="{BF8E4196-309C-4DF6-9CE4-FAEB79CF7FD1}"/>
    <cellStyle name="Normal 2 2 2 2 2 13" xfId="92" xr:uid="{1F297B33-F431-41EE-8B83-C54302E8436F}"/>
    <cellStyle name="Normal 2 2 2 2 2 14" xfId="94" xr:uid="{DBC1F065-A642-4917-A170-BD670BF5D594}"/>
    <cellStyle name="Normal 2 2 2 2 2 14 2" xfId="98" xr:uid="{87C85A84-76C8-4A97-B35B-FEC427CD6112}"/>
    <cellStyle name="Normal 2 2 2 2 2 14 2 10" xfId="173" xr:uid="{C34884E1-5B9D-4F04-BA85-DAE058DDC9E3}"/>
    <cellStyle name="Normal 2 2 2 2 2 14 2 11" xfId="176" xr:uid="{DCF4A055-3B35-44A8-BC0B-9B60FED82E5B}"/>
    <cellStyle name="Normal 2 2 2 2 2 14 2 2" xfId="103" xr:uid="{9DF71C3B-A9D7-407E-9774-05F7BF4A5C3C}"/>
    <cellStyle name="Normal 2 2 2 2 2 14 2 3" xfId="152" xr:uid="{A19199FB-45B4-49F0-B3CA-F69A5C4D9242}"/>
    <cellStyle name="Normal 2 2 2 2 2 14 2 4" xfId="155" xr:uid="{6398A452-B2E3-4774-B7F2-FED15C484E79}"/>
    <cellStyle name="Normal 2 2 2 2 2 14 2 5" xfId="157" xr:uid="{2C1E0D6E-1AC4-4D86-9D7E-40D561BE7EEA}"/>
    <cellStyle name="Normal 2 2 2 2 2 14 2 6" xfId="159" xr:uid="{EB7CD2FF-9133-49F9-9AE1-579EFCCE67AE}"/>
    <cellStyle name="Normal 2 2 2 2 2 14 2 7" xfId="163" xr:uid="{B40D8CCB-8385-4E0E-BD24-0EBCE112E09D}"/>
    <cellStyle name="Normal 2 2 2 2 2 14 2 8" xfId="167" xr:uid="{8C78F649-B4CC-4417-817D-52FAF767E218}"/>
    <cellStyle name="Normal 2 2 2 2 2 14 2 9" xfId="171" xr:uid="{4CD389DA-ABAC-4225-AA1F-D17A97824052}"/>
    <cellStyle name="Normal 2 2 2 2 2 15" xfId="100" xr:uid="{0A63F6C8-5BF2-4390-AFD0-135CAC20CBF1}"/>
    <cellStyle name="Normal 2 2 2 2 2 16" xfId="105" xr:uid="{E09F41EE-5A04-4CE5-8C79-36BE6022B50B}"/>
    <cellStyle name="Normal 2 2 2 2 2 17" xfId="110" xr:uid="{77EE3D80-FC81-4071-972B-DD0007EE9120}"/>
    <cellStyle name="Normal 2 2 2 2 2 18" xfId="113" xr:uid="{12D8EDD1-D231-4B5C-9EC0-D9A99AFCEBE3}"/>
    <cellStyle name="Normal 2 2 2 2 2 19" xfId="116" xr:uid="{2EACF717-645C-4DF4-B0D6-756CB6F9EF85}"/>
    <cellStyle name="Normal 2 2 2 2 2 19 2" xfId="119" xr:uid="{DCA46D92-A67B-4460-82DD-B932E738692D}"/>
    <cellStyle name="Normal 2 2 2 2 2 19 2 2" xfId="123" xr:uid="{DE135E61-3777-4002-BBDD-3F0AC99D2592}"/>
    <cellStyle name="Normal 2 2 2 2 2 19 2 2 2" xfId="139" xr:uid="{53556E85-4497-4E04-85E4-246A92181DF1}"/>
    <cellStyle name="Normal 2 2 2 2 2 19 2 2 3" xfId="143" xr:uid="{3B77D7E3-A306-4B4B-B4E3-FD58F807B7A5}"/>
    <cellStyle name="Normal 2 2 2 2 2 19 2 2 4" xfId="145" xr:uid="{39F8AF28-2C6F-4D2F-A4EA-315A449AE2F5}"/>
    <cellStyle name="Normal 2 2 2 2 2 19 2 2 5" xfId="148" xr:uid="{2DB445CC-C1AB-4FFD-8DE9-D76CB9D3CAE4}"/>
    <cellStyle name="Normal 2 2 2 2 2 19 2 3" xfId="126" xr:uid="{EC124601-B006-421C-86E4-DB49540F0D93}"/>
    <cellStyle name="Normal 2 2 2 2 2 19 2 4" xfId="127" xr:uid="{9EAE339A-A213-46C7-9236-7B790883C557}"/>
    <cellStyle name="Normal 2 2 2 2 2 19 2 5" xfId="130" xr:uid="{59688349-258A-47A3-89C6-D1439E2066C0}"/>
    <cellStyle name="Normal 2 2 2 2 2 19 2 6" xfId="135" xr:uid="{48A0AB64-44EA-47F1-AAEA-EB4014F3E37A}"/>
    <cellStyle name="Normal 2 2 2 2 2 2" xfId="32" xr:uid="{1197FA3F-BF4F-4700-B010-C379941CCDAF}"/>
    <cellStyle name="Normal 2 2 2 2 2 20" xfId="133" xr:uid="{80052288-1E82-4E7B-9574-79C32C4900A9}"/>
    <cellStyle name="Normal 2 2 2 2 2 21" xfId="137" xr:uid="{69C5F400-3E41-4A3D-829E-08ADD70BE143}"/>
    <cellStyle name="Normal 2 2 2 2 2 22" xfId="141" xr:uid="{4B259686-8F74-4E30-8605-1043B5881232}"/>
    <cellStyle name="Normal 2 2 2 2 2 23" xfId="150" xr:uid="{57E9C4BE-78BD-410F-A260-2763A3EAA72F}"/>
    <cellStyle name="Normal 2 2 2 2 2 24" xfId="161" xr:uid="{B87C3B6C-29B8-4672-AFAF-50D19E6DA66A}"/>
    <cellStyle name="Normal 2 2 2 2 2 25" xfId="165" xr:uid="{EA2E5100-32AB-4CDE-96D0-83A321BDBCB7}"/>
    <cellStyle name="Normal 2 2 2 2 2 26" xfId="169" xr:uid="{3A95B1F1-2820-4D8C-AC4F-67219B29AB9B}"/>
    <cellStyle name="Normal 2 2 2 2 2 27" xfId="178" xr:uid="{3EFD0440-26EF-4D39-AC7E-5055AAF689BB}"/>
    <cellStyle name="Normal 2 2 2 2 2 3" xfId="37" xr:uid="{23086BF0-9E15-4AFD-8298-5C0445D9106D}"/>
    <cellStyle name="Normal 2 2 2 2 2 4" xfId="44" xr:uid="{A3148C77-FA4C-428C-8107-8F1F51956465}"/>
    <cellStyle name="Normal 2 2 2 2 2 5" xfId="56" xr:uid="{A56627D3-F7DA-4241-8447-5AC0B55D52E3}"/>
    <cellStyle name="Normal 2 2 2 2 2 6" xfId="60" xr:uid="{0BB0D8D1-A510-4AB4-916C-8C7EED0E21B2}"/>
    <cellStyle name="Normal 2 2 2 2 2 7" xfId="66" xr:uid="{D52154A4-1A74-4CA8-A0A0-5C192398D4BF}"/>
    <cellStyle name="Normal 2 2 2 2 2 8" xfId="72" xr:uid="{21305329-5ADD-467F-B494-8CD5AE13B17A}"/>
    <cellStyle name="Normal 2 2 2 2 2 9" xfId="76" xr:uid="{5B562FA0-C0D5-49D8-B482-DC178A8FE703}"/>
    <cellStyle name="Normal 2 2 2 2 20" xfId="109" xr:uid="{7127331A-80A1-4BF9-A4E0-EC0523B2B670}"/>
    <cellStyle name="Normal 2 2 2 2 3" xfId="40" xr:uid="{80B7D699-E614-4E68-9511-DE0123419B3A}"/>
    <cellStyle name="Normal 2 2 2 2 4" xfId="42" xr:uid="{BC565435-48F3-4A3E-9C93-893B89B905F3}"/>
    <cellStyle name="Normal 2 2 2 2 5" xfId="46" xr:uid="{249ECC14-35D7-42D4-A8BD-9D57B4B0C22B}"/>
    <cellStyle name="Normal 2 2 2 2 6" xfId="48" xr:uid="{061436BD-E7EE-4D01-8321-CD062A194D24}"/>
    <cellStyle name="Normal 2 2 2 2 7" xfId="50" xr:uid="{7E66AB1A-4EC0-4038-8DE3-3C8D52B23DEA}"/>
    <cellStyle name="Normal 2 2 2 2 8" xfId="52" xr:uid="{5D03DA35-A948-48C7-964B-FA270259F1D0}"/>
    <cellStyle name="Normal 2 2 2 2 9" xfId="54" xr:uid="{B063A212-F519-4AB4-9211-4F84889ABE8E}"/>
    <cellStyle name="Normal 2 2 3" xfId="13" xr:uid="{0F31CA93-51D6-4E2A-A150-8D7A4575501C}"/>
    <cellStyle name="Normal 2 3" xfId="30" xr:uid="{95E4E46D-11E5-4342-9402-26EBCCAD7CFE}"/>
    <cellStyle name="Normal 2 4" xfId="35" xr:uid="{1300D7B1-1A4A-4AB2-9C60-3061A0AE6447}"/>
    <cellStyle name="Normal 2 5" xfId="39" xr:uid="{E99824E4-3B91-4BEA-8960-CD675DC6BF30}"/>
    <cellStyle name="Normal 3" xfId="8" xr:uid="{BF0954ED-9618-4939-802F-4313CEFF363A}"/>
    <cellStyle name="Normal 3 2" xfId="12" xr:uid="{024F0E83-14B8-40A1-82F4-E6A61141AFFD}"/>
    <cellStyle name="Normal 4" xfId="9" xr:uid="{2B8C8CD6-CE95-4F2E-8435-0EA14EC2F6BF}"/>
    <cellStyle name="Normal 4 2" xfId="15" xr:uid="{70F5E821-71B0-4021-88C9-DAC616960B0F}"/>
    <cellStyle name="Normal 5" xfId="14" xr:uid="{3CCFA678-76F5-498F-8E06-BD21A725C7CB}"/>
    <cellStyle name="Normal 6" xfId="24" xr:uid="{79664945-E53A-4B30-9386-ECF9E1BCEF63}"/>
    <cellStyle name="Normal 7" xfId="25" xr:uid="{C4D44B74-917C-421C-B916-D7D5F3941CC0}"/>
    <cellStyle name="Normal 8" xfId="28" xr:uid="{DF56A550-372E-4B48-8286-9DC780FC6520}"/>
    <cellStyle name="Percent 2" xfId="23" xr:uid="{A8D49C7C-72EB-405C-AF6F-48C8FB6B52FD}"/>
    <cellStyle name="Percent 2 10" xfId="81" xr:uid="{CCE4E0E0-4EA9-49F0-85B0-3A02FE18776A}"/>
    <cellStyle name="Percent 2 11" xfId="85" xr:uid="{831AD568-B905-4FC2-A5CA-1D94DC6418ED}"/>
    <cellStyle name="Percent 2 12" xfId="89" xr:uid="{38C6AF97-C465-40C4-98C1-9CEE829AB947}"/>
    <cellStyle name="Percent 2 13" xfId="93" xr:uid="{E8B853AA-BC4B-42C3-9B56-EBF7646C56F6}"/>
    <cellStyle name="Percent 2 14" xfId="95" xr:uid="{B866174B-7EC4-4C3E-87E0-B82596DA12F5}"/>
    <cellStyle name="Percent 2 15" xfId="101" xr:uid="{BFFC86A4-E687-4948-AB28-62E7722D020A}"/>
    <cellStyle name="Percent 2 16" xfId="106" xr:uid="{7DFCC93A-372A-450F-82C6-61B6B40EC16C}"/>
    <cellStyle name="Percent 2 17" xfId="111" xr:uid="{7F4422E1-1107-40DC-A1CD-E5314E543046}"/>
    <cellStyle name="Percent 2 18" xfId="115" xr:uid="{18D53AA4-F8B6-44B8-AAC3-D12E9E22CC20}"/>
    <cellStyle name="Percent 2 19" xfId="118" xr:uid="{6BEF71AC-89B1-46D5-8C5F-BCB71BB4314D}"/>
    <cellStyle name="Percent 2 2" xfId="34" xr:uid="{1D0C1C3D-2396-4061-8FE2-776E959ECA96}"/>
    <cellStyle name="Percent 2 20" xfId="121" xr:uid="{94D5F04F-D11C-4D4A-BE25-D0300AC1E117}"/>
    <cellStyle name="Percent 2 21" xfId="124" xr:uid="{3137EBEE-33FB-46D6-854B-6671F4FC3FEA}"/>
    <cellStyle name="Percent 2 22" xfId="129" xr:uid="{EDBDF2BF-FBB1-4FB7-A0F0-E87EE3669630}"/>
    <cellStyle name="Percent 2 23" xfId="132" xr:uid="{92231885-1B0E-49F8-89E0-76FD3BDF0619}"/>
    <cellStyle name="Percent 2 24" xfId="134" xr:uid="{A161A63C-6FCB-4DDA-94DE-11C87C4ABF76}"/>
    <cellStyle name="Percent 2 25" xfId="138" xr:uid="{CF324CC7-FBAD-49A1-B6FE-DC102116C56C}"/>
    <cellStyle name="Percent 2 26" xfId="142" xr:uid="{EA07C3A0-37CE-45C3-82B1-350B88984F7E}"/>
    <cellStyle name="Percent 2 27" xfId="147" xr:uid="{79026A05-B17F-466C-AE2F-847918C81104}"/>
    <cellStyle name="Percent 2 28" xfId="151" xr:uid="{ACC7A233-FECC-41F0-B135-8715C8A277C6}"/>
    <cellStyle name="Percent 2 29" xfId="154" xr:uid="{6BF91BBA-BFC5-4FA3-B296-4206F057E590}"/>
    <cellStyle name="Percent 2 3" xfId="38" xr:uid="{44EF7A40-5146-45F5-A86B-2F0C0D922183}"/>
    <cellStyle name="Percent 2 30" xfId="162" xr:uid="{5858031C-8494-44D8-B744-B23ADB22DAB9}"/>
    <cellStyle name="Percent 2 31" xfId="166" xr:uid="{E9200617-2B5A-4FC3-8FB3-5C7D9F1E11C1}"/>
    <cellStyle name="Percent 2 32" xfId="170" xr:uid="{3E325869-55A0-4E7B-A9EC-755E63CE37C7}"/>
    <cellStyle name="Percent 2 33" xfId="179" xr:uid="{19B9A5D4-FEE6-4FC5-A614-DFB64AB68CDF}"/>
    <cellStyle name="Percent 2 4" xfId="45" xr:uid="{1D9472FC-F69E-45EB-84ED-2F2473727A96}"/>
    <cellStyle name="Percent 2 5" xfId="57" xr:uid="{9205B7B0-511A-4C89-A11E-5E59992683E9}"/>
    <cellStyle name="Percent 2 6" xfId="61" xr:uid="{C631D460-40C4-41CF-83A0-77F50F708767}"/>
    <cellStyle name="Percent 2 7" xfId="67" xr:uid="{F374BA96-A90E-4DDC-B13D-4EEC34C5A729}"/>
    <cellStyle name="Percent 2 8" xfId="73" xr:uid="{390D703F-ACB4-44E9-904E-6852ECE10C2D}"/>
    <cellStyle name="Percent 2 9" xfId="77" xr:uid="{F7F8CA10-EE08-4649-ADB1-E55B8098B9E9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035657236101573E-2"/>
          <c:y val="6.0348656804560516E-2"/>
          <c:w val="0.93494242022185192"/>
          <c:h val="0.6927854869612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'KPI-(ข้อ1)'!$A$13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'KPI-(ข้อ1)'!$C$8:$N$8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'KPI-(ข้อ1)'!$C$13:$N$13</c:f>
              <c:numCache>
                <c:formatCode>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2A1-4D02-9864-CCF992BC3315}"/>
            </c:ext>
          </c:extLst>
        </c:ser>
        <c:ser>
          <c:idx val="1"/>
          <c:order val="1"/>
          <c:tx>
            <c:strRef>
              <c:f>'KPI-(ข้อ1)'!$A$14</c:f>
              <c:strCache>
                <c:ptCount val="1"/>
                <c:pt idx="0">
                  <c:v>ผลการประเมิน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'KPI-(ข้อ1)'!$C$8:$N$8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'KPI-(ข้อ1)'!$C$14:$N$14</c:f>
              <c:numCache>
                <c:formatCode>0.00%</c:formatCode>
                <c:ptCount val="12"/>
                <c:pt idx="0">
                  <c:v>0.93220000000000003</c:v>
                </c:pt>
                <c:pt idx="1">
                  <c:v>0.90090000000000003</c:v>
                </c:pt>
                <c:pt idx="2">
                  <c:v>0.90310000000000001</c:v>
                </c:pt>
                <c:pt idx="3">
                  <c:v>0.92549999999999999</c:v>
                </c:pt>
                <c:pt idx="4">
                  <c:v>0.96919999999999995</c:v>
                </c:pt>
                <c:pt idx="5">
                  <c:v>0.96120000000000005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A1-4D02-9864-CCF992BC3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872240"/>
        <c:axId val="1861872800"/>
      </c:barChart>
      <c:catAx>
        <c:axId val="1861872240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1872800"/>
        <c:crosses val="autoZero"/>
        <c:auto val="1"/>
        <c:lblAlgn val="ctr"/>
        <c:lblOffset val="100"/>
        <c:noMultiLvlLbl val="0"/>
      </c:catAx>
      <c:valAx>
        <c:axId val="1861872800"/>
        <c:scaling>
          <c:orientation val="minMax"/>
        </c:scaling>
        <c:delete val="0"/>
        <c:axPos val="l"/>
        <c:title>
          <c:overlay val="0"/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18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8790247589028E-2"/>
          <c:y val="0.11911337808184032"/>
          <c:w val="0.93494242022185192"/>
          <c:h val="0.6927854869612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'KPI-(ข้อ2)'!$A$13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'KPI-(ข้อ2)'!$C$8:$N$8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'KPI-(ข้อ2)'!$C$13:$N$13</c:f>
              <c:numCache>
                <c:formatCode>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E092-4597-ACE0-BD107A6DBAF2}"/>
            </c:ext>
          </c:extLst>
        </c:ser>
        <c:ser>
          <c:idx val="1"/>
          <c:order val="1"/>
          <c:tx>
            <c:strRef>
              <c:f>'KPI-(ข้อ2)'!$A$14</c:f>
              <c:strCache>
                <c:ptCount val="1"/>
                <c:pt idx="0">
                  <c:v>ผลการประเมิน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'KPI-(ข้อ2)'!$C$8:$N$8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'KPI-(ข้อ2)'!$C$14:$N$14</c:f>
              <c:numCache>
                <c:formatCode>0.00%</c:formatCode>
                <c:ptCount val="12"/>
                <c:pt idx="0">
                  <c:v>6.3299999999999995E-2</c:v>
                </c:pt>
                <c:pt idx="1">
                  <c:v>6.7400000000000002E-2</c:v>
                </c:pt>
                <c:pt idx="2">
                  <c:v>9.8599999999999993E-2</c:v>
                </c:pt>
                <c:pt idx="3">
                  <c:v>0.52100000000000002</c:v>
                </c:pt>
                <c:pt idx="4">
                  <c:v>0.1588</c:v>
                </c:pt>
                <c:pt idx="5">
                  <c:v>7.3599999999999999E-2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2-4597-ACE0-BD107A6DB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872240"/>
        <c:axId val="1861872800"/>
      </c:barChart>
      <c:catAx>
        <c:axId val="1861872240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1872800"/>
        <c:crosses val="autoZero"/>
        <c:auto val="1"/>
        <c:lblAlgn val="ctr"/>
        <c:lblOffset val="100"/>
        <c:noMultiLvlLbl val="0"/>
      </c:catAx>
      <c:valAx>
        <c:axId val="1861872800"/>
        <c:scaling>
          <c:orientation val="minMax"/>
        </c:scaling>
        <c:delete val="0"/>
        <c:axPos val="l"/>
        <c:title>
          <c:overlay val="0"/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18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872598</xdr:colOff>
      <xdr:row>16</xdr:row>
      <xdr:rowOff>298604</xdr:rowOff>
    </xdr:from>
    <xdr:to>
      <xdr:col>15</xdr:col>
      <xdr:colOff>611100</xdr:colOff>
      <xdr:row>26</xdr:row>
      <xdr:rowOff>13653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2603EC5-C1FD-4951-80FD-33F165DDB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21226</xdr:rowOff>
    </xdr:from>
    <xdr:to>
      <xdr:col>1</xdr:col>
      <xdr:colOff>1312028</xdr:colOff>
      <xdr:row>2</xdr:row>
      <xdr:rowOff>548911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45BA86F-AF44-45F7-9DB5-8CBDCCC8B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26"/>
          <a:ext cx="2188963" cy="10605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902546</xdr:colOff>
      <xdr:row>17</xdr:row>
      <xdr:rowOff>45996</xdr:rowOff>
    </xdr:from>
    <xdr:to>
      <xdr:col>15</xdr:col>
      <xdr:colOff>641048</xdr:colOff>
      <xdr:row>26</xdr:row>
      <xdr:rowOff>60402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3E8FD36-C333-4352-A618-8A93DAEB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264795</xdr:colOff>
      <xdr:row>0</xdr:row>
      <xdr:rowOff>55244</xdr:rowOff>
    </xdr:from>
    <xdr:to>
      <xdr:col>1</xdr:col>
      <xdr:colOff>1584443</xdr:colOff>
      <xdr:row>2</xdr:row>
      <xdr:rowOff>571499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2AC9F96-3A42-4C72-9C3F-64DDA5A1D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" y="55244"/>
          <a:ext cx="2188328" cy="10687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11179\c\DATA\Mpsmrp(banpoo)\MRPCK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oming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M\Desktop\FORCAST%20&#3626;&#3636;&#3609;&#3588;&#3657;&#3634;&#3612;&#3621;&#3636;&#3605;&#3611;&#3637;%2056\&#3648;&#3611;&#3657;&#3634;&#3612;&#3621;&#3636;&#3605;VENZ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19;&#3634;&#3618;&#3591;&#3634;&#3609;&#3611;&#3637;%202559\&#3649;&#3612;&#3609;&#3612;&#3621;&#3636;&#3605;&#3626;&#3636;&#3609;&#3588;&#3657;&#3634;%202016\1.&#3649;&#3612;&#3609;&#3612;&#3621;&#3636;&#3605;&#3626;&#3636;&#3609;&#3588;&#3657;&#3634;%20Jan%20'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-com-013\d\JACK\&#3648;&#3629;&#3585;&#3626;&#3634;&#3619;&#3626;&#3635;&#3588;&#3633;&#3597;\BOM\Bom%20Wolter\BOM%20Wolt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-com-013\d\JACK\&#3648;&#3629;&#3585;&#3626;&#3634;&#3619;&#3626;&#3635;&#3588;&#3633;&#3597;\BOM\Bom%20venz\Routh%20Cut%20BOM-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N%20GROUP\Planing\Team%20Data%20Sharing\k.&#3648;&#3629;&#3655;&#3617;&#3629;&#3619;\&#3649;&#3612;&#3609;&#3585;&#3634;&#3619;&#3651;&#3594;&#3657;&#3621;&#3623;&#3604;&#3607;&#3629;&#3591;&#3649;&#3604;&#3591;\2015\11.&#3621;&#3623;&#3604;&#3607;&#3629;&#3591;&#3649;&#3604;&#3591;%20Nov''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MRETURN2"/>
      <sheetName val="PRATRU"/>
      <sheetName val="imp_fan"/>
      <sheetName val="fr_inj+fan"/>
      <sheetName val="imp_inj  "/>
      <sheetName val="john"/>
      <sheetName val="fr_nut"/>
      <sheetName val="imp_comp "/>
      <sheetName val="fr_pipe"/>
      <sheetName val="imp_pipe"/>
      <sheetName val="bom"/>
      <sheetName val="imp_FCMSC"/>
      <sheetName val="fr_fan"/>
      <sheetName val="fr_other"/>
      <sheetName val="imp_FCAAT"/>
      <sheetName val="imp_stkm "/>
      <sheetName val="imp_other "/>
      <sheetName val="imp_Kobelco"/>
      <sheetName val="OAK"/>
      <sheetName val="bom_komatsu "/>
      <sheetName val="sup_komatsu"/>
      <sheetName val="imp_volvo"/>
      <sheetName val="others"/>
      <sheetName val="mazda"/>
      <sheetName val="t-rung"/>
      <sheetName val="msc"/>
      <sheetName val="List"/>
      <sheetName val="Data List"/>
      <sheetName val="BU"/>
      <sheetName val="อ้างอิง"/>
      <sheetName val="เหตุผ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ing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JEC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motor"/>
      <sheetName val="pump"/>
      <sheetName val="blower"/>
      <sheetName val="ยอดการใช้ ปี 56 ท่าไม้"/>
      <sheetName val="Description"/>
      <sheetName val="Diff."/>
      <sheetName val="Data"/>
      <sheetName val="Sheet2"/>
      <sheetName val="ELEC45-01"/>
      <sheetName val="2558"/>
      <sheetName val="MOTO"/>
      <sheetName val="STAT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Item</v>
          </cell>
        </row>
        <row r="2">
          <cell r="B2" t="str">
            <v>AA1001</v>
          </cell>
        </row>
        <row r="3">
          <cell r="B3" t="str">
            <v>AA1001-2</v>
          </cell>
        </row>
        <row r="4">
          <cell r="B4" t="str">
            <v>AA1002</v>
          </cell>
        </row>
        <row r="5">
          <cell r="B5" t="str">
            <v>AA1002-1</v>
          </cell>
        </row>
        <row r="6">
          <cell r="B6" t="str">
            <v>AA1003</v>
          </cell>
        </row>
        <row r="7">
          <cell r="B7" t="str">
            <v>AA1004</v>
          </cell>
        </row>
        <row r="8">
          <cell r="B8" t="str">
            <v>AA1009</v>
          </cell>
        </row>
        <row r="9">
          <cell r="B9" t="str">
            <v>AA2001</v>
          </cell>
        </row>
        <row r="10">
          <cell r="B10" t="str">
            <v>AA2002</v>
          </cell>
        </row>
        <row r="11">
          <cell r="B11" t="str">
            <v>AA2003</v>
          </cell>
        </row>
        <row r="12">
          <cell r="B12" t="str">
            <v>AA2004</v>
          </cell>
        </row>
        <row r="13">
          <cell r="B13" t="str">
            <v>AA2005</v>
          </cell>
        </row>
        <row r="14">
          <cell r="B14" t="str">
            <v>AA2005-1</v>
          </cell>
        </row>
        <row r="15">
          <cell r="B15" t="str">
            <v>AA2005-3</v>
          </cell>
        </row>
        <row r="16">
          <cell r="B16" t="str">
            <v>AA2006</v>
          </cell>
        </row>
        <row r="17">
          <cell r="B17" t="str">
            <v>AA2007</v>
          </cell>
        </row>
        <row r="18">
          <cell r="B18" t="str">
            <v>AA2008</v>
          </cell>
        </row>
        <row r="19">
          <cell r="B19" t="str">
            <v>AA2008-3</v>
          </cell>
        </row>
        <row r="20">
          <cell r="B20" t="str">
            <v>AA2009</v>
          </cell>
        </row>
        <row r="21">
          <cell r="B21" t="str">
            <v>AA2009-2</v>
          </cell>
        </row>
        <row r="22">
          <cell r="B22" t="str">
            <v>AA2010</v>
          </cell>
        </row>
        <row r="23">
          <cell r="B23" t="str">
            <v>AA2013</v>
          </cell>
        </row>
        <row r="24">
          <cell r="B24" t="str">
            <v>AA2014</v>
          </cell>
        </row>
        <row r="25">
          <cell r="B25" t="str">
            <v>AA2015</v>
          </cell>
        </row>
        <row r="26">
          <cell r="B26" t="str">
            <v>AA2016</v>
          </cell>
        </row>
        <row r="27">
          <cell r="B27" t="str">
            <v>AA2101</v>
          </cell>
        </row>
        <row r="28">
          <cell r="B28" t="str">
            <v>AA2105</v>
          </cell>
        </row>
        <row r="29">
          <cell r="B29" t="str">
            <v>AA2106</v>
          </cell>
        </row>
        <row r="30">
          <cell r="B30" t="str">
            <v>AA2108</v>
          </cell>
        </row>
        <row r="31">
          <cell r="B31" t="str">
            <v>AA2109</v>
          </cell>
        </row>
        <row r="32">
          <cell r="B32" t="str">
            <v>AA2110</v>
          </cell>
        </row>
        <row r="33">
          <cell r="B33" t="str">
            <v>AA2112</v>
          </cell>
        </row>
        <row r="34">
          <cell r="B34" t="str">
            <v>AA2113</v>
          </cell>
        </row>
        <row r="35">
          <cell r="B35" t="str">
            <v>AA2115</v>
          </cell>
        </row>
        <row r="36">
          <cell r="B36" t="str">
            <v>AA2116</v>
          </cell>
        </row>
        <row r="37">
          <cell r="B37" t="str">
            <v>AA2117</v>
          </cell>
        </row>
        <row r="38">
          <cell r="B38" t="str">
            <v>AA2122</v>
          </cell>
        </row>
        <row r="39">
          <cell r="B39" t="str">
            <v>AA2124</v>
          </cell>
        </row>
        <row r="40">
          <cell r="B40" t="str">
            <v>AA2125</v>
          </cell>
        </row>
        <row r="41">
          <cell r="B41" t="str">
            <v>AA2126</v>
          </cell>
        </row>
        <row r="42">
          <cell r="B42" t="str">
            <v>AA2128</v>
          </cell>
        </row>
        <row r="43">
          <cell r="B43" t="str">
            <v>AA2129</v>
          </cell>
        </row>
        <row r="44">
          <cell r="B44" t="str">
            <v>AA2134</v>
          </cell>
        </row>
        <row r="45">
          <cell r="B45" t="str">
            <v>AA2137</v>
          </cell>
        </row>
        <row r="46">
          <cell r="B46" t="str">
            <v>AA2144</v>
          </cell>
        </row>
        <row r="47">
          <cell r="B47" t="str">
            <v>AA2146</v>
          </cell>
        </row>
        <row r="48">
          <cell r="B48" t="str">
            <v>AA2148</v>
          </cell>
        </row>
        <row r="49">
          <cell r="B49" t="str">
            <v>AA2152</v>
          </cell>
        </row>
        <row r="50">
          <cell r="B50" t="str">
            <v>AA2153</v>
          </cell>
        </row>
        <row r="51">
          <cell r="B51" t="str">
            <v>AA2206</v>
          </cell>
        </row>
        <row r="52">
          <cell r="B52" t="str">
            <v>AA2209</v>
          </cell>
        </row>
        <row r="53">
          <cell r="B53" t="str">
            <v>AA2301</v>
          </cell>
        </row>
        <row r="54">
          <cell r="B54" t="str">
            <v>AA2302</v>
          </cell>
        </row>
        <row r="55">
          <cell r="B55" t="str">
            <v>AA2303</v>
          </cell>
        </row>
        <row r="56">
          <cell r="B56" t="str">
            <v>AA2304</v>
          </cell>
        </row>
        <row r="57">
          <cell r="B57" t="str">
            <v>AA2305</v>
          </cell>
        </row>
        <row r="58">
          <cell r="B58" t="str">
            <v>AA3001</v>
          </cell>
        </row>
        <row r="59">
          <cell r="B59" t="str">
            <v>AA3002</v>
          </cell>
        </row>
        <row r="60">
          <cell r="B60" t="str">
            <v>AA3003</v>
          </cell>
        </row>
        <row r="61">
          <cell r="B61" t="str">
            <v>AA3005</v>
          </cell>
        </row>
        <row r="62">
          <cell r="B62" t="str">
            <v>AA3006</v>
          </cell>
        </row>
        <row r="63">
          <cell r="B63" t="str">
            <v>AA3007</v>
          </cell>
        </row>
        <row r="64">
          <cell r="B64" t="str">
            <v>AA3008</v>
          </cell>
        </row>
        <row r="65">
          <cell r="B65" t="str">
            <v>AA3012</v>
          </cell>
        </row>
        <row r="66">
          <cell r="B66" t="str">
            <v>AA3013</v>
          </cell>
        </row>
        <row r="67">
          <cell r="B67" t="str">
            <v>AA3015</v>
          </cell>
        </row>
        <row r="68">
          <cell r="B68" t="str">
            <v>AA3016</v>
          </cell>
        </row>
        <row r="69">
          <cell r="B69" t="str">
            <v>AA3018</v>
          </cell>
        </row>
        <row r="70">
          <cell r="B70" t="str">
            <v>AA3019</v>
          </cell>
        </row>
        <row r="71">
          <cell r="B71" t="str">
            <v>AA3021</v>
          </cell>
        </row>
        <row r="72">
          <cell r="B72" t="str">
            <v>AA3022</v>
          </cell>
        </row>
        <row r="73">
          <cell r="B73" t="str">
            <v>AA3022-2</v>
          </cell>
        </row>
        <row r="74">
          <cell r="B74" t="str">
            <v>AA3023</v>
          </cell>
        </row>
        <row r="75">
          <cell r="B75" t="str">
            <v>AA3025</v>
          </cell>
        </row>
        <row r="76">
          <cell r="B76" t="str">
            <v>AA3026</v>
          </cell>
        </row>
        <row r="77">
          <cell r="B77" t="str">
            <v>AA3029</v>
          </cell>
        </row>
        <row r="78">
          <cell r="B78" t="str">
            <v>AA3030</v>
          </cell>
        </row>
        <row r="79">
          <cell r="B79" t="str">
            <v>AA3031</v>
          </cell>
        </row>
        <row r="80">
          <cell r="B80" t="str">
            <v>AA3032</v>
          </cell>
        </row>
        <row r="81">
          <cell r="B81" t="str">
            <v>AA3033</v>
          </cell>
        </row>
        <row r="82">
          <cell r="B82" t="str">
            <v>AA3034</v>
          </cell>
        </row>
        <row r="83">
          <cell r="B83" t="str">
            <v>AA3035</v>
          </cell>
        </row>
        <row r="84">
          <cell r="B84" t="str">
            <v>AA3036</v>
          </cell>
        </row>
        <row r="85">
          <cell r="B85" t="str">
            <v>AA3037</v>
          </cell>
        </row>
        <row r="86">
          <cell r="B86" t="str">
            <v>AA3038</v>
          </cell>
        </row>
        <row r="87">
          <cell r="B87" t="str">
            <v>AA3039</v>
          </cell>
        </row>
        <row r="88">
          <cell r="B88" t="str">
            <v>AA3040</v>
          </cell>
        </row>
        <row r="89">
          <cell r="B89" t="str">
            <v>AA3043</v>
          </cell>
        </row>
        <row r="90">
          <cell r="B90" t="str">
            <v>AA3045</v>
          </cell>
        </row>
        <row r="91">
          <cell r="B91" t="str">
            <v>AA3047</v>
          </cell>
        </row>
        <row r="92">
          <cell r="B92" t="str">
            <v>AA3047-B</v>
          </cell>
        </row>
        <row r="93">
          <cell r="B93" t="str">
            <v>AA3049</v>
          </cell>
        </row>
        <row r="94">
          <cell r="B94" t="str">
            <v>AA3050</v>
          </cell>
        </row>
        <row r="95">
          <cell r="B95" t="str">
            <v>AA3051</v>
          </cell>
        </row>
        <row r="96">
          <cell r="B96" t="str">
            <v>AA3058</v>
          </cell>
        </row>
        <row r="97">
          <cell r="B97" t="str">
            <v>AA3060</v>
          </cell>
        </row>
        <row r="98">
          <cell r="B98" t="str">
            <v>AA3061</v>
          </cell>
        </row>
        <row r="99">
          <cell r="B99" t="str">
            <v>AA3066</v>
          </cell>
        </row>
        <row r="100">
          <cell r="B100" t="str">
            <v>AA3071</v>
          </cell>
        </row>
        <row r="101">
          <cell r="B101" t="str">
            <v>AA3072</v>
          </cell>
        </row>
        <row r="102">
          <cell r="B102" t="str">
            <v>AA3073</v>
          </cell>
        </row>
        <row r="103">
          <cell r="B103" t="str">
            <v>AA3074</v>
          </cell>
        </row>
        <row r="104">
          <cell r="B104" t="str">
            <v>AA3079</v>
          </cell>
        </row>
        <row r="105">
          <cell r="B105" t="str">
            <v>AA3080</v>
          </cell>
        </row>
        <row r="106">
          <cell r="B106" t="str">
            <v>AA3081</v>
          </cell>
        </row>
        <row r="107">
          <cell r="B107" t="str">
            <v>AA3082</v>
          </cell>
        </row>
        <row r="108">
          <cell r="B108" t="str">
            <v>AA3083</v>
          </cell>
        </row>
        <row r="109">
          <cell r="B109" t="str">
            <v>AA3089</v>
          </cell>
        </row>
        <row r="110">
          <cell r="B110" t="str">
            <v>AA3090</v>
          </cell>
        </row>
        <row r="111">
          <cell r="B111" t="str">
            <v>AA3091</v>
          </cell>
        </row>
        <row r="112">
          <cell r="B112" t="str">
            <v>AA3092</v>
          </cell>
        </row>
        <row r="113">
          <cell r="B113" t="str">
            <v>AA3094</v>
          </cell>
        </row>
        <row r="114">
          <cell r="B114" t="str">
            <v>AA3097</v>
          </cell>
        </row>
        <row r="115">
          <cell r="B115" t="str">
            <v>AA3098</v>
          </cell>
        </row>
        <row r="116">
          <cell r="B116" t="str">
            <v>AA3099</v>
          </cell>
        </row>
        <row r="117">
          <cell r="B117" t="str">
            <v>AA4002</v>
          </cell>
        </row>
        <row r="118">
          <cell r="B118" t="str">
            <v>AA4004</v>
          </cell>
        </row>
        <row r="119">
          <cell r="B119" t="str">
            <v>AA4005</v>
          </cell>
        </row>
        <row r="120">
          <cell r="B120" t="str">
            <v>AA4006</v>
          </cell>
        </row>
        <row r="121">
          <cell r="B121" t="str">
            <v>AA4007</v>
          </cell>
        </row>
        <row r="122">
          <cell r="B122" t="str">
            <v>AA4010</v>
          </cell>
        </row>
        <row r="123">
          <cell r="B123" t="str">
            <v>AA4011</v>
          </cell>
        </row>
        <row r="124">
          <cell r="B124" t="str">
            <v>AA4012</v>
          </cell>
        </row>
        <row r="125">
          <cell r="B125" t="str">
            <v>AA4013</v>
          </cell>
        </row>
        <row r="126">
          <cell r="B126" t="str">
            <v>AA4015</v>
          </cell>
        </row>
        <row r="127">
          <cell r="B127" t="str">
            <v>AA4016</v>
          </cell>
        </row>
        <row r="128">
          <cell r="B128" t="str">
            <v>AA4020</v>
          </cell>
        </row>
        <row r="129">
          <cell r="B129" t="str">
            <v>AA4021</v>
          </cell>
        </row>
        <row r="130">
          <cell r="B130" t="str">
            <v>AA4022</v>
          </cell>
        </row>
        <row r="131">
          <cell r="B131" t="str">
            <v>AA4023</v>
          </cell>
        </row>
        <row r="132">
          <cell r="B132" t="str">
            <v>AA4025</v>
          </cell>
        </row>
        <row r="133">
          <cell r="B133" t="str">
            <v>AA4026</v>
          </cell>
        </row>
        <row r="134">
          <cell r="B134" t="str">
            <v>AA4027</v>
          </cell>
        </row>
        <row r="135">
          <cell r="B135" t="str">
            <v>AA4028</v>
          </cell>
        </row>
        <row r="136">
          <cell r="B136" t="str">
            <v>AA4029</v>
          </cell>
        </row>
        <row r="137">
          <cell r="B137" t="str">
            <v>AA4030</v>
          </cell>
        </row>
        <row r="138">
          <cell r="B138" t="str">
            <v>AA4031</v>
          </cell>
        </row>
        <row r="139">
          <cell r="B139" t="str">
            <v>AA4032</v>
          </cell>
        </row>
        <row r="140">
          <cell r="B140" t="str">
            <v>AA4033</v>
          </cell>
        </row>
        <row r="141">
          <cell r="B141" t="str">
            <v>AA4034</v>
          </cell>
        </row>
        <row r="142">
          <cell r="B142" t="str">
            <v>AA4039</v>
          </cell>
        </row>
        <row r="143">
          <cell r="B143" t="str">
            <v>AA4042</v>
          </cell>
        </row>
        <row r="144">
          <cell r="B144" t="str">
            <v>AA4043</v>
          </cell>
        </row>
        <row r="145">
          <cell r="B145" t="str">
            <v>AA4101</v>
          </cell>
        </row>
        <row r="146">
          <cell r="B146" t="str">
            <v>AA5004</v>
          </cell>
        </row>
        <row r="147">
          <cell r="B147" t="str">
            <v>AA5008</v>
          </cell>
        </row>
        <row r="148">
          <cell r="B148" t="str">
            <v>AA5012</v>
          </cell>
        </row>
        <row r="149">
          <cell r="B149" t="str">
            <v>AA5023</v>
          </cell>
        </row>
        <row r="150">
          <cell r="B150" t="str">
            <v>AA6002</v>
          </cell>
        </row>
        <row r="151">
          <cell r="B151" t="str">
            <v>AA6014</v>
          </cell>
        </row>
        <row r="152">
          <cell r="B152" t="str">
            <v>AA6020</v>
          </cell>
        </row>
        <row r="153">
          <cell r="B153" t="str">
            <v>AA6022</v>
          </cell>
        </row>
        <row r="154">
          <cell r="B154" t="str">
            <v>AA7001</v>
          </cell>
        </row>
        <row r="155">
          <cell r="B155" t="str">
            <v>AA7002</v>
          </cell>
        </row>
        <row r="156">
          <cell r="B156" t="str">
            <v>AA7003</v>
          </cell>
        </row>
        <row r="157">
          <cell r="B157" t="str">
            <v>AA7005</v>
          </cell>
        </row>
        <row r="158">
          <cell r="B158" t="str">
            <v>AA7006</v>
          </cell>
        </row>
        <row r="159">
          <cell r="B159" t="str">
            <v>AA7007</v>
          </cell>
        </row>
        <row r="160">
          <cell r="B160" t="str">
            <v>AA7008</v>
          </cell>
        </row>
        <row r="161">
          <cell r="B161" t="str">
            <v>AA7011</v>
          </cell>
        </row>
        <row r="162">
          <cell r="B162" t="str">
            <v>AA7012</v>
          </cell>
        </row>
        <row r="163">
          <cell r="B163" t="str">
            <v>AA7013</v>
          </cell>
        </row>
        <row r="164">
          <cell r="B164" t="str">
            <v>AA7014</v>
          </cell>
        </row>
        <row r="165">
          <cell r="B165" t="str">
            <v>AA7015</v>
          </cell>
        </row>
        <row r="166">
          <cell r="B166" t="str">
            <v>AA7016</v>
          </cell>
        </row>
        <row r="167">
          <cell r="B167" t="str">
            <v>AA80003</v>
          </cell>
        </row>
        <row r="168">
          <cell r="B168" t="str">
            <v>AA80004</v>
          </cell>
        </row>
        <row r="169">
          <cell r="B169" t="str">
            <v>AA80005</v>
          </cell>
        </row>
        <row r="170">
          <cell r="B170" t="str">
            <v>AA80006</v>
          </cell>
        </row>
        <row r="171">
          <cell r="B171" t="str">
            <v>AA80007</v>
          </cell>
        </row>
        <row r="172">
          <cell r="B172" t="str">
            <v>AA80008</v>
          </cell>
        </row>
        <row r="173">
          <cell r="B173" t="str">
            <v>AA80009</v>
          </cell>
        </row>
        <row r="174">
          <cell r="B174" t="str">
            <v>AA80010</v>
          </cell>
        </row>
        <row r="175">
          <cell r="B175" t="str">
            <v>AA80011</v>
          </cell>
        </row>
        <row r="176">
          <cell r="B176" t="str">
            <v>AA80012</v>
          </cell>
        </row>
        <row r="177">
          <cell r="B177" t="str">
            <v>AA80013</v>
          </cell>
        </row>
        <row r="178">
          <cell r="B178" t="str">
            <v>AA80014</v>
          </cell>
        </row>
        <row r="179">
          <cell r="B179" t="str">
            <v>AA80015</v>
          </cell>
        </row>
        <row r="180">
          <cell r="B180" t="str">
            <v>AA80016</v>
          </cell>
        </row>
        <row r="181">
          <cell r="B181" t="str">
            <v>AA80017</v>
          </cell>
        </row>
        <row r="182">
          <cell r="B182" t="str">
            <v>AA80018</v>
          </cell>
        </row>
        <row r="183">
          <cell r="B183" t="str">
            <v>AA80019</v>
          </cell>
        </row>
        <row r="184">
          <cell r="B184" t="str">
            <v>AA80020</v>
          </cell>
        </row>
        <row r="185">
          <cell r="B185" t="str">
            <v>AA80021</v>
          </cell>
        </row>
        <row r="186">
          <cell r="B186" t="str">
            <v>AA80022</v>
          </cell>
        </row>
        <row r="187">
          <cell r="B187" t="str">
            <v>AA80023</v>
          </cell>
        </row>
        <row r="188">
          <cell r="B188" t="str">
            <v>AA80024</v>
          </cell>
        </row>
        <row r="189">
          <cell r="B189" t="str">
            <v>AA80025</v>
          </cell>
        </row>
        <row r="190">
          <cell r="B190" t="str">
            <v>AA80026</v>
          </cell>
        </row>
        <row r="191">
          <cell r="B191" t="str">
            <v>AA80027</v>
          </cell>
        </row>
        <row r="192">
          <cell r="B192" t="str">
            <v>AA80028</v>
          </cell>
        </row>
        <row r="193">
          <cell r="B193" t="str">
            <v>AA80029</v>
          </cell>
        </row>
        <row r="194">
          <cell r="B194" t="str">
            <v>AA80030</v>
          </cell>
        </row>
        <row r="195">
          <cell r="B195" t="str">
            <v>AA80031</v>
          </cell>
        </row>
        <row r="196">
          <cell r="B196" t="str">
            <v>AA80032</v>
          </cell>
        </row>
        <row r="197">
          <cell r="B197" t="str">
            <v>AA80033</v>
          </cell>
        </row>
        <row r="198">
          <cell r="B198" t="str">
            <v>AA80034</v>
          </cell>
        </row>
        <row r="199">
          <cell r="B199" t="str">
            <v>AA80035</v>
          </cell>
        </row>
        <row r="200">
          <cell r="B200" t="str">
            <v>AA80036</v>
          </cell>
        </row>
        <row r="201">
          <cell r="B201" t="str">
            <v>AA80037</v>
          </cell>
        </row>
        <row r="202">
          <cell r="B202" t="str">
            <v>AA80038</v>
          </cell>
        </row>
        <row r="203">
          <cell r="B203" t="str">
            <v>AA80039</v>
          </cell>
        </row>
        <row r="204">
          <cell r="B204" t="str">
            <v>AA80040</v>
          </cell>
        </row>
        <row r="205">
          <cell r="B205" t="str">
            <v>AA80041</v>
          </cell>
        </row>
        <row r="206">
          <cell r="B206" t="str">
            <v>AA80042</v>
          </cell>
        </row>
        <row r="207">
          <cell r="B207" t="str">
            <v>AA80043</v>
          </cell>
        </row>
        <row r="208">
          <cell r="B208" t="str">
            <v>AA80044</v>
          </cell>
        </row>
        <row r="209">
          <cell r="B209" t="str">
            <v>AA80045</v>
          </cell>
        </row>
        <row r="210">
          <cell r="B210" t="str">
            <v>AA80046</v>
          </cell>
        </row>
        <row r="211">
          <cell r="B211" t="str">
            <v>AA80047</v>
          </cell>
        </row>
        <row r="212">
          <cell r="B212" t="str">
            <v>AA80048</v>
          </cell>
        </row>
        <row r="213">
          <cell r="B213" t="str">
            <v>AA80049</v>
          </cell>
        </row>
        <row r="214">
          <cell r="B214" t="str">
            <v>AA80050</v>
          </cell>
        </row>
        <row r="215">
          <cell r="B215" t="str">
            <v>AA80051</v>
          </cell>
        </row>
        <row r="216">
          <cell r="B216" t="str">
            <v>AA80052</v>
          </cell>
        </row>
        <row r="217">
          <cell r="B217" t="str">
            <v>AA80053</v>
          </cell>
        </row>
        <row r="218">
          <cell r="B218" t="str">
            <v>AA80054</v>
          </cell>
        </row>
        <row r="219">
          <cell r="B219" t="str">
            <v>AA80055</v>
          </cell>
        </row>
        <row r="220">
          <cell r="B220" t="str">
            <v>AA80056</v>
          </cell>
        </row>
        <row r="221">
          <cell r="B221" t="str">
            <v>AA80057</v>
          </cell>
        </row>
        <row r="222">
          <cell r="B222" t="str">
            <v>AA80059</v>
          </cell>
        </row>
        <row r="223">
          <cell r="B223" t="str">
            <v>AA80060</v>
          </cell>
        </row>
        <row r="224">
          <cell r="B224" t="str">
            <v>AA80061</v>
          </cell>
        </row>
        <row r="225">
          <cell r="B225" t="str">
            <v>AA80062</v>
          </cell>
        </row>
        <row r="226">
          <cell r="B226" t="str">
            <v>AA80063</v>
          </cell>
        </row>
        <row r="227">
          <cell r="B227" t="str">
            <v>AA80064</v>
          </cell>
        </row>
        <row r="228">
          <cell r="B228" t="str">
            <v>AA80065</v>
          </cell>
        </row>
        <row r="229">
          <cell r="B229" t="str">
            <v>AA80066</v>
          </cell>
        </row>
        <row r="230">
          <cell r="B230" t="str">
            <v>AA80067</v>
          </cell>
        </row>
        <row r="231">
          <cell r="B231" t="str">
            <v>AA80068</v>
          </cell>
        </row>
        <row r="232">
          <cell r="B232" t="str">
            <v>AA80069</v>
          </cell>
        </row>
        <row r="233">
          <cell r="B233" t="str">
            <v>AA80070</v>
          </cell>
        </row>
        <row r="234">
          <cell r="B234" t="str">
            <v>AA80071</v>
          </cell>
        </row>
        <row r="235">
          <cell r="B235" t="str">
            <v>AA80074</v>
          </cell>
        </row>
        <row r="236">
          <cell r="B236" t="str">
            <v>AA80075</v>
          </cell>
        </row>
        <row r="237">
          <cell r="B237" t="str">
            <v>AA80076</v>
          </cell>
        </row>
        <row r="238">
          <cell r="B238" t="str">
            <v>AA80077</v>
          </cell>
        </row>
        <row r="239">
          <cell r="B239" t="str">
            <v>AA80078</v>
          </cell>
        </row>
        <row r="240">
          <cell r="B240" t="str">
            <v>AA80079</v>
          </cell>
        </row>
        <row r="241">
          <cell r="B241" t="str">
            <v>AA80080</v>
          </cell>
        </row>
        <row r="242">
          <cell r="B242" t="str">
            <v>AA80081</v>
          </cell>
        </row>
        <row r="243">
          <cell r="B243" t="str">
            <v>AA80082</v>
          </cell>
        </row>
        <row r="244">
          <cell r="B244" t="str">
            <v>AA80083</v>
          </cell>
        </row>
        <row r="245">
          <cell r="B245" t="str">
            <v>AA80084</v>
          </cell>
        </row>
        <row r="246">
          <cell r="B246" t="str">
            <v>AA80085</v>
          </cell>
        </row>
        <row r="247">
          <cell r="B247" t="str">
            <v>AA80086</v>
          </cell>
        </row>
        <row r="248">
          <cell r="B248" t="str">
            <v>AA9201</v>
          </cell>
        </row>
        <row r="249">
          <cell r="B249" t="str">
            <v>AA9202</v>
          </cell>
        </row>
        <row r="250">
          <cell r="B250" t="str">
            <v>AA9203</v>
          </cell>
        </row>
        <row r="251">
          <cell r="B251" t="str">
            <v>AA9204</v>
          </cell>
        </row>
        <row r="252">
          <cell r="B252" t="str">
            <v>AA9205</v>
          </cell>
        </row>
        <row r="253">
          <cell r="B253" t="str">
            <v>AA9206</v>
          </cell>
        </row>
        <row r="254">
          <cell r="B254" t="str">
            <v>AA9206-1</v>
          </cell>
        </row>
        <row r="255">
          <cell r="B255" t="str">
            <v>AA9207</v>
          </cell>
        </row>
        <row r="256">
          <cell r="B256" t="str">
            <v>AA9208</v>
          </cell>
        </row>
        <row r="257">
          <cell r="B257" t="str">
            <v>AA9209</v>
          </cell>
        </row>
        <row r="258">
          <cell r="B258" t="str">
            <v>AA9210</v>
          </cell>
        </row>
        <row r="259">
          <cell r="B259" t="str">
            <v>AA9211</v>
          </cell>
        </row>
        <row r="260">
          <cell r="B260" t="str">
            <v>AA9212</v>
          </cell>
        </row>
        <row r="261">
          <cell r="B261" t="str">
            <v>AA9213</v>
          </cell>
        </row>
        <row r="262">
          <cell r="B262" t="str">
            <v>AA9214</v>
          </cell>
        </row>
        <row r="263">
          <cell r="B263" t="str">
            <v>AA9215</v>
          </cell>
        </row>
        <row r="264">
          <cell r="B264" t="str">
            <v>AA9216</v>
          </cell>
        </row>
        <row r="265">
          <cell r="B265" t="str">
            <v>AA9217</v>
          </cell>
        </row>
        <row r="266">
          <cell r="B266" t="str">
            <v>AA9218</v>
          </cell>
        </row>
        <row r="267">
          <cell r="B267" t="str">
            <v>AA9219</v>
          </cell>
        </row>
        <row r="268">
          <cell r="B268" t="str">
            <v>AA9220</v>
          </cell>
        </row>
        <row r="269">
          <cell r="B269" t="str">
            <v>AA9221</v>
          </cell>
        </row>
        <row r="270">
          <cell r="B270" t="str">
            <v>AA9222</v>
          </cell>
        </row>
        <row r="271">
          <cell r="B271" t="str">
            <v>AA9223</v>
          </cell>
        </row>
        <row r="272">
          <cell r="B272" t="str">
            <v>AA9224</v>
          </cell>
        </row>
        <row r="273">
          <cell r="B273" t="str">
            <v>AA9225</v>
          </cell>
        </row>
        <row r="274">
          <cell r="B274" t="str">
            <v>AA9226</v>
          </cell>
        </row>
        <row r="275">
          <cell r="B275" t="str">
            <v>AA9301</v>
          </cell>
        </row>
        <row r="276">
          <cell r="B276" t="str">
            <v>AA9302</v>
          </cell>
        </row>
        <row r="277">
          <cell r="B277" t="str">
            <v>AA9303</v>
          </cell>
        </row>
        <row r="278">
          <cell r="B278" t="str">
            <v>AA9304</v>
          </cell>
        </row>
        <row r="279">
          <cell r="B279" t="str">
            <v>AA9304-1</v>
          </cell>
        </row>
        <row r="280">
          <cell r="B280" t="str">
            <v>AA9305</v>
          </cell>
        </row>
        <row r="281">
          <cell r="B281" t="str">
            <v>AA9306</v>
          </cell>
        </row>
        <row r="282">
          <cell r="B282" t="str">
            <v>AA9307</v>
          </cell>
        </row>
        <row r="283">
          <cell r="B283" t="str">
            <v>AA9311</v>
          </cell>
        </row>
        <row r="284">
          <cell r="B284" t="str">
            <v>AA9312</v>
          </cell>
        </row>
        <row r="285">
          <cell r="B285" t="str">
            <v>AA9313</v>
          </cell>
        </row>
        <row r="286">
          <cell r="B286" t="str">
            <v>AA9314</v>
          </cell>
        </row>
        <row r="287">
          <cell r="B287" t="str">
            <v>AA9314-1</v>
          </cell>
        </row>
        <row r="288">
          <cell r="B288" t="str">
            <v>AA9315</v>
          </cell>
        </row>
        <row r="289">
          <cell r="B289" t="str">
            <v>AA9316</v>
          </cell>
        </row>
        <row r="290">
          <cell r="B290" t="str">
            <v>AA9317</v>
          </cell>
        </row>
        <row r="291">
          <cell r="B291" t="str">
            <v>AA9318</v>
          </cell>
        </row>
        <row r="292">
          <cell r="B292" t="str">
            <v>AA9320</v>
          </cell>
        </row>
        <row r="293">
          <cell r="B293" t="str">
            <v>AA9321</v>
          </cell>
        </row>
        <row r="294">
          <cell r="B294" t="str">
            <v>AA9322</v>
          </cell>
        </row>
        <row r="295">
          <cell r="B295" t="str">
            <v>AA9323</v>
          </cell>
        </row>
        <row r="296">
          <cell r="B296" t="str">
            <v>AA9324</v>
          </cell>
        </row>
        <row r="297">
          <cell r="B297" t="str">
            <v>AA9325</v>
          </cell>
        </row>
        <row r="298">
          <cell r="B298" t="str">
            <v>AA9326</v>
          </cell>
        </row>
        <row r="299">
          <cell r="B299" t="str">
            <v>AA9327</v>
          </cell>
        </row>
        <row r="300">
          <cell r="B300" t="str">
            <v>AA9328</v>
          </cell>
        </row>
        <row r="301">
          <cell r="B301" t="str">
            <v>AA9329</v>
          </cell>
        </row>
        <row r="302">
          <cell r="B302" t="str">
            <v>AA9330</v>
          </cell>
        </row>
        <row r="303">
          <cell r="B303" t="str">
            <v>AA9331</v>
          </cell>
        </row>
        <row r="304">
          <cell r="B304" t="str">
            <v>AA9332</v>
          </cell>
        </row>
        <row r="305">
          <cell r="B305" t="str">
            <v>AA9333</v>
          </cell>
        </row>
        <row r="306">
          <cell r="B306" t="str">
            <v>AA9334</v>
          </cell>
        </row>
        <row r="307">
          <cell r="B307" t="str">
            <v>AA9335</v>
          </cell>
        </row>
        <row r="308">
          <cell r="B308" t="str">
            <v>AA9336</v>
          </cell>
        </row>
        <row r="309">
          <cell r="B309" t="str">
            <v>AA9401</v>
          </cell>
        </row>
        <row r="310">
          <cell r="B310" t="str">
            <v>AA9402</v>
          </cell>
        </row>
        <row r="311">
          <cell r="B311" t="str">
            <v>AA9403</v>
          </cell>
        </row>
        <row r="312">
          <cell r="B312" t="str">
            <v>AA9404</v>
          </cell>
        </row>
        <row r="313">
          <cell r="B313" t="str">
            <v>AA9412</v>
          </cell>
        </row>
        <row r="314">
          <cell r="B314" t="str">
            <v>AA9603</v>
          </cell>
        </row>
        <row r="315">
          <cell r="B315" t="str">
            <v>AJ0001</v>
          </cell>
        </row>
        <row r="316">
          <cell r="B316" t="str">
            <v>AJ0001-1</v>
          </cell>
        </row>
        <row r="317">
          <cell r="B317" t="str">
            <v>AJ0001-2</v>
          </cell>
        </row>
        <row r="318">
          <cell r="B318" t="str">
            <v>AJ0001-3</v>
          </cell>
        </row>
        <row r="319">
          <cell r="B319" t="str">
            <v>AJ0002</v>
          </cell>
        </row>
        <row r="320">
          <cell r="B320" t="str">
            <v>AJ0002-1</v>
          </cell>
        </row>
        <row r="321">
          <cell r="B321" t="str">
            <v>AJ0003</v>
          </cell>
        </row>
        <row r="322">
          <cell r="B322" t="str">
            <v>AJ0003-1</v>
          </cell>
        </row>
        <row r="323">
          <cell r="B323" t="str">
            <v>AJ0004</v>
          </cell>
        </row>
        <row r="324">
          <cell r="B324" t="str">
            <v>AJ0005</v>
          </cell>
        </row>
        <row r="325">
          <cell r="B325" t="str">
            <v>AJ0005-1</v>
          </cell>
        </row>
        <row r="326">
          <cell r="B326" t="str">
            <v>AJ0005-2</v>
          </cell>
        </row>
        <row r="327">
          <cell r="B327" t="str">
            <v>AJ0005-3</v>
          </cell>
        </row>
        <row r="328">
          <cell r="B328" t="str">
            <v>AJ0005-4</v>
          </cell>
        </row>
        <row r="329">
          <cell r="B329" t="str">
            <v>AJ0006</v>
          </cell>
        </row>
        <row r="330">
          <cell r="B330" t="str">
            <v>AJ0006-1</v>
          </cell>
        </row>
        <row r="331">
          <cell r="B331" t="str">
            <v>AJ0006-3</v>
          </cell>
        </row>
        <row r="332">
          <cell r="B332" t="str">
            <v>AJ0007</v>
          </cell>
        </row>
        <row r="333">
          <cell r="B333" t="str">
            <v>AJ0007-1</v>
          </cell>
        </row>
        <row r="334">
          <cell r="B334" t="str">
            <v>AJ0007-2</v>
          </cell>
        </row>
        <row r="335">
          <cell r="B335" t="str">
            <v>AJ0007-3</v>
          </cell>
        </row>
        <row r="336">
          <cell r="B336" t="str">
            <v>AJ0007-4</v>
          </cell>
        </row>
        <row r="337">
          <cell r="B337" t="str">
            <v>AJ0008</v>
          </cell>
        </row>
        <row r="338">
          <cell r="B338" t="str">
            <v>AJ0008-1</v>
          </cell>
        </row>
        <row r="339">
          <cell r="B339" t="str">
            <v>AJ0008-3</v>
          </cell>
        </row>
        <row r="340">
          <cell r="B340" t="str">
            <v>AJ0009</v>
          </cell>
        </row>
        <row r="341">
          <cell r="B341" t="str">
            <v>AJ0009-1</v>
          </cell>
        </row>
        <row r="342">
          <cell r="B342" t="str">
            <v>AJ0009-2</v>
          </cell>
        </row>
        <row r="343">
          <cell r="B343" t="str">
            <v>AJ0009-3</v>
          </cell>
        </row>
        <row r="344">
          <cell r="B344" t="str">
            <v>AJ0010</v>
          </cell>
        </row>
        <row r="345">
          <cell r="B345" t="str">
            <v>AJ0010-1</v>
          </cell>
        </row>
        <row r="346">
          <cell r="B346" t="str">
            <v>AJ0010-2</v>
          </cell>
        </row>
        <row r="347">
          <cell r="B347" t="str">
            <v>AJ0011</v>
          </cell>
        </row>
        <row r="348">
          <cell r="B348" t="str">
            <v>AJ0011-1</v>
          </cell>
        </row>
        <row r="349">
          <cell r="B349" t="str">
            <v>AJ0012</v>
          </cell>
        </row>
        <row r="350">
          <cell r="B350" t="str">
            <v>AJ0012-1</v>
          </cell>
        </row>
        <row r="351">
          <cell r="B351" t="str">
            <v>AJ0013</v>
          </cell>
        </row>
        <row r="352">
          <cell r="B352" t="str">
            <v>AJ0013-2</v>
          </cell>
        </row>
        <row r="353">
          <cell r="B353" t="str">
            <v>AJ0014</v>
          </cell>
        </row>
        <row r="354">
          <cell r="B354" t="str">
            <v>AJ0014-2</v>
          </cell>
        </row>
        <row r="355">
          <cell r="B355" t="str">
            <v>AJ0015</v>
          </cell>
        </row>
        <row r="356">
          <cell r="B356" t="str">
            <v>AJ0015-1</v>
          </cell>
        </row>
        <row r="357">
          <cell r="B357" t="str">
            <v>AJ0016</v>
          </cell>
        </row>
        <row r="358">
          <cell r="B358" t="str">
            <v>AJ0016-1</v>
          </cell>
        </row>
        <row r="359">
          <cell r="B359" t="str">
            <v>AJ0017</v>
          </cell>
        </row>
        <row r="360">
          <cell r="B360" t="str">
            <v>AJ0017-1</v>
          </cell>
        </row>
        <row r="361">
          <cell r="B361" t="str">
            <v>AJ0018</v>
          </cell>
        </row>
        <row r="362">
          <cell r="B362" t="str">
            <v>AJ0018-1</v>
          </cell>
        </row>
        <row r="363">
          <cell r="B363" t="str">
            <v>AJ0019</v>
          </cell>
        </row>
        <row r="364">
          <cell r="B364" t="str">
            <v>AJ0020</v>
          </cell>
        </row>
        <row r="365">
          <cell r="B365" t="str">
            <v>AJ0021</v>
          </cell>
        </row>
        <row r="366">
          <cell r="B366" t="str">
            <v>AJ0022</v>
          </cell>
        </row>
        <row r="367">
          <cell r="B367" t="str">
            <v>AJ0023</v>
          </cell>
        </row>
        <row r="368">
          <cell r="B368" t="str">
            <v>AJ0023-1</v>
          </cell>
        </row>
        <row r="369">
          <cell r="B369" t="str">
            <v>AJ0024</v>
          </cell>
        </row>
        <row r="370">
          <cell r="B370" t="str">
            <v>AJ0024-1</v>
          </cell>
        </row>
        <row r="371">
          <cell r="B371" t="str">
            <v>AJ0025</v>
          </cell>
        </row>
        <row r="372">
          <cell r="B372" t="str">
            <v>AJ0025-1</v>
          </cell>
        </row>
        <row r="373">
          <cell r="B373" t="str">
            <v>AJ0025-2</v>
          </cell>
        </row>
        <row r="374">
          <cell r="B374" t="str">
            <v>AJ0026</v>
          </cell>
        </row>
        <row r="375">
          <cell r="B375" t="str">
            <v>AJ0027</v>
          </cell>
        </row>
        <row r="376">
          <cell r="B376" t="str">
            <v>AJ0028</v>
          </cell>
        </row>
        <row r="377">
          <cell r="B377" t="str">
            <v>AJ0028-1</v>
          </cell>
        </row>
        <row r="378">
          <cell r="B378" t="str">
            <v>AJ0028-2</v>
          </cell>
        </row>
        <row r="379">
          <cell r="B379" t="str">
            <v>AJ0029</v>
          </cell>
        </row>
        <row r="380">
          <cell r="B380" t="str">
            <v>AJ0029-1</v>
          </cell>
        </row>
        <row r="381">
          <cell r="B381" t="str">
            <v>AJ0029-2</v>
          </cell>
        </row>
        <row r="382">
          <cell r="B382" t="str">
            <v>AJ0033</v>
          </cell>
        </row>
        <row r="383">
          <cell r="B383" t="str">
            <v>AJ0033-1</v>
          </cell>
        </row>
        <row r="384">
          <cell r="B384" t="str">
            <v>AJ0033-2</v>
          </cell>
        </row>
        <row r="385">
          <cell r="B385" t="str">
            <v>AJ0033-3</v>
          </cell>
        </row>
        <row r="386">
          <cell r="B386" t="str">
            <v>AJ0034</v>
          </cell>
        </row>
        <row r="387">
          <cell r="B387" t="str">
            <v>AJ0034-1</v>
          </cell>
        </row>
        <row r="388">
          <cell r="B388" t="str">
            <v>AJ0035</v>
          </cell>
        </row>
        <row r="389">
          <cell r="B389" t="str">
            <v>AJ0035-1</v>
          </cell>
        </row>
        <row r="390">
          <cell r="B390" t="str">
            <v>AJ0036</v>
          </cell>
        </row>
        <row r="391">
          <cell r="B391" t="str">
            <v>AJ0036-1</v>
          </cell>
        </row>
        <row r="392">
          <cell r="B392" t="str">
            <v>AJ0036-2</v>
          </cell>
        </row>
        <row r="393">
          <cell r="B393" t="str">
            <v>AJ0036-3</v>
          </cell>
        </row>
        <row r="394">
          <cell r="B394" t="str">
            <v>AJ0037</v>
          </cell>
        </row>
        <row r="395">
          <cell r="B395" t="str">
            <v>AJ0037-1</v>
          </cell>
        </row>
        <row r="396">
          <cell r="B396" t="str">
            <v>AJ0038</v>
          </cell>
        </row>
        <row r="397">
          <cell r="B397" t="str">
            <v>AJ0038-1</v>
          </cell>
        </row>
        <row r="398">
          <cell r="B398" t="str">
            <v>AJ0039</v>
          </cell>
        </row>
        <row r="399">
          <cell r="B399" t="str">
            <v>AJ0040</v>
          </cell>
        </row>
        <row r="400">
          <cell r="B400" t="str">
            <v>AJ0041</v>
          </cell>
        </row>
        <row r="401">
          <cell r="B401" t="str">
            <v>AJ0041-2</v>
          </cell>
        </row>
        <row r="402">
          <cell r="B402" t="str">
            <v>AJ0042</v>
          </cell>
        </row>
        <row r="403">
          <cell r="B403" t="str">
            <v>AJ0042-1</v>
          </cell>
        </row>
        <row r="404">
          <cell r="B404" t="str">
            <v>AJ0043</v>
          </cell>
        </row>
        <row r="405">
          <cell r="B405" t="str">
            <v>AJ0043-1</v>
          </cell>
        </row>
        <row r="406">
          <cell r="B406" t="str">
            <v>AJ0044</v>
          </cell>
        </row>
        <row r="407">
          <cell r="B407" t="str">
            <v>AJ0044-1</v>
          </cell>
        </row>
        <row r="408">
          <cell r="B408" t="str">
            <v>AJ0045</v>
          </cell>
        </row>
        <row r="409">
          <cell r="B409" t="str">
            <v>AJ0045-1</v>
          </cell>
        </row>
        <row r="410">
          <cell r="B410" t="str">
            <v>AJ0046</v>
          </cell>
        </row>
        <row r="411">
          <cell r="B411" t="str">
            <v>AJ0046-1</v>
          </cell>
        </row>
        <row r="412">
          <cell r="B412" t="str">
            <v>AJ0047</v>
          </cell>
        </row>
        <row r="413">
          <cell r="B413" t="str">
            <v>AJ0047-1</v>
          </cell>
        </row>
        <row r="414">
          <cell r="B414" t="str">
            <v>AJ0048</v>
          </cell>
        </row>
        <row r="415">
          <cell r="B415" t="str">
            <v>AJ0048-1</v>
          </cell>
        </row>
        <row r="416">
          <cell r="B416" t="str">
            <v>AJ0048-2</v>
          </cell>
        </row>
        <row r="417">
          <cell r="B417" t="str">
            <v>AJ0049</v>
          </cell>
        </row>
        <row r="418">
          <cell r="B418" t="str">
            <v>AJ0050</v>
          </cell>
        </row>
        <row r="419">
          <cell r="B419" t="str">
            <v>AJ0050-1</v>
          </cell>
        </row>
        <row r="420">
          <cell r="B420" t="str">
            <v>AJ0050-2</v>
          </cell>
        </row>
        <row r="421">
          <cell r="B421" t="str">
            <v>AJ0052</v>
          </cell>
        </row>
        <row r="422">
          <cell r="B422" t="str">
            <v>AJ0052-1</v>
          </cell>
        </row>
        <row r="423">
          <cell r="B423" t="str">
            <v>AJ0052-2</v>
          </cell>
        </row>
        <row r="424">
          <cell r="B424" t="str">
            <v>AJ0053</v>
          </cell>
        </row>
        <row r="425">
          <cell r="B425" t="str">
            <v>AJ0054</v>
          </cell>
        </row>
        <row r="426">
          <cell r="B426" t="str">
            <v>AJ0054-2</v>
          </cell>
        </row>
        <row r="427">
          <cell r="B427" t="str">
            <v>AJ0055</v>
          </cell>
        </row>
        <row r="428">
          <cell r="B428" t="str">
            <v>AJ0055-1</v>
          </cell>
        </row>
        <row r="429">
          <cell r="B429" t="str">
            <v>AJ0056</v>
          </cell>
        </row>
        <row r="430">
          <cell r="B430" t="str">
            <v>AJ0056-1</v>
          </cell>
        </row>
        <row r="431">
          <cell r="B431" t="str">
            <v>AJ0057</v>
          </cell>
        </row>
        <row r="432">
          <cell r="B432" t="str">
            <v>AJ0057-1</v>
          </cell>
        </row>
        <row r="433">
          <cell r="B433" t="str">
            <v>AJ0058</v>
          </cell>
        </row>
        <row r="434">
          <cell r="B434" t="str">
            <v>AJ0058-1</v>
          </cell>
        </row>
        <row r="435">
          <cell r="B435" t="str">
            <v>AJ0059</v>
          </cell>
        </row>
        <row r="436">
          <cell r="B436" t="str">
            <v>AJ0059-1</v>
          </cell>
        </row>
        <row r="437">
          <cell r="B437" t="str">
            <v>AJ0061</v>
          </cell>
        </row>
        <row r="438">
          <cell r="B438" t="str">
            <v>AJ0061-1</v>
          </cell>
        </row>
        <row r="439">
          <cell r="B439" t="str">
            <v>AJ0063</v>
          </cell>
        </row>
        <row r="440">
          <cell r="B440" t="str">
            <v>AJ0063-1</v>
          </cell>
        </row>
        <row r="441">
          <cell r="B441" t="str">
            <v>AJ0066</v>
          </cell>
        </row>
        <row r="442">
          <cell r="B442" t="str">
            <v>AJ0066-1</v>
          </cell>
        </row>
        <row r="443">
          <cell r="B443" t="str">
            <v>AJ0069</v>
          </cell>
        </row>
        <row r="444">
          <cell r="B444" t="str">
            <v>AJ0069-1</v>
          </cell>
        </row>
        <row r="445">
          <cell r="B445" t="str">
            <v>AJ0076</v>
          </cell>
        </row>
        <row r="446">
          <cell r="B446" t="str">
            <v>AJ0076-1</v>
          </cell>
        </row>
        <row r="447">
          <cell r="B447" t="str">
            <v>AJ0077</v>
          </cell>
        </row>
        <row r="448">
          <cell r="B448" t="str">
            <v>AJ0078</v>
          </cell>
        </row>
        <row r="449">
          <cell r="B449" t="str">
            <v>AJ0078-1</v>
          </cell>
        </row>
        <row r="450">
          <cell r="B450" t="str">
            <v>AJ0079</v>
          </cell>
        </row>
        <row r="451">
          <cell r="B451" t="str">
            <v>AJ0079-1</v>
          </cell>
        </row>
        <row r="452">
          <cell r="B452" t="str">
            <v>AJ0080</v>
          </cell>
        </row>
        <row r="453">
          <cell r="B453" t="str">
            <v>AJ0081</v>
          </cell>
        </row>
        <row r="454">
          <cell r="B454" t="str">
            <v>AJ0081-1</v>
          </cell>
        </row>
        <row r="455">
          <cell r="B455" t="str">
            <v>AJ0082</v>
          </cell>
        </row>
        <row r="456">
          <cell r="B456" t="str">
            <v>AJ0083</v>
          </cell>
        </row>
        <row r="457">
          <cell r="B457" t="str">
            <v>AJ0084</v>
          </cell>
        </row>
        <row r="458">
          <cell r="B458" t="str">
            <v>AJ0085</v>
          </cell>
        </row>
        <row r="459">
          <cell r="B459" t="str">
            <v>AJ0086</v>
          </cell>
        </row>
        <row r="460">
          <cell r="B460" t="str">
            <v>AJ0086-1</v>
          </cell>
        </row>
        <row r="461">
          <cell r="B461" t="str">
            <v>AJ0087</v>
          </cell>
        </row>
        <row r="462">
          <cell r="B462" t="str">
            <v>AJ0089</v>
          </cell>
        </row>
        <row r="463">
          <cell r="B463" t="str">
            <v>AJ0090</v>
          </cell>
        </row>
        <row r="464">
          <cell r="B464" t="str">
            <v>AJ0091</v>
          </cell>
        </row>
        <row r="465">
          <cell r="B465" t="str">
            <v>AJ0091-1</v>
          </cell>
        </row>
        <row r="466">
          <cell r="B466" t="str">
            <v>AJ0092</v>
          </cell>
        </row>
        <row r="467">
          <cell r="B467" t="str">
            <v>AJ0092-2</v>
          </cell>
        </row>
        <row r="468">
          <cell r="B468" t="str">
            <v>AJ0093</v>
          </cell>
        </row>
        <row r="469">
          <cell r="B469" t="str">
            <v>AJ0093-1</v>
          </cell>
        </row>
        <row r="470">
          <cell r="B470" t="str">
            <v>AJ0095</v>
          </cell>
        </row>
        <row r="471">
          <cell r="B471" t="str">
            <v>AJ0096</v>
          </cell>
        </row>
        <row r="472">
          <cell r="B472" t="str">
            <v>AJ0096-1</v>
          </cell>
        </row>
        <row r="473">
          <cell r="B473" t="str">
            <v>AJ0097</v>
          </cell>
        </row>
        <row r="474">
          <cell r="B474" t="str">
            <v>AJ0098</v>
          </cell>
        </row>
        <row r="475">
          <cell r="B475" t="str">
            <v>AJ0099</v>
          </cell>
        </row>
        <row r="476">
          <cell r="B476" t="str">
            <v>AJ0100</v>
          </cell>
        </row>
        <row r="477">
          <cell r="B477" t="str">
            <v>AJ0101</v>
          </cell>
        </row>
        <row r="478">
          <cell r="B478" t="str">
            <v>AJ0102</v>
          </cell>
        </row>
        <row r="479">
          <cell r="B479" t="str">
            <v>AJ0103</v>
          </cell>
        </row>
        <row r="480">
          <cell r="B480" t="str">
            <v>AJ0107</v>
          </cell>
        </row>
        <row r="481">
          <cell r="B481" t="str">
            <v>AJ0108</v>
          </cell>
        </row>
        <row r="482">
          <cell r="B482" t="str">
            <v>AJ0109</v>
          </cell>
        </row>
        <row r="483">
          <cell r="B483" t="str">
            <v>AJ0112</v>
          </cell>
        </row>
        <row r="484">
          <cell r="B484" t="str">
            <v>AJ0113</v>
          </cell>
        </row>
        <row r="485">
          <cell r="B485" t="str">
            <v>AJ0114</v>
          </cell>
        </row>
        <row r="486">
          <cell r="B486" t="str">
            <v>AJ0115</v>
          </cell>
        </row>
        <row r="487">
          <cell r="B487" t="str">
            <v>AJ0116</v>
          </cell>
        </row>
        <row r="488">
          <cell r="B488" t="str">
            <v>AJ0117</v>
          </cell>
        </row>
        <row r="489">
          <cell r="B489" t="str">
            <v>AJ0118</v>
          </cell>
        </row>
        <row r="490">
          <cell r="B490" t="str">
            <v>AJ0119</v>
          </cell>
        </row>
        <row r="491">
          <cell r="B491" t="str">
            <v>AJ1001</v>
          </cell>
        </row>
        <row r="492">
          <cell r="B492" t="str">
            <v>AJ1002</v>
          </cell>
        </row>
        <row r="493">
          <cell r="B493" t="str">
            <v>AJ1003</v>
          </cell>
        </row>
        <row r="494">
          <cell r="B494" t="str">
            <v>AJ1004</v>
          </cell>
        </row>
        <row r="495">
          <cell r="B495" t="str">
            <v>AJ1005</v>
          </cell>
        </row>
        <row r="496">
          <cell r="B496" t="str">
            <v>AJ1006</v>
          </cell>
        </row>
        <row r="497">
          <cell r="B497" t="str">
            <v>AJ1007</v>
          </cell>
        </row>
        <row r="498">
          <cell r="B498" t="str">
            <v>AJ1008</v>
          </cell>
        </row>
        <row r="499">
          <cell r="B499" t="str">
            <v>AJ1009</v>
          </cell>
        </row>
        <row r="500">
          <cell r="B500" t="str">
            <v>AJ1009-1</v>
          </cell>
        </row>
        <row r="501">
          <cell r="B501" t="str">
            <v>AJ1010</v>
          </cell>
        </row>
        <row r="502">
          <cell r="B502" t="str">
            <v>AJ1011</v>
          </cell>
        </row>
        <row r="503">
          <cell r="B503" t="str">
            <v>AJ1012</v>
          </cell>
        </row>
        <row r="504">
          <cell r="B504" t="str">
            <v>AJ1013</v>
          </cell>
        </row>
        <row r="505">
          <cell r="B505" t="str">
            <v>AJ1014</v>
          </cell>
        </row>
        <row r="506">
          <cell r="B506" t="str">
            <v>AJ1018</v>
          </cell>
        </row>
        <row r="507">
          <cell r="B507" t="str">
            <v>AJ1019</v>
          </cell>
        </row>
        <row r="508">
          <cell r="B508" t="str">
            <v>AJ1020</v>
          </cell>
        </row>
        <row r="509">
          <cell r="B509" t="str">
            <v>AJ1022</v>
          </cell>
        </row>
        <row r="510">
          <cell r="B510" t="str">
            <v>AJ1023</v>
          </cell>
        </row>
        <row r="511">
          <cell r="B511" t="str">
            <v>AJ1024</v>
          </cell>
        </row>
        <row r="512">
          <cell r="B512" t="str">
            <v>AJ1025</v>
          </cell>
        </row>
        <row r="513">
          <cell r="B513" t="str">
            <v>AJ1026</v>
          </cell>
        </row>
        <row r="514">
          <cell r="B514" t="str">
            <v>AJ1027</v>
          </cell>
        </row>
        <row r="515">
          <cell r="B515" t="str">
            <v>AJ1028</v>
          </cell>
        </row>
        <row r="516">
          <cell r="B516" t="str">
            <v>AJ1029</v>
          </cell>
        </row>
        <row r="517">
          <cell r="B517" t="str">
            <v>AJ1030</v>
          </cell>
        </row>
        <row r="518">
          <cell r="B518" t="str">
            <v>AJ1031</v>
          </cell>
        </row>
        <row r="519">
          <cell r="B519" t="str">
            <v>AJ1032</v>
          </cell>
        </row>
        <row r="520">
          <cell r="B520" t="str">
            <v>AJ1033</v>
          </cell>
        </row>
        <row r="521">
          <cell r="B521" t="str">
            <v>AJ1034</v>
          </cell>
        </row>
        <row r="522">
          <cell r="B522" t="str">
            <v>AJ1035</v>
          </cell>
        </row>
        <row r="523">
          <cell r="B523" t="str">
            <v>AJ1036</v>
          </cell>
        </row>
        <row r="524">
          <cell r="B524" t="str">
            <v>AJ1037</v>
          </cell>
        </row>
        <row r="525">
          <cell r="B525" t="str">
            <v>AJ1038</v>
          </cell>
        </row>
        <row r="526">
          <cell r="B526" t="str">
            <v>AJ1039</v>
          </cell>
        </row>
        <row r="527">
          <cell r="B527" t="str">
            <v>AJ1040</v>
          </cell>
        </row>
        <row r="528">
          <cell r="B528" t="str">
            <v>AJ1041</v>
          </cell>
        </row>
        <row r="529">
          <cell r="B529" t="str">
            <v>AJ1042</v>
          </cell>
        </row>
        <row r="530">
          <cell r="B530" t="str">
            <v>AJ1043</v>
          </cell>
        </row>
        <row r="531">
          <cell r="B531" t="str">
            <v>AJ2001</v>
          </cell>
        </row>
        <row r="532">
          <cell r="B532" t="str">
            <v>AJ2002</v>
          </cell>
        </row>
        <row r="533">
          <cell r="B533" t="str">
            <v>AJ2003</v>
          </cell>
        </row>
        <row r="534">
          <cell r="B534" t="str">
            <v>AJ2004</v>
          </cell>
        </row>
        <row r="535">
          <cell r="B535" t="str">
            <v>AJ2005</v>
          </cell>
        </row>
        <row r="536">
          <cell r="B536" t="str">
            <v>AJ2006</v>
          </cell>
        </row>
        <row r="537">
          <cell r="B537" t="str">
            <v>AJ2007</v>
          </cell>
        </row>
        <row r="538">
          <cell r="B538" t="str">
            <v>AJ2007-1</v>
          </cell>
        </row>
        <row r="539">
          <cell r="B539" t="str">
            <v>AJ2008</v>
          </cell>
        </row>
        <row r="540">
          <cell r="B540" t="str">
            <v>AJ2010</v>
          </cell>
        </row>
        <row r="541">
          <cell r="B541" t="str">
            <v>AJ2011</v>
          </cell>
        </row>
        <row r="542">
          <cell r="B542" t="str">
            <v>AJ2012</v>
          </cell>
        </row>
        <row r="543">
          <cell r="B543" t="str">
            <v>AJ2013</v>
          </cell>
        </row>
        <row r="544">
          <cell r="B544" t="str">
            <v>AJ2015</v>
          </cell>
        </row>
        <row r="545">
          <cell r="B545" t="str">
            <v>AJ2016</v>
          </cell>
        </row>
        <row r="546">
          <cell r="B546" t="str">
            <v>AJ2017</v>
          </cell>
        </row>
        <row r="547">
          <cell r="B547" t="str">
            <v>AJ2018</v>
          </cell>
        </row>
        <row r="548">
          <cell r="B548" t="str">
            <v>AJ2019</v>
          </cell>
        </row>
        <row r="549">
          <cell r="B549" t="str">
            <v>AJ2021</v>
          </cell>
        </row>
        <row r="550">
          <cell r="B550" t="str">
            <v>AJ2023</v>
          </cell>
        </row>
        <row r="551">
          <cell r="B551" t="str">
            <v>AJ2024</v>
          </cell>
        </row>
        <row r="552">
          <cell r="B552" t="str">
            <v>AJ2025</v>
          </cell>
        </row>
        <row r="553">
          <cell r="B553" t="str">
            <v>AJ2026</v>
          </cell>
        </row>
        <row r="554">
          <cell r="B554" t="str">
            <v>AJ2027</v>
          </cell>
        </row>
        <row r="555">
          <cell r="B555" t="str">
            <v>AJ2028</v>
          </cell>
        </row>
        <row r="556">
          <cell r="B556" t="str">
            <v>AJ2029</v>
          </cell>
        </row>
        <row r="557">
          <cell r="B557" t="str">
            <v>AJ2030</v>
          </cell>
        </row>
        <row r="558">
          <cell r="B558" t="str">
            <v>AJ2031</v>
          </cell>
        </row>
        <row r="559">
          <cell r="B559" t="str">
            <v>AJ2032</v>
          </cell>
        </row>
        <row r="560">
          <cell r="B560" t="str">
            <v>AJ2033</v>
          </cell>
        </row>
        <row r="561">
          <cell r="B561" t="str">
            <v>AJ2034</v>
          </cell>
        </row>
        <row r="562">
          <cell r="B562" t="str">
            <v>AJ2035</v>
          </cell>
        </row>
        <row r="563">
          <cell r="B563" t="str">
            <v>AJ2036</v>
          </cell>
        </row>
        <row r="564">
          <cell r="B564" t="str">
            <v>AJ2037</v>
          </cell>
        </row>
        <row r="565">
          <cell r="B565" t="str">
            <v>AJ2038</v>
          </cell>
        </row>
        <row r="566">
          <cell r="B566" t="str">
            <v>AJ2039</v>
          </cell>
        </row>
        <row r="567">
          <cell r="B567" t="str">
            <v>AJ2042</v>
          </cell>
        </row>
        <row r="568">
          <cell r="B568" t="str">
            <v>AJ2043</v>
          </cell>
        </row>
        <row r="569">
          <cell r="B569" t="str">
            <v>AJ2044</v>
          </cell>
        </row>
        <row r="570">
          <cell r="B570" t="str">
            <v>AJ2045</v>
          </cell>
        </row>
        <row r="571">
          <cell r="B571" t="str">
            <v>AJ2046</v>
          </cell>
        </row>
        <row r="572">
          <cell r="B572" t="str">
            <v>AJ2047</v>
          </cell>
        </row>
        <row r="573">
          <cell r="B573" t="str">
            <v>AJ2048</v>
          </cell>
        </row>
        <row r="574">
          <cell r="B574" t="str">
            <v>AJ2049</v>
          </cell>
        </row>
        <row r="575">
          <cell r="B575" t="str">
            <v>AJ2050</v>
          </cell>
        </row>
        <row r="576">
          <cell r="B576" t="str">
            <v>AJ2051</v>
          </cell>
        </row>
        <row r="577">
          <cell r="B577" t="str">
            <v>AJ2052</v>
          </cell>
        </row>
        <row r="578">
          <cell r="B578" t="str">
            <v>AJ2053</v>
          </cell>
        </row>
        <row r="579">
          <cell r="B579" t="str">
            <v>AJ2054</v>
          </cell>
        </row>
        <row r="580">
          <cell r="B580" t="str">
            <v>AJ2055</v>
          </cell>
        </row>
        <row r="581">
          <cell r="B581" t="str">
            <v>AJ9001</v>
          </cell>
        </row>
        <row r="582">
          <cell r="B582" t="str">
            <v>AJ9002</v>
          </cell>
        </row>
        <row r="583">
          <cell r="B583" t="str">
            <v>AJ9003</v>
          </cell>
        </row>
        <row r="584">
          <cell r="B584" t="str">
            <v>AJ9004</v>
          </cell>
        </row>
        <row r="585">
          <cell r="B585" t="str">
            <v>AJ9005</v>
          </cell>
        </row>
        <row r="586">
          <cell r="B586" t="str">
            <v>AJ9006</v>
          </cell>
        </row>
        <row r="587">
          <cell r="B587" t="str">
            <v>AJ9007</v>
          </cell>
        </row>
        <row r="588">
          <cell r="B588" t="str">
            <v>AJ9008</v>
          </cell>
        </row>
        <row r="589">
          <cell r="B589" t="str">
            <v>AJ9009</v>
          </cell>
        </row>
        <row r="590">
          <cell r="B590" t="str">
            <v>AJ9010</v>
          </cell>
        </row>
        <row r="591">
          <cell r="B591" t="str">
            <v>AJ9011</v>
          </cell>
        </row>
        <row r="592">
          <cell r="B592" t="str">
            <v>AJI0005</v>
          </cell>
        </row>
        <row r="593">
          <cell r="B593" t="str">
            <v>AJI0006</v>
          </cell>
        </row>
        <row r="594">
          <cell r="B594" t="str">
            <v>AJI0007</v>
          </cell>
        </row>
        <row r="595">
          <cell r="B595" t="str">
            <v>BA0002</v>
          </cell>
        </row>
        <row r="596">
          <cell r="B596" t="str">
            <v>BA0007</v>
          </cell>
        </row>
        <row r="597">
          <cell r="B597" t="str">
            <v>BA0008</v>
          </cell>
        </row>
        <row r="598">
          <cell r="B598" t="str">
            <v>BA0008-1</v>
          </cell>
        </row>
        <row r="599">
          <cell r="B599" t="str">
            <v>BA0009</v>
          </cell>
        </row>
        <row r="600">
          <cell r="B600" t="str">
            <v>BA0011</v>
          </cell>
        </row>
        <row r="601">
          <cell r="B601" t="str">
            <v>BA0011-1</v>
          </cell>
        </row>
        <row r="602">
          <cell r="B602" t="str">
            <v>BA0013</v>
          </cell>
        </row>
        <row r="603">
          <cell r="B603" t="str">
            <v>BA0015</v>
          </cell>
        </row>
        <row r="604">
          <cell r="B604" t="str">
            <v>BA0016</v>
          </cell>
        </row>
        <row r="605">
          <cell r="B605" t="str">
            <v>BA0017</v>
          </cell>
        </row>
        <row r="606">
          <cell r="B606" t="str">
            <v>BA0018</v>
          </cell>
        </row>
        <row r="607">
          <cell r="B607" t="str">
            <v>BA0019</v>
          </cell>
        </row>
        <row r="608">
          <cell r="B608" t="str">
            <v>BA0180</v>
          </cell>
        </row>
        <row r="609">
          <cell r="B609" t="str">
            <v>BA0181</v>
          </cell>
        </row>
        <row r="610">
          <cell r="B610" t="str">
            <v>BA0182</v>
          </cell>
        </row>
        <row r="611">
          <cell r="B611" t="str">
            <v>BA0183</v>
          </cell>
        </row>
        <row r="612">
          <cell r="B612" t="str">
            <v>BA0184</v>
          </cell>
        </row>
        <row r="613">
          <cell r="B613" t="str">
            <v>BA0185</v>
          </cell>
        </row>
        <row r="614">
          <cell r="B614" t="str">
            <v>BA0186</v>
          </cell>
        </row>
        <row r="615">
          <cell r="B615" t="str">
            <v>BA0187</v>
          </cell>
        </row>
        <row r="616">
          <cell r="B616" t="str">
            <v>BA0340</v>
          </cell>
        </row>
        <row r="617">
          <cell r="B617" t="str">
            <v>BA0342</v>
          </cell>
        </row>
        <row r="618">
          <cell r="B618" t="str">
            <v>BA0347</v>
          </cell>
        </row>
        <row r="619">
          <cell r="B619" t="str">
            <v>BA0361</v>
          </cell>
        </row>
        <row r="620">
          <cell r="B620" t="str">
            <v>AA9331-1</v>
          </cell>
        </row>
        <row r="621">
          <cell r="B621" t="str">
            <v>AJ0089-1</v>
          </cell>
        </row>
        <row r="622">
          <cell r="B622" t="str">
            <v>AJ0080-1</v>
          </cell>
        </row>
        <row r="623">
          <cell r="B623" t="str">
            <v>AA80087</v>
          </cell>
        </row>
        <row r="624">
          <cell r="B624" t="str">
            <v>AA80089</v>
          </cell>
        </row>
        <row r="625">
          <cell r="B625" t="str">
            <v>AJ0058-2</v>
          </cell>
        </row>
        <row r="626">
          <cell r="B626" t="str">
            <v>AJ0006-2</v>
          </cell>
        </row>
        <row r="627">
          <cell r="B627" t="str">
            <v>AJ0080-3</v>
          </cell>
        </row>
        <row r="628">
          <cell r="B628" t="str">
            <v>AJ0081-3</v>
          </cell>
        </row>
        <row r="629">
          <cell r="B629" t="str">
            <v>AJ0049-1</v>
          </cell>
        </row>
        <row r="630">
          <cell r="B630" t="str">
            <v>AJ1044</v>
          </cell>
        </row>
        <row r="631">
          <cell r="B631" t="str">
            <v>AA80088</v>
          </cell>
        </row>
        <row r="632">
          <cell r="B632" t="str">
            <v>AJ0030</v>
          </cell>
        </row>
        <row r="633">
          <cell r="B633" t="str">
            <v>AJ0116-1</v>
          </cell>
        </row>
        <row r="634">
          <cell r="B634" t="str">
            <v>AJ0100-1</v>
          </cell>
        </row>
        <row r="635">
          <cell r="B635" t="str">
            <v>AJ0102-1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lan"/>
      <sheetName val="Forecast 2016"/>
      <sheetName val="Description"/>
      <sheetName val="TS"/>
      <sheetName val="คำนวณLoad"/>
      <sheetName val="บันทึกการเปลี่ยนแปลง"/>
      <sheetName val="Sheet1"/>
      <sheetName val="Sheet2"/>
      <sheetName val="Sheet3"/>
      <sheetName val="BMCT2003"/>
      <sheetName val="Accrue"/>
    </sheetNames>
    <sheetDataSet>
      <sheetData sheetId="0"/>
      <sheetData sheetId="1"/>
      <sheetData sheetId="2">
        <row r="1">
          <cell r="B1" t="str">
            <v>Item</v>
          </cell>
        </row>
        <row r="2">
          <cell r="B2" t="str">
            <v>AA1001</v>
          </cell>
        </row>
        <row r="3">
          <cell r="B3" t="str">
            <v>AA1001-1</v>
          </cell>
        </row>
        <row r="4">
          <cell r="B4" t="str">
            <v>AA1001-2</v>
          </cell>
        </row>
        <row r="5">
          <cell r="B5" t="str">
            <v>AA1001-3</v>
          </cell>
        </row>
        <row r="6">
          <cell r="B6" t="str">
            <v>AA1002</v>
          </cell>
        </row>
        <row r="7">
          <cell r="B7" t="str">
            <v>AA1002-1</v>
          </cell>
        </row>
        <row r="8">
          <cell r="B8" t="str">
            <v>AA1002-2</v>
          </cell>
        </row>
        <row r="9">
          <cell r="B9" t="str">
            <v>AA1002-3</v>
          </cell>
        </row>
        <row r="10">
          <cell r="B10" t="str">
            <v>AA1002-4</v>
          </cell>
        </row>
        <row r="11">
          <cell r="B11" t="str">
            <v>AA1003</v>
          </cell>
        </row>
        <row r="12">
          <cell r="B12" t="str">
            <v>AA1003-1</v>
          </cell>
        </row>
        <row r="13">
          <cell r="B13" t="str">
            <v>AA1003-2</v>
          </cell>
        </row>
        <row r="14">
          <cell r="B14" t="str">
            <v>AA1003-3</v>
          </cell>
        </row>
        <row r="15">
          <cell r="B15" t="str">
            <v>AA1003-4</v>
          </cell>
        </row>
        <row r="16">
          <cell r="B16" t="str">
            <v>AA1004</v>
          </cell>
        </row>
        <row r="17">
          <cell r="B17" t="str">
            <v>AA1004-1</v>
          </cell>
        </row>
        <row r="18">
          <cell r="B18" t="str">
            <v>AA1004-2</v>
          </cell>
        </row>
        <row r="19">
          <cell r="B19" t="str">
            <v>AA1005</v>
          </cell>
        </row>
        <row r="20">
          <cell r="B20" t="str">
            <v>AA1006</v>
          </cell>
        </row>
        <row r="21">
          <cell r="B21" t="str">
            <v>AA1007</v>
          </cell>
        </row>
        <row r="22">
          <cell r="B22" t="str">
            <v>AA1008</v>
          </cell>
        </row>
        <row r="23">
          <cell r="B23" t="str">
            <v>AA1009</v>
          </cell>
        </row>
        <row r="24">
          <cell r="B24" t="str">
            <v>AA1010</v>
          </cell>
        </row>
        <row r="25">
          <cell r="B25" t="str">
            <v>AA1011</v>
          </cell>
        </row>
        <row r="26">
          <cell r="B26" t="str">
            <v>AA1012</v>
          </cell>
        </row>
        <row r="27">
          <cell r="B27" t="str">
            <v>AA1013</v>
          </cell>
        </row>
        <row r="28">
          <cell r="B28" t="str">
            <v>AA1014</v>
          </cell>
        </row>
        <row r="29">
          <cell r="B29" t="str">
            <v>AA1015</v>
          </cell>
        </row>
        <row r="30">
          <cell r="B30" t="str">
            <v>AA1017</v>
          </cell>
        </row>
        <row r="31">
          <cell r="B31" t="str">
            <v>AA1018</v>
          </cell>
        </row>
        <row r="32">
          <cell r="B32" t="str">
            <v>AA1019</v>
          </cell>
        </row>
        <row r="33">
          <cell r="B33" t="str">
            <v>AA1020</v>
          </cell>
        </row>
        <row r="34">
          <cell r="B34" t="str">
            <v>AA1021</v>
          </cell>
        </row>
        <row r="35">
          <cell r="B35" t="str">
            <v>AA2001</v>
          </cell>
        </row>
        <row r="36">
          <cell r="B36" t="str">
            <v>AA2001-1</v>
          </cell>
        </row>
        <row r="37">
          <cell r="B37" t="str">
            <v>AA2001-2</v>
          </cell>
        </row>
        <row r="38">
          <cell r="B38" t="str">
            <v>AA2002</v>
          </cell>
        </row>
        <row r="39">
          <cell r="B39" t="str">
            <v>AA2002-1</v>
          </cell>
        </row>
        <row r="40">
          <cell r="B40" t="str">
            <v>AA2002-2</v>
          </cell>
        </row>
        <row r="41">
          <cell r="B41" t="str">
            <v>AA2002-3</v>
          </cell>
        </row>
        <row r="42">
          <cell r="B42" t="str">
            <v>AA2002-4</v>
          </cell>
        </row>
        <row r="43">
          <cell r="B43" t="str">
            <v>AA2003</v>
          </cell>
        </row>
        <row r="44">
          <cell r="B44" t="str">
            <v>AA2003-1</v>
          </cell>
        </row>
        <row r="45">
          <cell r="B45" t="str">
            <v>AA2003-2</v>
          </cell>
        </row>
        <row r="46">
          <cell r="B46" t="str">
            <v>AA2004</v>
          </cell>
        </row>
        <row r="47">
          <cell r="B47" t="str">
            <v>AA2004-1</v>
          </cell>
        </row>
        <row r="48">
          <cell r="B48" t="str">
            <v>AA2004-2</v>
          </cell>
        </row>
        <row r="49">
          <cell r="B49" t="str">
            <v>AA2005</v>
          </cell>
        </row>
        <row r="50">
          <cell r="B50" t="str">
            <v>AA2005-1</v>
          </cell>
        </row>
        <row r="51">
          <cell r="B51" t="str">
            <v>AA2005-2</v>
          </cell>
        </row>
        <row r="52">
          <cell r="B52" t="str">
            <v>AA2005-3</v>
          </cell>
        </row>
        <row r="53">
          <cell r="B53" t="str">
            <v>AA2006</v>
          </cell>
        </row>
        <row r="54">
          <cell r="B54" t="str">
            <v>AA2006-1</v>
          </cell>
        </row>
        <row r="55">
          <cell r="B55" t="str">
            <v>AA2006-2</v>
          </cell>
        </row>
        <row r="56">
          <cell r="B56" t="str">
            <v>AA2007</v>
          </cell>
        </row>
        <row r="57">
          <cell r="B57" t="str">
            <v>AA2007-1</v>
          </cell>
        </row>
        <row r="58">
          <cell r="B58" t="str">
            <v>AA2008</v>
          </cell>
        </row>
        <row r="59">
          <cell r="B59" t="str">
            <v>AA2008-1</v>
          </cell>
        </row>
        <row r="60">
          <cell r="B60" t="str">
            <v>AA2008-2</v>
          </cell>
        </row>
        <row r="61">
          <cell r="B61" t="str">
            <v>AA2008-3</v>
          </cell>
        </row>
        <row r="62">
          <cell r="B62" t="str">
            <v>AA2009</v>
          </cell>
        </row>
        <row r="63">
          <cell r="B63" t="str">
            <v>AA2009-1</v>
          </cell>
        </row>
        <row r="64">
          <cell r="B64" t="str">
            <v>AA2009-2</v>
          </cell>
        </row>
        <row r="65">
          <cell r="B65" t="str">
            <v>AA2009-3</v>
          </cell>
        </row>
        <row r="66">
          <cell r="B66" t="str">
            <v>AA2010</v>
          </cell>
        </row>
        <row r="67">
          <cell r="B67" t="str">
            <v>AA2010-1</v>
          </cell>
        </row>
        <row r="68">
          <cell r="B68" t="str">
            <v>AA2011</v>
          </cell>
        </row>
        <row r="69">
          <cell r="B69" t="str">
            <v>AA2012</v>
          </cell>
        </row>
        <row r="70">
          <cell r="B70" t="str">
            <v>AA2013</v>
          </cell>
        </row>
        <row r="71">
          <cell r="B71" t="str">
            <v>AA2014</v>
          </cell>
        </row>
        <row r="72">
          <cell r="B72" t="str">
            <v>AA2014-1</v>
          </cell>
        </row>
        <row r="73">
          <cell r="B73" t="str">
            <v>AA2015</v>
          </cell>
        </row>
        <row r="74">
          <cell r="B74" t="str">
            <v>AA2016</v>
          </cell>
        </row>
        <row r="75">
          <cell r="B75" t="str">
            <v>AA2017</v>
          </cell>
        </row>
        <row r="76">
          <cell r="B76" t="str">
            <v>AA2018</v>
          </cell>
        </row>
        <row r="77">
          <cell r="B77" t="str">
            <v>AA2019</v>
          </cell>
        </row>
        <row r="78">
          <cell r="B78" t="str">
            <v>AA2019-1</v>
          </cell>
        </row>
        <row r="79">
          <cell r="B79" t="str">
            <v>AA2020</v>
          </cell>
        </row>
        <row r="80">
          <cell r="B80" t="str">
            <v>AA2021</v>
          </cell>
        </row>
        <row r="81">
          <cell r="B81" t="str">
            <v>AA2022</v>
          </cell>
        </row>
        <row r="82">
          <cell r="B82" t="str">
            <v>AA2023</v>
          </cell>
        </row>
        <row r="83">
          <cell r="B83" t="str">
            <v>AA2024</v>
          </cell>
        </row>
        <row r="84">
          <cell r="B84" t="str">
            <v>AA2025</v>
          </cell>
        </row>
        <row r="85">
          <cell r="B85" t="str">
            <v>AA2026</v>
          </cell>
        </row>
        <row r="86">
          <cell r="B86" t="str">
            <v>AA2027</v>
          </cell>
        </row>
        <row r="87">
          <cell r="B87" t="str">
            <v>AA2028</v>
          </cell>
        </row>
        <row r="88">
          <cell r="B88" t="str">
            <v>AA2029</v>
          </cell>
        </row>
        <row r="89">
          <cell r="B89" t="str">
            <v>AA2030</v>
          </cell>
        </row>
        <row r="90">
          <cell r="B90" t="str">
            <v>AA2031</v>
          </cell>
        </row>
        <row r="91">
          <cell r="B91" t="str">
            <v>AA2032</v>
          </cell>
        </row>
        <row r="92">
          <cell r="B92" t="str">
            <v>AA2033</v>
          </cell>
        </row>
        <row r="93">
          <cell r="B93" t="str">
            <v>AA2034</v>
          </cell>
        </row>
        <row r="94">
          <cell r="B94" t="str">
            <v>AA2035</v>
          </cell>
        </row>
        <row r="95">
          <cell r="B95" t="str">
            <v>AA2036</v>
          </cell>
        </row>
        <row r="96">
          <cell r="B96" t="str">
            <v>AA2037</v>
          </cell>
        </row>
        <row r="97">
          <cell r="B97" t="str">
            <v>AA2101</v>
          </cell>
        </row>
        <row r="98">
          <cell r="B98" t="str">
            <v>AA2102</v>
          </cell>
        </row>
        <row r="99">
          <cell r="B99" t="str">
            <v>AA2103</v>
          </cell>
        </row>
        <row r="100">
          <cell r="B100" t="str">
            <v>AA2104</v>
          </cell>
        </row>
        <row r="101">
          <cell r="B101" t="str">
            <v>AA2105</v>
          </cell>
        </row>
        <row r="102">
          <cell r="B102" t="str">
            <v>AA2106</v>
          </cell>
        </row>
        <row r="103">
          <cell r="B103" t="str">
            <v>AA2107</v>
          </cell>
        </row>
        <row r="104">
          <cell r="B104" t="str">
            <v>AA2108</v>
          </cell>
        </row>
        <row r="105">
          <cell r="B105" t="str">
            <v>AA2109</v>
          </cell>
        </row>
        <row r="106">
          <cell r="B106" t="str">
            <v>AA2110</v>
          </cell>
        </row>
        <row r="107">
          <cell r="B107" t="str">
            <v>AA2111</v>
          </cell>
        </row>
        <row r="108">
          <cell r="B108" t="str">
            <v>AA2112</v>
          </cell>
        </row>
        <row r="109">
          <cell r="B109" t="str">
            <v>AA2113</v>
          </cell>
        </row>
        <row r="110">
          <cell r="B110" t="str">
            <v>AA2114</v>
          </cell>
        </row>
        <row r="111">
          <cell r="B111" t="str">
            <v>AA2115</v>
          </cell>
        </row>
        <row r="112">
          <cell r="B112" t="str">
            <v>AA2116</v>
          </cell>
        </row>
        <row r="113">
          <cell r="B113" t="str">
            <v>AA2117</v>
          </cell>
        </row>
        <row r="114">
          <cell r="B114" t="str">
            <v>AA2118</v>
          </cell>
        </row>
        <row r="115">
          <cell r="B115" t="str">
            <v>AA2119</v>
          </cell>
        </row>
        <row r="116">
          <cell r="B116" t="str">
            <v>AA2120</v>
          </cell>
        </row>
        <row r="117">
          <cell r="B117" t="str">
            <v>AA2121</v>
          </cell>
        </row>
        <row r="118">
          <cell r="B118" t="str">
            <v>AA2122</v>
          </cell>
        </row>
        <row r="119">
          <cell r="B119" t="str">
            <v>AA2123</v>
          </cell>
        </row>
        <row r="120">
          <cell r="B120" t="str">
            <v>AA2124</v>
          </cell>
        </row>
        <row r="121">
          <cell r="B121" t="str">
            <v>AA2125</v>
          </cell>
        </row>
        <row r="122">
          <cell r="B122" t="str">
            <v>AA2126</v>
          </cell>
        </row>
        <row r="123">
          <cell r="B123" t="str">
            <v>AA2127</v>
          </cell>
        </row>
        <row r="124">
          <cell r="B124" t="str">
            <v>AA2128</v>
          </cell>
        </row>
        <row r="125">
          <cell r="B125" t="str">
            <v>AA2129</v>
          </cell>
        </row>
        <row r="126">
          <cell r="B126" t="str">
            <v>AA2130</v>
          </cell>
        </row>
        <row r="127">
          <cell r="B127" t="str">
            <v>AA2131</v>
          </cell>
        </row>
        <row r="128">
          <cell r="B128" t="str">
            <v>AA2133</v>
          </cell>
        </row>
        <row r="129">
          <cell r="B129" t="str">
            <v>AA2134</v>
          </cell>
        </row>
        <row r="130">
          <cell r="B130" t="str">
            <v>AA2135</v>
          </cell>
        </row>
        <row r="131">
          <cell r="B131" t="str">
            <v>AA2136</v>
          </cell>
        </row>
        <row r="132">
          <cell r="B132" t="str">
            <v>AA2137</v>
          </cell>
        </row>
        <row r="133">
          <cell r="B133" t="str">
            <v>AA2138</v>
          </cell>
        </row>
        <row r="134">
          <cell r="B134" t="str">
            <v>AA2139</v>
          </cell>
        </row>
        <row r="135">
          <cell r="B135" t="str">
            <v>AA2140</v>
          </cell>
        </row>
        <row r="136">
          <cell r="B136" t="str">
            <v>AA2141</v>
          </cell>
        </row>
        <row r="137">
          <cell r="B137" t="str">
            <v>AA2142</v>
          </cell>
        </row>
        <row r="138">
          <cell r="B138" t="str">
            <v>AA2143</v>
          </cell>
        </row>
        <row r="139">
          <cell r="B139" t="str">
            <v>AA2144</v>
          </cell>
        </row>
        <row r="140">
          <cell r="B140" t="str">
            <v>AA2145</v>
          </cell>
        </row>
        <row r="141">
          <cell r="B141" t="str">
            <v>AA2146</v>
          </cell>
        </row>
        <row r="142">
          <cell r="B142" t="str">
            <v>AA2147</v>
          </cell>
        </row>
        <row r="143">
          <cell r="B143" t="str">
            <v>AA2148</v>
          </cell>
        </row>
        <row r="144">
          <cell r="B144" t="str">
            <v>AA2149</v>
          </cell>
        </row>
        <row r="145">
          <cell r="B145" t="str">
            <v>AA2150</v>
          </cell>
        </row>
        <row r="146">
          <cell r="B146" t="str">
            <v>AA2151</v>
          </cell>
        </row>
        <row r="147">
          <cell r="B147" t="str">
            <v>AA2152</v>
          </cell>
        </row>
        <row r="148">
          <cell r="B148" t="str">
            <v>AA2153</v>
          </cell>
        </row>
        <row r="149">
          <cell r="B149" t="str">
            <v>AA2154</v>
          </cell>
        </row>
        <row r="150">
          <cell r="B150" t="str">
            <v>AA2155</v>
          </cell>
        </row>
        <row r="151">
          <cell r="B151" t="str">
            <v>AA2156</v>
          </cell>
        </row>
        <row r="152">
          <cell r="B152" t="str">
            <v>AA2157</v>
          </cell>
        </row>
        <row r="153">
          <cell r="B153" t="str">
            <v>AA2158</v>
          </cell>
        </row>
        <row r="154">
          <cell r="B154" t="str">
            <v>AA2201</v>
          </cell>
        </row>
        <row r="155">
          <cell r="B155" t="str">
            <v>AA2202</v>
          </cell>
        </row>
        <row r="156">
          <cell r="B156" t="str">
            <v>AA2203</v>
          </cell>
        </row>
        <row r="157">
          <cell r="B157" t="str">
            <v>AA2204</v>
          </cell>
        </row>
        <row r="158">
          <cell r="B158" t="str">
            <v>AA2205</v>
          </cell>
        </row>
        <row r="159">
          <cell r="B159" t="str">
            <v>AA2206</v>
          </cell>
        </row>
        <row r="160">
          <cell r="B160" t="str">
            <v>AA2207</v>
          </cell>
        </row>
        <row r="161">
          <cell r="B161" t="str">
            <v>AA2208</v>
          </cell>
        </row>
        <row r="162">
          <cell r="B162" t="str">
            <v>AA2209</v>
          </cell>
        </row>
        <row r="163">
          <cell r="B163" t="str">
            <v>AA2210</v>
          </cell>
        </row>
        <row r="164">
          <cell r="B164" t="str">
            <v>AA2211</v>
          </cell>
        </row>
        <row r="165">
          <cell r="B165" t="str">
            <v>AA2212</v>
          </cell>
        </row>
        <row r="166">
          <cell r="B166" t="str">
            <v>AA2301</v>
          </cell>
        </row>
        <row r="167">
          <cell r="B167" t="str">
            <v>AA2302</v>
          </cell>
        </row>
        <row r="168">
          <cell r="B168" t="str">
            <v>AA2303</v>
          </cell>
        </row>
        <row r="169">
          <cell r="B169" t="str">
            <v>AA2305</v>
          </cell>
        </row>
        <row r="170">
          <cell r="B170" t="str">
            <v>AA2306</v>
          </cell>
        </row>
        <row r="171">
          <cell r="B171" t="str">
            <v>AA2307</v>
          </cell>
        </row>
        <row r="172">
          <cell r="B172" t="str">
            <v>AA3001</v>
          </cell>
        </row>
        <row r="173">
          <cell r="B173" t="str">
            <v>AA3002</v>
          </cell>
        </row>
        <row r="174">
          <cell r="B174" t="str">
            <v>AA3003</v>
          </cell>
        </row>
        <row r="175">
          <cell r="B175" t="str">
            <v>AA3004</v>
          </cell>
        </row>
        <row r="176">
          <cell r="B176" t="str">
            <v>AA3005</v>
          </cell>
        </row>
        <row r="177">
          <cell r="B177" t="str">
            <v>AA3006</v>
          </cell>
        </row>
        <row r="178">
          <cell r="B178" t="str">
            <v>AA3007</v>
          </cell>
        </row>
        <row r="179">
          <cell r="B179" t="str">
            <v>AA3008</v>
          </cell>
        </row>
        <row r="180">
          <cell r="B180" t="str">
            <v>AA3009</v>
          </cell>
        </row>
        <row r="181">
          <cell r="B181" t="str">
            <v>AA3010</v>
          </cell>
        </row>
        <row r="182">
          <cell r="B182" t="str">
            <v>AA3011</v>
          </cell>
        </row>
        <row r="183">
          <cell r="B183" t="str">
            <v>AA3012</v>
          </cell>
        </row>
        <row r="184">
          <cell r="B184" t="str">
            <v>AA3013</v>
          </cell>
        </row>
        <row r="185">
          <cell r="B185" t="str">
            <v>AA3014</v>
          </cell>
        </row>
        <row r="186">
          <cell r="B186" t="str">
            <v>AA3015</v>
          </cell>
        </row>
        <row r="187">
          <cell r="B187" t="str">
            <v>AA3016</v>
          </cell>
        </row>
        <row r="188">
          <cell r="B188" t="str">
            <v>AA3016-1</v>
          </cell>
        </row>
        <row r="189">
          <cell r="B189" t="str">
            <v>AA3017</v>
          </cell>
        </row>
        <row r="190">
          <cell r="B190" t="str">
            <v>AA3018</v>
          </cell>
        </row>
        <row r="191">
          <cell r="B191" t="str">
            <v>AA3019</v>
          </cell>
        </row>
        <row r="192">
          <cell r="B192" t="str">
            <v>AA3020</v>
          </cell>
        </row>
        <row r="193">
          <cell r="B193" t="str">
            <v>AA3021</v>
          </cell>
        </row>
        <row r="194">
          <cell r="B194" t="str">
            <v>AA3022</v>
          </cell>
        </row>
        <row r="195">
          <cell r="B195" t="str">
            <v>AA3022-1</v>
          </cell>
        </row>
        <row r="196">
          <cell r="B196" t="str">
            <v>AA3022-2</v>
          </cell>
        </row>
        <row r="197">
          <cell r="B197" t="str">
            <v>AA3023</v>
          </cell>
        </row>
        <row r="198">
          <cell r="B198" t="str">
            <v>AA3024</v>
          </cell>
        </row>
        <row r="199">
          <cell r="B199" t="str">
            <v>AA3025</v>
          </cell>
        </row>
        <row r="200">
          <cell r="B200" t="str">
            <v>AA3026</v>
          </cell>
        </row>
        <row r="201">
          <cell r="B201" t="str">
            <v>AA3027</v>
          </cell>
        </row>
        <row r="202">
          <cell r="B202" t="str">
            <v>AA3028</v>
          </cell>
        </row>
        <row r="203">
          <cell r="B203" t="str">
            <v>AA3029</v>
          </cell>
        </row>
        <row r="204">
          <cell r="B204" t="str">
            <v>AA3030</v>
          </cell>
        </row>
        <row r="205">
          <cell r="B205" t="str">
            <v>AA3031</v>
          </cell>
        </row>
        <row r="206">
          <cell r="B206" t="str">
            <v>AA3032</v>
          </cell>
        </row>
        <row r="207">
          <cell r="B207" t="str">
            <v>AA3033</v>
          </cell>
        </row>
        <row r="208">
          <cell r="B208" t="str">
            <v>AA3034</v>
          </cell>
        </row>
        <row r="209">
          <cell r="B209" t="str">
            <v>AA3034-1</v>
          </cell>
        </row>
        <row r="210">
          <cell r="B210" t="str">
            <v>AA3035</v>
          </cell>
        </row>
        <row r="211">
          <cell r="B211" t="str">
            <v>AA3036</v>
          </cell>
        </row>
        <row r="212">
          <cell r="B212" t="str">
            <v>AA3037</v>
          </cell>
        </row>
        <row r="213">
          <cell r="B213" t="str">
            <v>AA3038</v>
          </cell>
        </row>
        <row r="214">
          <cell r="B214" t="str">
            <v>AA3039</v>
          </cell>
        </row>
        <row r="215">
          <cell r="B215" t="str">
            <v>AA3040</v>
          </cell>
        </row>
        <row r="216">
          <cell r="B216" t="str">
            <v>AA3041</v>
          </cell>
        </row>
        <row r="217">
          <cell r="B217" t="str">
            <v>AA3042</v>
          </cell>
        </row>
        <row r="218">
          <cell r="B218" t="str">
            <v>AA3043</v>
          </cell>
        </row>
        <row r="219">
          <cell r="B219" t="str">
            <v>AA3043.1</v>
          </cell>
        </row>
        <row r="220">
          <cell r="B220" t="str">
            <v>AA3044</v>
          </cell>
        </row>
        <row r="221">
          <cell r="B221" t="str">
            <v>AA3045</v>
          </cell>
        </row>
        <row r="222">
          <cell r="B222" t="str">
            <v>AA3046</v>
          </cell>
        </row>
        <row r="223">
          <cell r="B223" t="str">
            <v>AA3047</v>
          </cell>
        </row>
        <row r="224">
          <cell r="B224" t="str">
            <v>AA3047-B</v>
          </cell>
        </row>
        <row r="225">
          <cell r="B225" t="str">
            <v>AA3048</v>
          </cell>
        </row>
        <row r="226">
          <cell r="B226" t="str">
            <v>AA3049</v>
          </cell>
        </row>
        <row r="227">
          <cell r="B227" t="str">
            <v>AA3050</v>
          </cell>
        </row>
        <row r="228">
          <cell r="B228" t="str">
            <v>AA3051</v>
          </cell>
        </row>
        <row r="229">
          <cell r="B229" t="str">
            <v>AA3051-B</v>
          </cell>
        </row>
        <row r="230">
          <cell r="B230" t="str">
            <v>AA3052</v>
          </cell>
        </row>
        <row r="231">
          <cell r="B231" t="str">
            <v>AA3053</v>
          </cell>
        </row>
        <row r="232">
          <cell r="B232" t="str">
            <v>AA3054</v>
          </cell>
        </row>
        <row r="233">
          <cell r="B233" t="str">
            <v>AA3055</v>
          </cell>
        </row>
        <row r="234">
          <cell r="B234" t="str">
            <v>AA3057</v>
          </cell>
        </row>
        <row r="235">
          <cell r="B235" t="str">
            <v>AA3058</v>
          </cell>
        </row>
        <row r="236">
          <cell r="B236" t="str">
            <v>AA3059</v>
          </cell>
        </row>
        <row r="237">
          <cell r="B237" t="str">
            <v>AA3060</v>
          </cell>
        </row>
        <row r="238">
          <cell r="B238" t="str">
            <v>AA3061</v>
          </cell>
        </row>
        <row r="239">
          <cell r="B239" t="str">
            <v>AA3062</v>
          </cell>
        </row>
        <row r="240">
          <cell r="B240" t="str">
            <v>AA3063</v>
          </cell>
        </row>
        <row r="241">
          <cell r="B241" t="str">
            <v>AA3064</v>
          </cell>
        </row>
        <row r="242">
          <cell r="B242" t="str">
            <v>AA3065</v>
          </cell>
        </row>
        <row r="243">
          <cell r="B243" t="str">
            <v>AA3066</v>
          </cell>
        </row>
        <row r="244">
          <cell r="B244" t="str">
            <v>AA3067</v>
          </cell>
        </row>
        <row r="245">
          <cell r="B245" t="str">
            <v>AA3068</v>
          </cell>
        </row>
        <row r="246">
          <cell r="B246" t="str">
            <v>AA3069</v>
          </cell>
        </row>
        <row r="247">
          <cell r="B247" t="str">
            <v>AA3070</v>
          </cell>
        </row>
        <row r="248">
          <cell r="B248" t="str">
            <v>AA3071</v>
          </cell>
        </row>
        <row r="249">
          <cell r="B249" t="str">
            <v>AA3072</v>
          </cell>
        </row>
        <row r="250">
          <cell r="B250" t="str">
            <v>AA3073</v>
          </cell>
        </row>
        <row r="251">
          <cell r="B251" t="str">
            <v>AA3074</v>
          </cell>
        </row>
        <row r="252">
          <cell r="B252" t="str">
            <v>AA3075</v>
          </cell>
        </row>
        <row r="253">
          <cell r="B253" t="str">
            <v>AA3076</v>
          </cell>
        </row>
        <row r="254">
          <cell r="B254" t="str">
            <v>AA3077</v>
          </cell>
        </row>
        <row r="255">
          <cell r="B255" t="str">
            <v>AA3078</v>
          </cell>
        </row>
        <row r="256">
          <cell r="B256" t="str">
            <v>AA3079</v>
          </cell>
        </row>
        <row r="257">
          <cell r="B257" t="str">
            <v>AA3080</v>
          </cell>
        </row>
        <row r="258">
          <cell r="B258" t="str">
            <v>AA3081</v>
          </cell>
        </row>
        <row r="259">
          <cell r="B259" t="str">
            <v>AA3082</v>
          </cell>
        </row>
        <row r="260">
          <cell r="B260" t="str">
            <v>AA3083</v>
          </cell>
        </row>
        <row r="261">
          <cell r="B261" t="str">
            <v>AA3084</v>
          </cell>
        </row>
        <row r="262">
          <cell r="B262" t="str">
            <v>AA3085</v>
          </cell>
        </row>
        <row r="263">
          <cell r="B263" t="str">
            <v>AA3086</v>
          </cell>
        </row>
        <row r="264">
          <cell r="B264" t="str">
            <v>AA3087</v>
          </cell>
        </row>
        <row r="265">
          <cell r="B265" t="str">
            <v>AA3088</v>
          </cell>
        </row>
        <row r="266">
          <cell r="B266" t="str">
            <v>AA3089</v>
          </cell>
        </row>
        <row r="267">
          <cell r="B267" t="str">
            <v>AA3090</v>
          </cell>
        </row>
        <row r="268">
          <cell r="B268" t="str">
            <v>AA3091</v>
          </cell>
        </row>
        <row r="269">
          <cell r="B269" t="str">
            <v>AA3092</v>
          </cell>
        </row>
        <row r="270">
          <cell r="B270" t="str">
            <v>AA3093</v>
          </cell>
        </row>
        <row r="271">
          <cell r="B271" t="str">
            <v>AA3094</v>
          </cell>
        </row>
        <row r="272">
          <cell r="B272" t="str">
            <v>AA3095</v>
          </cell>
        </row>
        <row r="273">
          <cell r="B273" t="str">
            <v>AA3096</v>
          </cell>
        </row>
        <row r="274">
          <cell r="B274" t="str">
            <v>AA3097</v>
          </cell>
        </row>
        <row r="275">
          <cell r="B275" t="str">
            <v>AA3098</v>
          </cell>
        </row>
        <row r="276">
          <cell r="B276" t="str">
            <v>AA3099</v>
          </cell>
        </row>
        <row r="277">
          <cell r="B277" t="str">
            <v>AA3100</v>
          </cell>
        </row>
        <row r="278">
          <cell r="B278" t="str">
            <v>AA3101</v>
          </cell>
        </row>
        <row r="279">
          <cell r="B279" t="str">
            <v>AA3102</v>
          </cell>
        </row>
        <row r="280">
          <cell r="B280" t="str">
            <v>AA3103</v>
          </cell>
        </row>
        <row r="281">
          <cell r="B281" t="str">
            <v>AA3104</v>
          </cell>
        </row>
        <row r="282">
          <cell r="B282" t="str">
            <v>AA3105</v>
          </cell>
        </row>
        <row r="283">
          <cell r="B283" t="str">
            <v>AA3106</v>
          </cell>
        </row>
        <row r="284">
          <cell r="B284" t="str">
            <v>AA3107</v>
          </cell>
        </row>
        <row r="285">
          <cell r="B285" t="str">
            <v>AA3108</v>
          </cell>
        </row>
        <row r="286">
          <cell r="B286" t="str">
            <v>AA3109</v>
          </cell>
        </row>
        <row r="287">
          <cell r="B287" t="str">
            <v>AA3110</v>
          </cell>
        </row>
        <row r="288">
          <cell r="B288" t="str">
            <v>AA3111</v>
          </cell>
        </row>
        <row r="289">
          <cell r="B289" t="str">
            <v>AA4001</v>
          </cell>
        </row>
        <row r="290">
          <cell r="B290" t="str">
            <v>AA4002</v>
          </cell>
        </row>
        <row r="291">
          <cell r="B291" t="str">
            <v>AA4003</v>
          </cell>
        </row>
        <row r="292">
          <cell r="B292" t="str">
            <v>AA4004</v>
          </cell>
        </row>
        <row r="293">
          <cell r="B293" t="str">
            <v>AA4005</v>
          </cell>
        </row>
        <row r="294">
          <cell r="B294" t="str">
            <v>AA4006</v>
          </cell>
        </row>
        <row r="295">
          <cell r="B295" t="str">
            <v>AA4007</v>
          </cell>
        </row>
        <row r="296">
          <cell r="B296" t="str">
            <v>AA4008</v>
          </cell>
        </row>
        <row r="297">
          <cell r="B297" t="str">
            <v>AA4009</v>
          </cell>
        </row>
        <row r="298">
          <cell r="B298" t="str">
            <v>AA4010</v>
          </cell>
        </row>
        <row r="299">
          <cell r="B299" t="str">
            <v>AA4011</v>
          </cell>
        </row>
        <row r="300">
          <cell r="B300" t="str">
            <v>AA4012</v>
          </cell>
        </row>
        <row r="301">
          <cell r="B301" t="str">
            <v>AA4013</v>
          </cell>
        </row>
        <row r="302">
          <cell r="B302" t="str">
            <v>AA4014</v>
          </cell>
        </row>
        <row r="303">
          <cell r="B303" t="str">
            <v>AA4015</v>
          </cell>
        </row>
        <row r="304">
          <cell r="B304" t="str">
            <v>AA4016</v>
          </cell>
        </row>
        <row r="305">
          <cell r="B305" t="str">
            <v>AA4017</v>
          </cell>
        </row>
        <row r="306">
          <cell r="B306" t="str">
            <v>AA4020</v>
          </cell>
        </row>
        <row r="307">
          <cell r="B307" t="str">
            <v>AA4021</v>
          </cell>
        </row>
        <row r="308">
          <cell r="B308" t="str">
            <v>AA4022</v>
          </cell>
        </row>
        <row r="309">
          <cell r="B309" t="str">
            <v>AA4023</v>
          </cell>
        </row>
        <row r="310">
          <cell r="B310" t="str">
            <v>AA4024</v>
          </cell>
        </row>
        <row r="311">
          <cell r="B311" t="str">
            <v>AA4025</v>
          </cell>
        </row>
        <row r="312">
          <cell r="B312" t="str">
            <v>AA4026</v>
          </cell>
        </row>
        <row r="313">
          <cell r="B313" t="str">
            <v>AA4027</v>
          </cell>
        </row>
        <row r="314">
          <cell r="B314" t="str">
            <v>AA4028</v>
          </cell>
        </row>
        <row r="315">
          <cell r="B315" t="str">
            <v>AA4029</v>
          </cell>
        </row>
        <row r="316">
          <cell r="B316" t="str">
            <v>AA4030</v>
          </cell>
        </row>
        <row r="317">
          <cell r="B317" t="str">
            <v>AA4031</v>
          </cell>
        </row>
        <row r="318">
          <cell r="B318" t="str">
            <v>AA4032</v>
          </cell>
        </row>
        <row r="319">
          <cell r="B319" t="str">
            <v>AA4033</v>
          </cell>
        </row>
        <row r="320">
          <cell r="B320" t="str">
            <v>AA4034</v>
          </cell>
        </row>
        <row r="321">
          <cell r="B321" t="str">
            <v>AA4035</v>
          </cell>
        </row>
        <row r="322">
          <cell r="B322" t="str">
            <v>AA4036</v>
          </cell>
        </row>
        <row r="323">
          <cell r="B323" t="str">
            <v>AA4038</v>
          </cell>
        </row>
        <row r="324">
          <cell r="B324" t="str">
            <v>AA4039</v>
          </cell>
        </row>
        <row r="325">
          <cell r="B325" t="str">
            <v>AA4040</v>
          </cell>
        </row>
        <row r="326">
          <cell r="B326" t="str">
            <v>AA4041</v>
          </cell>
        </row>
        <row r="327">
          <cell r="B327" t="str">
            <v>AA4042</v>
          </cell>
        </row>
        <row r="328">
          <cell r="B328" t="str">
            <v>AA4042-1</v>
          </cell>
        </row>
        <row r="329">
          <cell r="B329" t="str">
            <v>AA4043</v>
          </cell>
        </row>
        <row r="330">
          <cell r="B330" t="str">
            <v>AA4043-1</v>
          </cell>
        </row>
        <row r="331">
          <cell r="B331" t="str">
            <v>AA4044</v>
          </cell>
        </row>
        <row r="332">
          <cell r="B332" t="str">
            <v>AA4045</v>
          </cell>
        </row>
        <row r="333">
          <cell r="B333" t="str">
            <v>AA4046</v>
          </cell>
        </row>
        <row r="334">
          <cell r="B334" t="str">
            <v>AA4047</v>
          </cell>
        </row>
        <row r="335">
          <cell r="B335" t="str">
            <v>AA4051</v>
          </cell>
        </row>
        <row r="336">
          <cell r="B336" t="str">
            <v>AA4052</v>
          </cell>
        </row>
        <row r="337">
          <cell r="B337" t="str">
            <v>AA4053</v>
          </cell>
        </row>
        <row r="338">
          <cell r="B338" t="str">
            <v>AA4054</v>
          </cell>
        </row>
        <row r="339">
          <cell r="B339" t="str">
            <v>AA4056</v>
          </cell>
        </row>
        <row r="340">
          <cell r="B340" t="str">
            <v>AA4058</v>
          </cell>
        </row>
        <row r="341">
          <cell r="B341" t="str">
            <v>AA4059</v>
          </cell>
        </row>
        <row r="342">
          <cell r="B342" t="str">
            <v>AA4101</v>
          </cell>
        </row>
        <row r="343">
          <cell r="B343" t="str">
            <v>AA5001</v>
          </cell>
        </row>
        <row r="344">
          <cell r="B344" t="str">
            <v>AA5002</v>
          </cell>
        </row>
        <row r="345">
          <cell r="B345" t="str">
            <v>AA5003</v>
          </cell>
        </row>
        <row r="346">
          <cell r="B346" t="str">
            <v>AA5004</v>
          </cell>
        </row>
        <row r="347">
          <cell r="B347" t="str">
            <v>AA5005</v>
          </cell>
        </row>
        <row r="348">
          <cell r="B348" t="str">
            <v>AA5006</v>
          </cell>
        </row>
        <row r="349">
          <cell r="B349" t="str">
            <v>AA5007</v>
          </cell>
        </row>
        <row r="350">
          <cell r="B350" t="str">
            <v>AA5008</v>
          </cell>
        </row>
        <row r="351">
          <cell r="B351" t="str">
            <v>AA5009</v>
          </cell>
        </row>
        <row r="352">
          <cell r="B352" t="str">
            <v>AA5010</v>
          </cell>
        </row>
        <row r="353">
          <cell r="B353" t="str">
            <v>AA5011</v>
          </cell>
        </row>
        <row r="354">
          <cell r="B354" t="str">
            <v>AA5012</v>
          </cell>
        </row>
        <row r="355">
          <cell r="B355" t="str">
            <v>AA5013</v>
          </cell>
        </row>
        <row r="356">
          <cell r="B356" t="str">
            <v>AA5014</v>
          </cell>
        </row>
        <row r="357">
          <cell r="B357" t="str">
            <v>AA5015</v>
          </cell>
        </row>
        <row r="358">
          <cell r="B358" t="str">
            <v>AA5016</v>
          </cell>
        </row>
        <row r="359">
          <cell r="B359" t="str">
            <v>AA5017</v>
          </cell>
        </row>
        <row r="360">
          <cell r="B360" t="str">
            <v>AA5018</v>
          </cell>
        </row>
        <row r="361">
          <cell r="B361" t="str">
            <v>AA5019</v>
          </cell>
        </row>
        <row r="362">
          <cell r="B362" t="str">
            <v>AA5020</v>
          </cell>
        </row>
        <row r="363">
          <cell r="B363" t="str">
            <v>AA5021</v>
          </cell>
        </row>
        <row r="364">
          <cell r="B364" t="str">
            <v>AA5022</v>
          </cell>
        </row>
        <row r="365">
          <cell r="B365" t="str">
            <v>AA5023</v>
          </cell>
        </row>
        <row r="366">
          <cell r="B366" t="str">
            <v>AA6001</v>
          </cell>
        </row>
        <row r="367">
          <cell r="B367" t="str">
            <v>AA6002</v>
          </cell>
        </row>
        <row r="368">
          <cell r="B368" t="str">
            <v>AA6003</v>
          </cell>
        </row>
        <row r="369">
          <cell r="B369" t="str">
            <v>AA6004</v>
          </cell>
        </row>
        <row r="370">
          <cell r="B370" t="str">
            <v>AA6005</v>
          </cell>
        </row>
        <row r="371">
          <cell r="B371" t="str">
            <v>AA6006</v>
          </cell>
        </row>
        <row r="372">
          <cell r="B372" t="str">
            <v>AA6007</v>
          </cell>
        </row>
        <row r="373">
          <cell r="B373" t="str">
            <v>AA6008</v>
          </cell>
        </row>
        <row r="374">
          <cell r="B374" t="str">
            <v>AA6009</v>
          </cell>
        </row>
        <row r="375">
          <cell r="B375" t="str">
            <v>AA6010</v>
          </cell>
        </row>
        <row r="376">
          <cell r="B376" t="str">
            <v>AA6011</v>
          </cell>
        </row>
        <row r="377">
          <cell r="B377" t="str">
            <v>AA6012</v>
          </cell>
        </row>
        <row r="378">
          <cell r="B378" t="str">
            <v>AA6013</v>
          </cell>
        </row>
        <row r="379">
          <cell r="B379" t="str">
            <v>AA6014</v>
          </cell>
        </row>
        <row r="380">
          <cell r="B380" t="str">
            <v>AA6015</v>
          </cell>
        </row>
        <row r="381">
          <cell r="B381" t="str">
            <v>AA6016</v>
          </cell>
        </row>
        <row r="382">
          <cell r="B382" t="str">
            <v>AA6017</v>
          </cell>
        </row>
        <row r="383">
          <cell r="B383" t="str">
            <v>AA6018</v>
          </cell>
        </row>
        <row r="384">
          <cell r="B384" t="str">
            <v>AA6019</v>
          </cell>
        </row>
        <row r="385">
          <cell r="B385" t="str">
            <v>AA6020</v>
          </cell>
        </row>
        <row r="386">
          <cell r="B386" t="str">
            <v>AA6021</v>
          </cell>
        </row>
        <row r="387">
          <cell r="B387" t="str">
            <v>AA6022</v>
          </cell>
        </row>
        <row r="388">
          <cell r="B388" t="str">
            <v>AA6023</v>
          </cell>
        </row>
        <row r="389">
          <cell r="B389" t="str">
            <v>AA6024</v>
          </cell>
        </row>
        <row r="390">
          <cell r="B390" t="str">
            <v>AA6025</v>
          </cell>
        </row>
        <row r="391">
          <cell r="B391" t="str">
            <v>AA6026</v>
          </cell>
        </row>
        <row r="392">
          <cell r="B392" t="str">
            <v>AA6027</v>
          </cell>
        </row>
        <row r="393">
          <cell r="B393" t="str">
            <v>AA6029</v>
          </cell>
        </row>
        <row r="394">
          <cell r="B394" t="str">
            <v>AA6030</v>
          </cell>
        </row>
        <row r="395">
          <cell r="B395" t="str">
            <v>AA6031</v>
          </cell>
        </row>
        <row r="396">
          <cell r="B396" t="str">
            <v>AA6032</v>
          </cell>
        </row>
        <row r="397">
          <cell r="B397" t="str">
            <v>AA7001</v>
          </cell>
        </row>
        <row r="398">
          <cell r="B398" t="str">
            <v>AA7002</v>
          </cell>
        </row>
        <row r="399">
          <cell r="B399" t="str">
            <v>AA7003</v>
          </cell>
        </row>
        <row r="400">
          <cell r="B400" t="str">
            <v>AA7005</v>
          </cell>
        </row>
        <row r="401">
          <cell r="B401" t="str">
            <v>AA7006</v>
          </cell>
        </row>
        <row r="402">
          <cell r="B402" t="str">
            <v>AA7007</v>
          </cell>
        </row>
        <row r="403">
          <cell r="B403" t="str">
            <v>AA7008</v>
          </cell>
        </row>
        <row r="404">
          <cell r="B404" t="str">
            <v>AA7009</v>
          </cell>
        </row>
        <row r="405">
          <cell r="B405" t="str">
            <v>AA7010</v>
          </cell>
        </row>
        <row r="406">
          <cell r="B406" t="str">
            <v>AA7011</v>
          </cell>
        </row>
        <row r="407">
          <cell r="B407" t="str">
            <v>AA7012</v>
          </cell>
        </row>
        <row r="408">
          <cell r="B408" t="str">
            <v>AA7013</v>
          </cell>
        </row>
        <row r="409">
          <cell r="B409" t="str">
            <v>AA7014</v>
          </cell>
        </row>
        <row r="410">
          <cell r="B410" t="str">
            <v>AA7015</v>
          </cell>
        </row>
        <row r="411">
          <cell r="B411" t="str">
            <v>AA7016</v>
          </cell>
        </row>
        <row r="412">
          <cell r="B412" t="str">
            <v>AA7017</v>
          </cell>
        </row>
        <row r="413">
          <cell r="B413" t="str">
            <v>AA7018</v>
          </cell>
        </row>
        <row r="414">
          <cell r="B414" t="str">
            <v>AA7019</v>
          </cell>
        </row>
        <row r="415">
          <cell r="B415" t="str">
            <v>AA7020</v>
          </cell>
        </row>
        <row r="416">
          <cell r="B416" t="str">
            <v>AA7021</v>
          </cell>
        </row>
        <row r="417">
          <cell r="B417" t="str">
            <v>AA7022</v>
          </cell>
        </row>
        <row r="418">
          <cell r="B418" t="str">
            <v>AA7023</v>
          </cell>
        </row>
        <row r="419">
          <cell r="B419" t="str">
            <v>AA7024</v>
          </cell>
        </row>
        <row r="420">
          <cell r="B420" t="str">
            <v>AA7025</v>
          </cell>
        </row>
        <row r="421">
          <cell r="B421" t="str">
            <v>AA7026</v>
          </cell>
        </row>
        <row r="422">
          <cell r="B422" t="str">
            <v>AA7027</v>
          </cell>
        </row>
        <row r="423">
          <cell r="B423" t="str">
            <v>AA7028</v>
          </cell>
        </row>
        <row r="424">
          <cell r="B424" t="str">
            <v>AA7029</v>
          </cell>
        </row>
        <row r="425">
          <cell r="B425" t="str">
            <v>AA7030</v>
          </cell>
        </row>
        <row r="426">
          <cell r="B426" t="str">
            <v>AA7031</v>
          </cell>
        </row>
        <row r="427">
          <cell r="B427" t="str">
            <v>AA7032</v>
          </cell>
        </row>
        <row r="428">
          <cell r="B428" t="str">
            <v>AA7033</v>
          </cell>
        </row>
        <row r="429">
          <cell r="B429" t="str">
            <v>AA7034</v>
          </cell>
        </row>
        <row r="430">
          <cell r="B430" t="str">
            <v>AA80001</v>
          </cell>
        </row>
        <row r="431">
          <cell r="B431" t="str">
            <v>AA80003</v>
          </cell>
        </row>
        <row r="432">
          <cell r="B432" t="str">
            <v>AA80003-1</v>
          </cell>
        </row>
        <row r="433">
          <cell r="B433" t="str">
            <v>AA80004</v>
          </cell>
        </row>
        <row r="434">
          <cell r="B434" t="str">
            <v>AA80005</v>
          </cell>
        </row>
        <row r="435">
          <cell r="B435" t="str">
            <v>AA80006</v>
          </cell>
        </row>
        <row r="436">
          <cell r="B436" t="str">
            <v>AA80007</v>
          </cell>
        </row>
        <row r="437">
          <cell r="B437" t="str">
            <v>AA80008</v>
          </cell>
        </row>
        <row r="438">
          <cell r="B438" t="str">
            <v>AA80009</v>
          </cell>
        </row>
        <row r="439">
          <cell r="B439" t="str">
            <v>AA80010</v>
          </cell>
        </row>
        <row r="440">
          <cell r="B440" t="str">
            <v>AA80011</v>
          </cell>
        </row>
        <row r="441">
          <cell r="B441" t="str">
            <v>AA80012</v>
          </cell>
        </row>
        <row r="442">
          <cell r="B442" t="str">
            <v>AA80013</v>
          </cell>
        </row>
        <row r="443">
          <cell r="B443" t="str">
            <v>AA80014</v>
          </cell>
        </row>
        <row r="444">
          <cell r="B444" t="str">
            <v>AA80015</v>
          </cell>
        </row>
        <row r="445">
          <cell r="B445" t="str">
            <v>AA80016</v>
          </cell>
        </row>
        <row r="446">
          <cell r="B446" t="str">
            <v>AA80017</v>
          </cell>
        </row>
        <row r="447">
          <cell r="B447" t="str">
            <v>AA80018</v>
          </cell>
        </row>
        <row r="448">
          <cell r="B448" t="str">
            <v>AA80019</v>
          </cell>
        </row>
        <row r="449">
          <cell r="B449" t="str">
            <v>AA80020</v>
          </cell>
        </row>
        <row r="450">
          <cell r="B450" t="str">
            <v>AA80021</v>
          </cell>
        </row>
        <row r="451">
          <cell r="B451" t="str">
            <v>AA80022</v>
          </cell>
        </row>
        <row r="452">
          <cell r="B452" t="str">
            <v>AA80023</v>
          </cell>
        </row>
        <row r="453">
          <cell r="B453" t="str">
            <v>AA80024</v>
          </cell>
        </row>
        <row r="454">
          <cell r="B454" t="str">
            <v>AA80025</v>
          </cell>
        </row>
        <row r="455">
          <cell r="B455" t="str">
            <v>AA80026</v>
          </cell>
        </row>
        <row r="456">
          <cell r="B456" t="str">
            <v>AA80027</v>
          </cell>
        </row>
        <row r="457">
          <cell r="B457" t="str">
            <v>AA80028</v>
          </cell>
        </row>
        <row r="458">
          <cell r="B458" t="str">
            <v>AA80029</v>
          </cell>
        </row>
        <row r="459">
          <cell r="B459" t="str">
            <v>AA80030</v>
          </cell>
        </row>
        <row r="460">
          <cell r="B460" t="str">
            <v>AA80031</v>
          </cell>
        </row>
        <row r="461">
          <cell r="B461" t="str">
            <v>AA80032</v>
          </cell>
        </row>
        <row r="462">
          <cell r="B462" t="str">
            <v>AA80033</v>
          </cell>
        </row>
        <row r="463">
          <cell r="B463" t="str">
            <v>AA80034</v>
          </cell>
        </row>
        <row r="464">
          <cell r="B464" t="str">
            <v>AA80035</v>
          </cell>
        </row>
        <row r="465">
          <cell r="B465" t="str">
            <v>AA80036</v>
          </cell>
        </row>
        <row r="466">
          <cell r="B466" t="str">
            <v>AA80037</v>
          </cell>
        </row>
        <row r="467">
          <cell r="B467" t="str">
            <v>AA80038</v>
          </cell>
        </row>
        <row r="468">
          <cell r="B468" t="str">
            <v>AA80039</v>
          </cell>
        </row>
        <row r="469">
          <cell r="B469" t="str">
            <v>AA80040</v>
          </cell>
        </row>
        <row r="470">
          <cell r="B470" t="str">
            <v>AA80041</v>
          </cell>
        </row>
        <row r="471">
          <cell r="B471" t="str">
            <v>AA80042</v>
          </cell>
        </row>
        <row r="472">
          <cell r="B472" t="str">
            <v>AA80043</v>
          </cell>
        </row>
        <row r="473">
          <cell r="B473" t="str">
            <v>AA80044</v>
          </cell>
        </row>
        <row r="474">
          <cell r="B474" t="str">
            <v>AA80045</v>
          </cell>
        </row>
        <row r="475">
          <cell r="B475" t="str">
            <v>AA80046</v>
          </cell>
        </row>
        <row r="476">
          <cell r="B476" t="str">
            <v>AA80047</v>
          </cell>
        </row>
        <row r="477">
          <cell r="B477" t="str">
            <v>AA80048</v>
          </cell>
        </row>
        <row r="478">
          <cell r="B478" t="str">
            <v>AA80049</v>
          </cell>
        </row>
        <row r="479">
          <cell r="B479" t="str">
            <v>AA80050</v>
          </cell>
        </row>
        <row r="480">
          <cell r="B480" t="str">
            <v>AA80051</v>
          </cell>
        </row>
        <row r="481">
          <cell r="B481" t="str">
            <v>AA80052</v>
          </cell>
        </row>
        <row r="482">
          <cell r="B482" t="str">
            <v>AA80053</v>
          </cell>
        </row>
        <row r="483">
          <cell r="B483" t="str">
            <v>AA80054</v>
          </cell>
        </row>
        <row r="484">
          <cell r="B484" t="str">
            <v>AA80055</v>
          </cell>
        </row>
        <row r="485">
          <cell r="B485" t="str">
            <v>AA80056</v>
          </cell>
        </row>
        <row r="486">
          <cell r="B486" t="str">
            <v>AA80057</v>
          </cell>
        </row>
        <row r="487">
          <cell r="B487" t="str">
            <v>AA80058</v>
          </cell>
        </row>
        <row r="488">
          <cell r="B488" t="str">
            <v>AA80059</v>
          </cell>
        </row>
        <row r="489">
          <cell r="B489" t="str">
            <v>AA80060</v>
          </cell>
        </row>
        <row r="490">
          <cell r="B490" t="str">
            <v>AA80061</v>
          </cell>
        </row>
        <row r="491">
          <cell r="B491" t="str">
            <v>AA80062</v>
          </cell>
        </row>
        <row r="492">
          <cell r="B492" t="str">
            <v>AA80063</v>
          </cell>
        </row>
        <row r="493">
          <cell r="B493" t="str">
            <v>AA80064</v>
          </cell>
        </row>
        <row r="494">
          <cell r="B494" t="str">
            <v>AA80065</v>
          </cell>
        </row>
        <row r="495">
          <cell r="B495" t="str">
            <v>AA80066</v>
          </cell>
        </row>
        <row r="496">
          <cell r="B496" t="str">
            <v>AA80067</v>
          </cell>
        </row>
        <row r="497">
          <cell r="B497" t="str">
            <v>AA80068</v>
          </cell>
        </row>
        <row r="498">
          <cell r="B498" t="str">
            <v>AA80069</v>
          </cell>
        </row>
        <row r="499">
          <cell r="B499" t="str">
            <v>AA80070</v>
          </cell>
        </row>
        <row r="500">
          <cell r="B500" t="str">
            <v>AA80071</v>
          </cell>
        </row>
        <row r="501">
          <cell r="B501" t="str">
            <v>AA80071-1</v>
          </cell>
        </row>
        <row r="502">
          <cell r="B502" t="str">
            <v>AA80072</v>
          </cell>
        </row>
        <row r="503">
          <cell r="B503" t="str">
            <v>AA80073</v>
          </cell>
        </row>
        <row r="504">
          <cell r="B504" t="str">
            <v>AA80074</v>
          </cell>
        </row>
        <row r="505">
          <cell r="B505" t="str">
            <v>AA80074-1</v>
          </cell>
        </row>
        <row r="506">
          <cell r="B506" t="str">
            <v>AA80075</v>
          </cell>
        </row>
        <row r="507">
          <cell r="B507" t="str">
            <v>AA80076</v>
          </cell>
        </row>
        <row r="508">
          <cell r="B508" t="str">
            <v>AA80077</v>
          </cell>
        </row>
        <row r="509">
          <cell r="B509" t="str">
            <v>AA80078</v>
          </cell>
        </row>
        <row r="510">
          <cell r="B510" t="str">
            <v>AA80079</v>
          </cell>
        </row>
        <row r="511">
          <cell r="B511" t="str">
            <v>AA80080</v>
          </cell>
        </row>
        <row r="512">
          <cell r="B512" t="str">
            <v>AA80081</v>
          </cell>
        </row>
        <row r="513">
          <cell r="B513" t="str">
            <v>AA80082</v>
          </cell>
        </row>
        <row r="514">
          <cell r="B514" t="str">
            <v>AA80083</v>
          </cell>
        </row>
        <row r="515">
          <cell r="B515" t="str">
            <v>AA80084</v>
          </cell>
        </row>
        <row r="516">
          <cell r="B516" t="str">
            <v>AA80085</v>
          </cell>
        </row>
        <row r="517">
          <cell r="B517" t="str">
            <v>AA80086</v>
          </cell>
        </row>
        <row r="518">
          <cell r="B518" t="str">
            <v>AA80087</v>
          </cell>
        </row>
        <row r="519">
          <cell r="B519" t="str">
            <v>AA80088</v>
          </cell>
        </row>
        <row r="520">
          <cell r="B520" t="str">
            <v>AA80089</v>
          </cell>
        </row>
        <row r="521">
          <cell r="B521" t="str">
            <v>AA80090</v>
          </cell>
        </row>
        <row r="522">
          <cell r="B522" t="str">
            <v>AA80091</v>
          </cell>
        </row>
        <row r="523">
          <cell r="B523" t="str">
            <v>AA80091-1</v>
          </cell>
        </row>
        <row r="524">
          <cell r="B524" t="str">
            <v>AA80092</v>
          </cell>
        </row>
        <row r="525">
          <cell r="B525" t="str">
            <v>AA80093</v>
          </cell>
        </row>
        <row r="526">
          <cell r="B526" t="str">
            <v>AA80094</v>
          </cell>
        </row>
        <row r="527">
          <cell r="B527" t="str">
            <v>AA80095</v>
          </cell>
        </row>
        <row r="528">
          <cell r="B528" t="str">
            <v>AA80096</v>
          </cell>
        </row>
        <row r="529">
          <cell r="B529" t="str">
            <v>AA80097</v>
          </cell>
        </row>
        <row r="530">
          <cell r="B530" t="str">
            <v>AA80098</v>
          </cell>
        </row>
        <row r="531">
          <cell r="B531" t="str">
            <v>AA80099</v>
          </cell>
        </row>
        <row r="532">
          <cell r="B532" t="str">
            <v>AA80100</v>
          </cell>
        </row>
        <row r="533">
          <cell r="B533" t="str">
            <v>AA80101</v>
          </cell>
        </row>
        <row r="534">
          <cell r="B534" t="str">
            <v>AA80102</v>
          </cell>
        </row>
        <row r="535">
          <cell r="B535" t="str">
            <v>AA80103</v>
          </cell>
        </row>
        <row r="536">
          <cell r="B536" t="str">
            <v>AA80104</v>
          </cell>
        </row>
        <row r="537">
          <cell r="B537" t="str">
            <v>AA80105</v>
          </cell>
        </row>
        <row r="538">
          <cell r="B538" t="str">
            <v>AA80106</v>
          </cell>
        </row>
        <row r="539">
          <cell r="B539" t="str">
            <v>AA80106-1</v>
          </cell>
        </row>
        <row r="540">
          <cell r="B540" t="str">
            <v>AA80107</v>
          </cell>
        </row>
        <row r="541">
          <cell r="B541" t="str">
            <v>AA80108</v>
          </cell>
        </row>
        <row r="542">
          <cell r="B542" t="str">
            <v>AA80109</v>
          </cell>
        </row>
        <row r="543">
          <cell r="B543" t="str">
            <v>AA80110</v>
          </cell>
        </row>
        <row r="544">
          <cell r="B544" t="str">
            <v>AA80111</v>
          </cell>
        </row>
        <row r="545">
          <cell r="B545" t="str">
            <v>AA80111-1</v>
          </cell>
        </row>
        <row r="546">
          <cell r="B546" t="str">
            <v>AA80112</v>
          </cell>
        </row>
        <row r="547">
          <cell r="B547" t="str">
            <v>AA80113</v>
          </cell>
        </row>
        <row r="548">
          <cell r="B548" t="str">
            <v>AA80114</v>
          </cell>
        </row>
        <row r="549">
          <cell r="B549" t="str">
            <v>AA80115</v>
          </cell>
        </row>
        <row r="550">
          <cell r="B550" t="str">
            <v>AA80116</v>
          </cell>
        </row>
        <row r="551">
          <cell r="B551" t="str">
            <v>AA80117</v>
          </cell>
        </row>
        <row r="552">
          <cell r="B552" t="str">
            <v>AA80118</v>
          </cell>
        </row>
        <row r="553">
          <cell r="B553" t="str">
            <v>AA80119</v>
          </cell>
        </row>
        <row r="554">
          <cell r="B554" t="str">
            <v>AA80120</v>
          </cell>
        </row>
        <row r="555">
          <cell r="B555" t="str">
            <v>AA80121</v>
          </cell>
        </row>
        <row r="556">
          <cell r="B556" t="str">
            <v>AA80122</v>
          </cell>
        </row>
        <row r="557">
          <cell r="B557" t="str">
            <v>AA80123</v>
          </cell>
        </row>
        <row r="558">
          <cell r="B558" t="str">
            <v>AA80124</v>
          </cell>
        </row>
        <row r="559">
          <cell r="B559" t="str">
            <v>AA9001</v>
          </cell>
        </row>
        <row r="560">
          <cell r="B560" t="str">
            <v>AA9002</v>
          </cell>
        </row>
        <row r="561">
          <cell r="B561" t="str">
            <v>AA9003</v>
          </cell>
        </row>
        <row r="562">
          <cell r="B562" t="str">
            <v>AA9004</v>
          </cell>
        </row>
        <row r="563">
          <cell r="B563" t="str">
            <v>AA9201</v>
          </cell>
        </row>
        <row r="564">
          <cell r="B564" t="str">
            <v>AA9202</v>
          </cell>
        </row>
        <row r="565">
          <cell r="B565" t="str">
            <v>AA9203</v>
          </cell>
        </row>
        <row r="566">
          <cell r="B566" t="str">
            <v>AA9204</v>
          </cell>
        </row>
        <row r="567">
          <cell r="B567" t="str">
            <v>AA9205</v>
          </cell>
        </row>
        <row r="568">
          <cell r="B568" t="str">
            <v>AA9206</v>
          </cell>
        </row>
        <row r="569">
          <cell r="B569" t="str">
            <v>AA9206-1</v>
          </cell>
        </row>
        <row r="570">
          <cell r="B570" t="str">
            <v>AA9207</v>
          </cell>
        </row>
        <row r="571">
          <cell r="B571" t="str">
            <v>AA9208</v>
          </cell>
        </row>
        <row r="572">
          <cell r="B572" t="str">
            <v>AA9209</v>
          </cell>
        </row>
        <row r="573">
          <cell r="B573" t="str">
            <v>AA9210</v>
          </cell>
        </row>
        <row r="574">
          <cell r="B574" t="str">
            <v>AA9211</v>
          </cell>
        </row>
        <row r="575">
          <cell r="B575" t="str">
            <v>AA9212</v>
          </cell>
        </row>
        <row r="576">
          <cell r="B576" t="str">
            <v>AA9213</v>
          </cell>
        </row>
        <row r="577">
          <cell r="B577" t="str">
            <v>AA9214</v>
          </cell>
        </row>
        <row r="578">
          <cell r="B578" t="str">
            <v>AA9215</v>
          </cell>
        </row>
        <row r="579">
          <cell r="B579" t="str">
            <v>AA9216</v>
          </cell>
        </row>
        <row r="580">
          <cell r="B580" t="str">
            <v>AA9217</v>
          </cell>
        </row>
        <row r="581">
          <cell r="B581" t="str">
            <v>AA9218</v>
          </cell>
        </row>
        <row r="582">
          <cell r="B582" t="str">
            <v>AA9219</v>
          </cell>
        </row>
        <row r="583">
          <cell r="B583" t="str">
            <v>AA9220</v>
          </cell>
        </row>
        <row r="584">
          <cell r="B584" t="str">
            <v>AA9221</v>
          </cell>
        </row>
        <row r="585">
          <cell r="B585" t="str">
            <v>AA9221-1</v>
          </cell>
        </row>
        <row r="586">
          <cell r="B586" t="str">
            <v>AA9222</v>
          </cell>
        </row>
        <row r="587">
          <cell r="B587" t="str">
            <v>AA9222-1</v>
          </cell>
        </row>
        <row r="588">
          <cell r="B588" t="str">
            <v>AA9223</v>
          </cell>
        </row>
        <row r="589">
          <cell r="B589" t="str">
            <v>AA9224</v>
          </cell>
        </row>
        <row r="590">
          <cell r="B590" t="str">
            <v>AA9225</v>
          </cell>
        </row>
        <row r="591">
          <cell r="B591" t="str">
            <v>AA9226</v>
          </cell>
        </row>
        <row r="592">
          <cell r="B592" t="str">
            <v>AA9301</v>
          </cell>
        </row>
        <row r="593">
          <cell r="B593" t="str">
            <v>AA9302</v>
          </cell>
        </row>
        <row r="594">
          <cell r="B594" t="str">
            <v>AA9303</v>
          </cell>
        </row>
        <row r="595">
          <cell r="B595" t="str">
            <v>AA9304</v>
          </cell>
        </row>
        <row r="596">
          <cell r="B596" t="str">
            <v>AA9304-1</v>
          </cell>
        </row>
        <row r="597">
          <cell r="B597" t="str">
            <v>AA9305</v>
          </cell>
        </row>
        <row r="598">
          <cell r="B598" t="str">
            <v>AA9306</v>
          </cell>
        </row>
        <row r="599">
          <cell r="B599" t="str">
            <v>AA9307</v>
          </cell>
        </row>
        <row r="600">
          <cell r="B600" t="str">
            <v>AA9308</v>
          </cell>
        </row>
        <row r="601">
          <cell r="B601" t="str">
            <v>AA9309</v>
          </cell>
        </row>
        <row r="602">
          <cell r="B602" t="str">
            <v>AA9310</v>
          </cell>
        </row>
        <row r="603">
          <cell r="B603" t="str">
            <v>AA9311</v>
          </cell>
        </row>
        <row r="604">
          <cell r="B604" t="str">
            <v>AA9312</v>
          </cell>
        </row>
        <row r="605">
          <cell r="B605" t="str">
            <v>AA9313</v>
          </cell>
        </row>
        <row r="606">
          <cell r="B606" t="str">
            <v>AA9314</v>
          </cell>
        </row>
        <row r="607">
          <cell r="B607" t="str">
            <v>AA9314-1</v>
          </cell>
        </row>
        <row r="608">
          <cell r="B608" t="str">
            <v>AA9314-2</v>
          </cell>
        </row>
        <row r="609">
          <cell r="B609" t="str">
            <v>AA9315</v>
          </cell>
        </row>
        <row r="610">
          <cell r="B610" t="str">
            <v>AA9316</v>
          </cell>
        </row>
        <row r="611">
          <cell r="B611" t="str">
            <v>AA9317</v>
          </cell>
        </row>
        <row r="612">
          <cell r="B612" t="str">
            <v>AA9318</v>
          </cell>
        </row>
        <row r="613">
          <cell r="B613" t="str">
            <v>AA9320</v>
          </cell>
        </row>
        <row r="614">
          <cell r="B614" t="str">
            <v>AA9321</v>
          </cell>
        </row>
        <row r="615">
          <cell r="B615" t="str">
            <v>AA9322</v>
          </cell>
        </row>
        <row r="616">
          <cell r="B616" t="str">
            <v>AA9323</v>
          </cell>
        </row>
        <row r="617">
          <cell r="B617" t="str">
            <v>AA9324</v>
          </cell>
        </row>
        <row r="618">
          <cell r="B618" t="str">
            <v>AA9325</v>
          </cell>
        </row>
        <row r="619">
          <cell r="B619" t="str">
            <v>AA9326</v>
          </cell>
        </row>
        <row r="620">
          <cell r="B620" t="str">
            <v>AA9327</v>
          </cell>
        </row>
        <row r="621">
          <cell r="B621" t="str">
            <v>AA9328</v>
          </cell>
        </row>
        <row r="622">
          <cell r="B622" t="str">
            <v>AA9329</v>
          </cell>
        </row>
        <row r="623">
          <cell r="B623" t="str">
            <v>AA9330</v>
          </cell>
        </row>
        <row r="624">
          <cell r="B624" t="str">
            <v>AA9331</v>
          </cell>
        </row>
        <row r="625">
          <cell r="B625" t="str">
            <v>AA9331-1</v>
          </cell>
        </row>
        <row r="626">
          <cell r="B626" t="str">
            <v>AA9332</v>
          </cell>
        </row>
        <row r="627">
          <cell r="B627" t="str">
            <v>AA9333</v>
          </cell>
        </row>
        <row r="628">
          <cell r="B628" t="str">
            <v>AA9334</v>
          </cell>
        </row>
        <row r="629">
          <cell r="B629" t="str">
            <v>AA9335</v>
          </cell>
        </row>
        <row r="630">
          <cell r="B630" t="str">
            <v>AA9336</v>
          </cell>
        </row>
        <row r="631">
          <cell r="B631" t="str">
            <v>AA9337</v>
          </cell>
        </row>
        <row r="632">
          <cell r="B632" t="str">
            <v>AA9338</v>
          </cell>
        </row>
        <row r="633">
          <cell r="B633" t="str">
            <v>AA9339</v>
          </cell>
        </row>
        <row r="634">
          <cell r="B634" t="str">
            <v>AA9340</v>
          </cell>
        </row>
        <row r="635">
          <cell r="B635" t="str">
            <v>AA9341</v>
          </cell>
        </row>
        <row r="636">
          <cell r="B636" t="str">
            <v>AA9342</v>
          </cell>
        </row>
        <row r="637">
          <cell r="B637" t="str">
            <v>AA9343</v>
          </cell>
        </row>
        <row r="638">
          <cell r="B638" t="str">
            <v>AA9400</v>
          </cell>
        </row>
        <row r="639">
          <cell r="B639" t="str">
            <v>AA9401</v>
          </cell>
        </row>
        <row r="640">
          <cell r="B640" t="str">
            <v>AA9402</v>
          </cell>
        </row>
        <row r="641">
          <cell r="B641" t="str">
            <v>AA9403</v>
          </cell>
        </row>
        <row r="642">
          <cell r="B642" t="str">
            <v>AA9404</v>
          </cell>
        </row>
        <row r="643">
          <cell r="B643" t="str">
            <v>AA9411</v>
          </cell>
        </row>
        <row r="644">
          <cell r="B644" t="str">
            <v>AA9412</v>
          </cell>
        </row>
        <row r="645">
          <cell r="B645" t="str">
            <v>AA9500</v>
          </cell>
        </row>
        <row r="646">
          <cell r="B646" t="str">
            <v>AA9501</v>
          </cell>
        </row>
        <row r="647">
          <cell r="B647" t="str">
            <v>AA9502</v>
          </cell>
        </row>
        <row r="648">
          <cell r="B648" t="str">
            <v>AA9503</v>
          </cell>
        </row>
        <row r="649">
          <cell r="B649" t="str">
            <v>AA9601</v>
          </cell>
        </row>
        <row r="650">
          <cell r="B650" t="str">
            <v>AA9602</v>
          </cell>
        </row>
        <row r="651">
          <cell r="B651" t="str">
            <v>AA9603</v>
          </cell>
        </row>
        <row r="652">
          <cell r="B652" t="str">
            <v>AA9604</v>
          </cell>
        </row>
        <row r="653">
          <cell r="B653" t="str">
            <v>AA9605</v>
          </cell>
        </row>
        <row r="654">
          <cell r="B654" t="str">
            <v>AA9606</v>
          </cell>
        </row>
        <row r="655">
          <cell r="B655" t="str">
            <v>AA9607</v>
          </cell>
        </row>
        <row r="656">
          <cell r="B656" t="str">
            <v>AA9608</v>
          </cell>
        </row>
        <row r="657">
          <cell r="B657" t="str">
            <v>AA9609</v>
          </cell>
        </row>
        <row r="658">
          <cell r="B658" t="str">
            <v>AH0115</v>
          </cell>
        </row>
        <row r="659">
          <cell r="B659" t="str">
            <v>AH0116</v>
          </cell>
        </row>
        <row r="660">
          <cell r="B660" t="str">
            <v>AH0324</v>
          </cell>
        </row>
        <row r="661">
          <cell r="B661" t="str">
            <v>AH0390</v>
          </cell>
        </row>
        <row r="662">
          <cell r="B662" t="str">
            <v>AH0529</v>
          </cell>
        </row>
        <row r="663">
          <cell r="B663" t="str">
            <v>AH0560</v>
          </cell>
        </row>
        <row r="664">
          <cell r="B664" t="str">
            <v>AJ0001</v>
          </cell>
        </row>
        <row r="665">
          <cell r="B665" t="str">
            <v>AJ0001-1</v>
          </cell>
        </row>
        <row r="666">
          <cell r="B666" t="str">
            <v>AJ0001-2</v>
          </cell>
        </row>
        <row r="667">
          <cell r="B667" t="str">
            <v>AJ0001-3</v>
          </cell>
        </row>
        <row r="668">
          <cell r="B668" t="str">
            <v>AJ0002</v>
          </cell>
        </row>
        <row r="669">
          <cell r="B669" t="str">
            <v>AJ0002-1</v>
          </cell>
        </row>
        <row r="670">
          <cell r="B670" t="str">
            <v>AJ0003</v>
          </cell>
        </row>
        <row r="671">
          <cell r="B671" t="str">
            <v>AJ0003-1</v>
          </cell>
        </row>
        <row r="672">
          <cell r="B672" t="str">
            <v>AJ0004</v>
          </cell>
        </row>
        <row r="673">
          <cell r="B673" t="str">
            <v>AJ0005</v>
          </cell>
        </row>
        <row r="674">
          <cell r="B674" t="str">
            <v>AJ0005-1</v>
          </cell>
        </row>
        <row r="675">
          <cell r="B675" t="str">
            <v>AJ0005-2</v>
          </cell>
        </row>
        <row r="676">
          <cell r="B676" t="str">
            <v>AJ0005-3</v>
          </cell>
        </row>
        <row r="677">
          <cell r="B677" t="str">
            <v>AJ0005-4</v>
          </cell>
        </row>
        <row r="678">
          <cell r="B678" t="str">
            <v>AJ0006</v>
          </cell>
        </row>
        <row r="679">
          <cell r="B679" t="str">
            <v>AJ0006-1</v>
          </cell>
        </row>
        <row r="680">
          <cell r="B680" t="str">
            <v>AJ0006-2</v>
          </cell>
        </row>
        <row r="681">
          <cell r="B681" t="str">
            <v>AJ0006-3</v>
          </cell>
        </row>
        <row r="682">
          <cell r="B682" t="str">
            <v>AJ0007</v>
          </cell>
        </row>
        <row r="683">
          <cell r="B683" t="str">
            <v>AJ0007-1</v>
          </cell>
        </row>
        <row r="684">
          <cell r="B684" t="str">
            <v>AJ0007-2</v>
          </cell>
        </row>
        <row r="685">
          <cell r="B685" t="str">
            <v>AJ0007-3</v>
          </cell>
        </row>
        <row r="686">
          <cell r="B686" t="str">
            <v>AJ0007-4</v>
          </cell>
        </row>
        <row r="687">
          <cell r="B687" t="str">
            <v>AJ0008</v>
          </cell>
        </row>
        <row r="688">
          <cell r="B688" t="str">
            <v>AJ0008-1</v>
          </cell>
        </row>
        <row r="689">
          <cell r="B689" t="str">
            <v>AJ0008-3</v>
          </cell>
        </row>
        <row r="690">
          <cell r="B690" t="str">
            <v>AJ0009</v>
          </cell>
        </row>
        <row r="691">
          <cell r="B691" t="str">
            <v>AJ0009-1</v>
          </cell>
        </row>
        <row r="692">
          <cell r="B692" t="str">
            <v>AJ0009-2</v>
          </cell>
        </row>
        <row r="693">
          <cell r="B693" t="str">
            <v>AJ0009-3</v>
          </cell>
        </row>
        <row r="694">
          <cell r="B694" t="str">
            <v>AJ0010</v>
          </cell>
        </row>
        <row r="695">
          <cell r="B695" t="str">
            <v>AJ0010-1</v>
          </cell>
        </row>
        <row r="696">
          <cell r="B696" t="str">
            <v>AJ0010-2</v>
          </cell>
        </row>
        <row r="697">
          <cell r="B697" t="str">
            <v>AJ0011</v>
          </cell>
        </row>
        <row r="698">
          <cell r="B698" t="str">
            <v>AJ0011-1</v>
          </cell>
        </row>
        <row r="699">
          <cell r="B699" t="str">
            <v>AJ0012</v>
          </cell>
        </row>
        <row r="700">
          <cell r="B700" t="str">
            <v>AJ0012-1</v>
          </cell>
        </row>
        <row r="701">
          <cell r="B701" t="str">
            <v>AJ0013</v>
          </cell>
        </row>
        <row r="702">
          <cell r="B702" t="str">
            <v>AJ0013-1</v>
          </cell>
        </row>
        <row r="703">
          <cell r="B703" t="str">
            <v>AJ0013-2</v>
          </cell>
        </row>
        <row r="704">
          <cell r="B704" t="str">
            <v>AJ0014</v>
          </cell>
        </row>
        <row r="705">
          <cell r="B705" t="str">
            <v>AJ0014-2</v>
          </cell>
        </row>
        <row r="706">
          <cell r="B706" t="str">
            <v>AJ0015</v>
          </cell>
        </row>
        <row r="707">
          <cell r="B707" t="str">
            <v>AJ0015-1</v>
          </cell>
        </row>
        <row r="708">
          <cell r="B708" t="str">
            <v>AJ0016</v>
          </cell>
        </row>
        <row r="709">
          <cell r="B709" t="str">
            <v>AJ0016-1</v>
          </cell>
        </row>
        <row r="710">
          <cell r="B710" t="str">
            <v>AJ0017</v>
          </cell>
        </row>
        <row r="711">
          <cell r="B711" t="str">
            <v>AJ0017-1</v>
          </cell>
        </row>
        <row r="712">
          <cell r="B712" t="str">
            <v>AJ0018</v>
          </cell>
        </row>
        <row r="713">
          <cell r="B713" t="str">
            <v>AJ0018-1</v>
          </cell>
        </row>
        <row r="714">
          <cell r="B714" t="str">
            <v>AJ0019</v>
          </cell>
        </row>
        <row r="715">
          <cell r="B715" t="str">
            <v>AJ0020</v>
          </cell>
        </row>
        <row r="716">
          <cell r="B716" t="str">
            <v>AJ0021</v>
          </cell>
        </row>
        <row r="717">
          <cell r="B717" t="str">
            <v>AJ0022</v>
          </cell>
        </row>
        <row r="718">
          <cell r="B718" t="str">
            <v>AJ0023</v>
          </cell>
        </row>
        <row r="719">
          <cell r="B719" t="str">
            <v>AJ0023-1</v>
          </cell>
        </row>
        <row r="720">
          <cell r="B720" t="str">
            <v>AJ0024</v>
          </cell>
        </row>
        <row r="721">
          <cell r="B721" t="str">
            <v>AJ0024-1</v>
          </cell>
        </row>
        <row r="722">
          <cell r="B722" t="str">
            <v>AJ0025</v>
          </cell>
        </row>
        <row r="723">
          <cell r="B723" t="str">
            <v>AJ0025-1</v>
          </cell>
        </row>
        <row r="724">
          <cell r="B724" t="str">
            <v>AJ0025-2</v>
          </cell>
        </row>
        <row r="725">
          <cell r="B725" t="str">
            <v>AJ0026</v>
          </cell>
        </row>
        <row r="726">
          <cell r="B726" t="str">
            <v>AJ0026-1</v>
          </cell>
        </row>
        <row r="727">
          <cell r="B727" t="str">
            <v>AJ0027</v>
          </cell>
        </row>
        <row r="728">
          <cell r="B728" t="str">
            <v>AJ0028</v>
          </cell>
        </row>
        <row r="729">
          <cell r="B729" t="str">
            <v>AJ0028-1</v>
          </cell>
        </row>
        <row r="730">
          <cell r="B730" t="str">
            <v>AJ0028-2</v>
          </cell>
        </row>
        <row r="731">
          <cell r="B731" t="str">
            <v>AJ0029</v>
          </cell>
        </row>
        <row r="732">
          <cell r="B732" t="str">
            <v>AJ0029-1</v>
          </cell>
        </row>
        <row r="733">
          <cell r="B733" t="str">
            <v>AJ0029-2</v>
          </cell>
        </row>
        <row r="734">
          <cell r="B734" t="str">
            <v>AJ0030</v>
          </cell>
        </row>
        <row r="735">
          <cell r="B735" t="str">
            <v>AJ0031</v>
          </cell>
        </row>
        <row r="736">
          <cell r="B736" t="str">
            <v>AJ0032</v>
          </cell>
        </row>
        <row r="737">
          <cell r="B737" t="str">
            <v>AJ0033</v>
          </cell>
        </row>
        <row r="738">
          <cell r="B738" t="str">
            <v>AJ0033-1</v>
          </cell>
        </row>
        <row r="739">
          <cell r="B739" t="str">
            <v>AJ0033-2</v>
          </cell>
        </row>
        <row r="740">
          <cell r="B740" t="str">
            <v>AJ0033-3</v>
          </cell>
        </row>
        <row r="741">
          <cell r="B741" t="str">
            <v>AJ0034</v>
          </cell>
        </row>
        <row r="742">
          <cell r="B742" t="str">
            <v>AJ0034-1</v>
          </cell>
        </row>
        <row r="743">
          <cell r="B743" t="str">
            <v>AJ0035</v>
          </cell>
        </row>
        <row r="744">
          <cell r="B744" t="str">
            <v>AJ0035-1</v>
          </cell>
        </row>
        <row r="745">
          <cell r="B745" t="str">
            <v>AJ0036</v>
          </cell>
        </row>
        <row r="746">
          <cell r="B746" t="str">
            <v>AJ0036-1</v>
          </cell>
        </row>
        <row r="747">
          <cell r="B747" t="str">
            <v>AJ0036-2</v>
          </cell>
        </row>
        <row r="748">
          <cell r="B748" t="str">
            <v>AJ0036-3</v>
          </cell>
        </row>
        <row r="749">
          <cell r="B749" t="str">
            <v>AJ0037</v>
          </cell>
        </row>
        <row r="750">
          <cell r="B750" t="str">
            <v>AJ0037-1</v>
          </cell>
        </row>
        <row r="751">
          <cell r="B751" t="str">
            <v>AJ0038</v>
          </cell>
        </row>
        <row r="752">
          <cell r="B752" t="str">
            <v>AJ0038-1</v>
          </cell>
        </row>
        <row r="753">
          <cell r="B753" t="str">
            <v>AJ0039</v>
          </cell>
        </row>
        <row r="754">
          <cell r="B754" t="str">
            <v>AJ0040</v>
          </cell>
        </row>
        <row r="755">
          <cell r="B755" t="str">
            <v>AJ0041</v>
          </cell>
        </row>
        <row r="756">
          <cell r="B756" t="str">
            <v>AJ0041-1</v>
          </cell>
        </row>
        <row r="757">
          <cell r="B757" t="str">
            <v>AJ0041-2</v>
          </cell>
        </row>
        <row r="758">
          <cell r="B758" t="str">
            <v>AJ0042</v>
          </cell>
        </row>
        <row r="759">
          <cell r="B759" t="str">
            <v>AJ0042-1</v>
          </cell>
        </row>
        <row r="760">
          <cell r="B760" t="str">
            <v>AJ0043</v>
          </cell>
        </row>
        <row r="761">
          <cell r="B761" t="str">
            <v>AJ0043-1</v>
          </cell>
        </row>
        <row r="762">
          <cell r="B762" t="str">
            <v>AJ0044</v>
          </cell>
        </row>
        <row r="763">
          <cell r="B763" t="str">
            <v>AJ0044-1</v>
          </cell>
        </row>
        <row r="764">
          <cell r="B764" t="str">
            <v>AJ0045</v>
          </cell>
        </row>
        <row r="765">
          <cell r="B765" t="str">
            <v>AJ0045-1</v>
          </cell>
        </row>
        <row r="766">
          <cell r="B766" t="str">
            <v>AJ0046</v>
          </cell>
        </row>
        <row r="767">
          <cell r="B767" t="str">
            <v>AJ0046-1</v>
          </cell>
        </row>
        <row r="768">
          <cell r="B768" t="str">
            <v>AJ0047</v>
          </cell>
        </row>
        <row r="769">
          <cell r="B769" t="str">
            <v>AJ0047-1</v>
          </cell>
        </row>
        <row r="770">
          <cell r="B770" t="str">
            <v>AJ0048</v>
          </cell>
        </row>
        <row r="771">
          <cell r="B771" t="str">
            <v>AJ0048-1</v>
          </cell>
        </row>
        <row r="772">
          <cell r="B772" t="str">
            <v>AJ0048-2</v>
          </cell>
        </row>
        <row r="773">
          <cell r="B773" t="str">
            <v>AJ0049</v>
          </cell>
        </row>
        <row r="774">
          <cell r="B774" t="str">
            <v>AJ0049-1</v>
          </cell>
        </row>
        <row r="775">
          <cell r="B775" t="str">
            <v>AJ0050</v>
          </cell>
        </row>
        <row r="776">
          <cell r="B776" t="str">
            <v>AJ0050-1</v>
          </cell>
        </row>
        <row r="777">
          <cell r="B777" t="str">
            <v>AJ0050-2</v>
          </cell>
        </row>
        <row r="778">
          <cell r="B778" t="str">
            <v>AJ0051</v>
          </cell>
        </row>
        <row r="779">
          <cell r="B779" t="str">
            <v>AJ0052</v>
          </cell>
        </row>
        <row r="780">
          <cell r="B780" t="str">
            <v>AJ0052-1</v>
          </cell>
        </row>
        <row r="781">
          <cell r="B781" t="str">
            <v>AJ0052-2</v>
          </cell>
        </row>
        <row r="782">
          <cell r="B782" t="str">
            <v>AJ0053</v>
          </cell>
        </row>
        <row r="783">
          <cell r="B783" t="str">
            <v>AJ0054</v>
          </cell>
        </row>
        <row r="784">
          <cell r="B784" t="str">
            <v>AJ0054-2</v>
          </cell>
        </row>
        <row r="785">
          <cell r="B785" t="str">
            <v>AJ0055</v>
          </cell>
        </row>
        <row r="786">
          <cell r="B786" t="str">
            <v>AJ0055-1</v>
          </cell>
        </row>
        <row r="787">
          <cell r="B787" t="str">
            <v>AJ0056</v>
          </cell>
        </row>
        <row r="788">
          <cell r="B788" t="str">
            <v>AJ0056-1</v>
          </cell>
        </row>
        <row r="789">
          <cell r="B789" t="str">
            <v>AJ0056-2</v>
          </cell>
        </row>
        <row r="790">
          <cell r="B790" t="str">
            <v>AJ0057</v>
          </cell>
        </row>
        <row r="791">
          <cell r="B791" t="str">
            <v>AJ0057-1</v>
          </cell>
        </row>
        <row r="792">
          <cell r="B792" t="str">
            <v>AJ0058</v>
          </cell>
        </row>
        <row r="793">
          <cell r="B793" t="str">
            <v>AJ0058-1</v>
          </cell>
        </row>
        <row r="794">
          <cell r="B794" t="str">
            <v>AJ0058-2</v>
          </cell>
        </row>
        <row r="795">
          <cell r="B795" t="str">
            <v>AJ0059</v>
          </cell>
        </row>
        <row r="796">
          <cell r="B796" t="str">
            <v>AJ0059-1</v>
          </cell>
        </row>
        <row r="797">
          <cell r="B797" t="str">
            <v>AJ0060</v>
          </cell>
        </row>
        <row r="798">
          <cell r="B798" t="str">
            <v>AJ0061</v>
          </cell>
        </row>
        <row r="799">
          <cell r="B799" t="str">
            <v>AJ0061-1</v>
          </cell>
        </row>
        <row r="800">
          <cell r="B800" t="str">
            <v>AJ0062</v>
          </cell>
        </row>
        <row r="801">
          <cell r="B801" t="str">
            <v>AJ0063</v>
          </cell>
        </row>
        <row r="802">
          <cell r="B802" t="str">
            <v>AJ0063-1</v>
          </cell>
        </row>
        <row r="803">
          <cell r="B803" t="str">
            <v>AJ0064</v>
          </cell>
        </row>
        <row r="804">
          <cell r="B804" t="str">
            <v>AJ0065</v>
          </cell>
        </row>
        <row r="805">
          <cell r="B805" t="str">
            <v>AJ0066</v>
          </cell>
        </row>
        <row r="806">
          <cell r="B806" t="str">
            <v>AJ0066-1</v>
          </cell>
        </row>
        <row r="807">
          <cell r="B807" t="str">
            <v>AJ0067</v>
          </cell>
        </row>
        <row r="808">
          <cell r="B808" t="str">
            <v>AJ0069</v>
          </cell>
        </row>
        <row r="809">
          <cell r="B809" t="str">
            <v>AJ0069-1</v>
          </cell>
        </row>
        <row r="810">
          <cell r="B810" t="str">
            <v>AJ0070</v>
          </cell>
        </row>
        <row r="811">
          <cell r="B811" t="str">
            <v>AJ0071</v>
          </cell>
        </row>
        <row r="812">
          <cell r="B812" t="str">
            <v>AJ0072</v>
          </cell>
        </row>
        <row r="813">
          <cell r="B813" t="str">
            <v>AJ0073</v>
          </cell>
        </row>
        <row r="814">
          <cell r="B814" t="str">
            <v>AJ0074</v>
          </cell>
        </row>
        <row r="815">
          <cell r="B815" t="str">
            <v>AJ0075-1</v>
          </cell>
        </row>
        <row r="816">
          <cell r="B816" t="str">
            <v>AJ0076</v>
          </cell>
        </row>
        <row r="817">
          <cell r="B817" t="str">
            <v>AJ0076-1</v>
          </cell>
        </row>
        <row r="818">
          <cell r="B818" t="str">
            <v>AJ0077</v>
          </cell>
        </row>
        <row r="819">
          <cell r="B819" t="str">
            <v>AJ0078</v>
          </cell>
        </row>
        <row r="820">
          <cell r="B820" t="str">
            <v>AJ0078-1</v>
          </cell>
        </row>
        <row r="821">
          <cell r="B821" t="str">
            <v>AJ0079</v>
          </cell>
        </row>
        <row r="822">
          <cell r="B822" t="str">
            <v>AJ0079-1</v>
          </cell>
        </row>
        <row r="823">
          <cell r="B823" t="str">
            <v>AJ0080</v>
          </cell>
        </row>
        <row r="824">
          <cell r="B824" t="str">
            <v>AJ0080-1</v>
          </cell>
        </row>
        <row r="825">
          <cell r="B825" t="str">
            <v>AJ0080-3</v>
          </cell>
        </row>
        <row r="826">
          <cell r="B826" t="str">
            <v>AJ0081</v>
          </cell>
        </row>
        <row r="827">
          <cell r="B827" t="str">
            <v>AJ0081-1</v>
          </cell>
        </row>
        <row r="828">
          <cell r="B828" t="str">
            <v>AJ0081-3</v>
          </cell>
        </row>
        <row r="829">
          <cell r="B829" t="str">
            <v>AJ0082</v>
          </cell>
        </row>
        <row r="830">
          <cell r="B830" t="str">
            <v>AJ0083</v>
          </cell>
        </row>
        <row r="831">
          <cell r="B831" t="str">
            <v>AJ0084</v>
          </cell>
        </row>
        <row r="832">
          <cell r="B832" t="str">
            <v>AJ0085</v>
          </cell>
        </row>
        <row r="833">
          <cell r="B833" t="str">
            <v>AJ0086</v>
          </cell>
        </row>
        <row r="834">
          <cell r="B834" t="str">
            <v>AJ0086-1</v>
          </cell>
        </row>
        <row r="835">
          <cell r="B835" t="str">
            <v>AJ0087</v>
          </cell>
        </row>
        <row r="836">
          <cell r="B836" t="str">
            <v>AJ0087-1</v>
          </cell>
        </row>
        <row r="837">
          <cell r="B837" t="str">
            <v>AJ0088</v>
          </cell>
        </row>
        <row r="838">
          <cell r="B838" t="str">
            <v>AJ0089</v>
          </cell>
        </row>
        <row r="839">
          <cell r="B839" t="str">
            <v>AJ0089-1</v>
          </cell>
        </row>
        <row r="840">
          <cell r="B840" t="str">
            <v>AJ0090</v>
          </cell>
        </row>
        <row r="841">
          <cell r="B841" t="str">
            <v>AJ0091</v>
          </cell>
        </row>
        <row r="842">
          <cell r="B842" t="str">
            <v>AJ0091-1</v>
          </cell>
        </row>
        <row r="843">
          <cell r="B843" t="str">
            <v>AJ0092</v>
          </cell>
        </row>
        <row r="844">
          <cell r="B844" t="str">
            <v>AJ0092-1</v>
          </cell>
        </row>
        <row r="845">
          <cell r="B845" t="str">
            <v>AJ0092-2</v>
          </cell>
        </row>
        <row r="846">
          <cell r="B846" t="str">
            <v>AJ0093</v>
          </cell>
        </row>
        <row r="847">
          <cell r="B847" t="str">
            <v>AJ0093-1</v>
          </cell>
        </row>
        <row r="848">
          <cell r="B848" t="str">
            <v>AJ0094</v>
          </cell>
        </row>
        <row r="849">
          <cell r="B849" t="str">
            <v>AJ0095</v>
          </cell>
        </row>
        <row r="850">
          <cell r="B850" t="str">
            <v>AJ0096</v>
          </cell>
        </row>
        <row r="851">
          <cell r="B851" t="str">
            <v>AJ0096-1</v>
          </cell>
        </row>
        <row r="852">
          <cell r="B852" t="str">
            <v>AJ0097</v>
          </cell>
        </row>
        <row r="853">
          <cell r="B853" t="str">
            <v>AJ0098</v>
          </cell>
        </row>
        <row r="854">
          <cell r="B854" t="str">
            <v>AJ0099</v>
          </cell>
        </row>
        <row r="855">
          <cell r="B855" t="str">
            <v>AJ0100</v>
          </cell>
        </row>
        <row r="856">
          <cell r="B856" t="str">
            <v>AJ0100-1</v>
          </cell>
        </row>
        <row r="857">
          <cell r="B857" t="str">
            <v>AJ0101</v>
          </cell>
        </row>
        <row r="858">
          <cell r="B858" t="str">
            <v>AJ0101-1</v>
          </cell>
        </row>
        <row r="859">
          <cell r="B859" t="str">
            <v>AJ0102</v>
          </cell>
        </row>
        <row r="860">
          <cell r="B860" t="str">
            <v>AJ0102-1</v>
          </cell>
        </row>
        <row r="861">
          <cell r="B861" t="str">
            <v>AJ0103</v>
          </cell>
        </row>
        <row r="862">
          <cell r="B862" t="str">
            <v>AJ0103-1</v>
          </cell>
        </row>
        <row r="863">
          <cell r="B863" t="str">
            <v>AJ0104</v>
          </cell>
        </row>
        <row r="864">
          <cell r="B864" t="str">
            <v>AJ0105</v>
          </cell>
        </row>
        <row r="865">
          <cell r="B865" t="str">
            <v>AJ0107</v>
          </cell>
        </row>
        <row r="866">
          <cell r="B866" t="str">
            <v>AJ0108</v>
          </cell>
        </row>
        <row r="867">
          <cell r="B867" t="str">
            <v>AJ0109</v>
          </cell>
        </row>
        <row r="868">
          <cell r="B868" t="str">
            <v>AJ0110</v>
          </cell>
        </row>
        <row r="869">
          <cell r="B869" t="str">
            <v>AJ0111</v>
          </cell>
        </row>
        <row r="870">
          <cell r="B870" t="str">
            <v>AJ0112</v>
          </cell>
        </row>
        <row r="871">
          <cell r="B871" t="str">
            <v>AJ0113</v>
          </cell>
        </row>
        <row r="872">
          <cell r="B872" t="str">
            <v>AJ0114</v>
          </cell>
        </row>
        <row r="873">
          <cell r="B873" t="str">
            <v>AJ0115</v>
          </cell>
        </row>
        <row r="874">
          <cell r="B874" t="str">
            <v>AJ0116</v>
          </cell>
        </row>
        <row r="875">
          <cell r="B875" t="str">
            <v>AJ0116-1</v>
          </cell>
        </row>
        <row r="876">
          <cell r="B876" t="str">
            <v>AJ0117</v>
          </cell>
        </row>
        <row r="877">
          <cell r="B877" t="str">
            <v>AJ0118</v>
          </cell>
        </row>
        <row r="878">
          <cell r="B878" t="str">
            <v>AJ0119</v>
          </cell>
        </row>
        <row r="879">
          <cell r="B879" t="str">
            <v>AJ0120</v>
          </cell>
        </row>
        <row r="880">
          <cell r="B880" t="str">
            <v>AJ0121</v>
          </cell>
        </row>
        <row r="881">
          <cell r="B881" t="str">
            <v>AJ0122</v>
          </cell>
        </row>
        <row r="882">
          <cell r="B882" t="str">
            <v>AJ0123</v>
          </cell>
        </row>
        <row r="883">
          <cell r="B883" t="str">
            <v>AJ0124</v>
          </cell>
        </row>
        <row r="884">
          <cell r="B884" t="str">
            <v>AJ0125</v>
          </cell>
        </row>
        <row r="885">
          <cell r="B885" t="str">
            <v>AJ0126</v>
          </cell>
        </row>
        <row r="886">
          <cell r="B886" t="str">
            <v>AJ0127</v>
          </cell>
        </row>
        <row r="887">
          <cell r="B887" t="str">
            <v>AJ0128</v>
          </cell>
        </row>
        <row r="888">
          <cell r="B888" t="str">
            <v>AJ0129</v>
          </cell>
        </row>
        <row r="889">
          <cell r="B889" t="str">
            <v>AJ0130</v>
          </cell>
        </row>
        <row r="890">
          <cell r="B890" t="str">
            <v>AJ0131</v>
          </cell>
        </row>
        <row r="891">
          <cell r="B891" t="str">
            <v>AJ0132</v>
          </cell>
        </row>
        <row r="892">
          <cell r="B892" t="str">
            <v>AJ0133</v>
          </cell>
        </row>
        <row r="893">
          <cell r="B893" t="str">
            <v>AJ0134</v>
          </cell>
        </row>
        <row r="894">
          <cell r="B894" t="str">
            <v>AJ0135</v>
          </cell>
        </row>
        <row r="895">
          <cell r="B895" t="str">
            <v>AJ0135-1</v>
          </cell>
        </row>
        <row r="896">
          <cell r="B896" t="str">
            <v>AJ0136</v>
          </cell>
        </row>
        <row r="897">
          <cell r="B897" t="str">
            <v>AJ0136-1</v>
          </cell>
        </row>
        <row r="898">
          <cell r="B898" t="str">
            <v>AJ0137</v>
          </cell>
        </row>
        <row r="899">
          <cell r="B899" t="str">
            <v>AJ0138</v>
          </cell>
        </row>
        <row r="900">
          <cell r="B900" t="str">
            <v>AJ0139</v>
          </cell>
        </row>
        <row r="901">
          <cell r="B901" t="str">
            <v>AJ0140</v>
          </cell>
        </row>
        <row r="902">
          <cell r="B902" t="str">
            <v>AJ0141</v>
          </cell>
        </row>
        <row r="903">
          <cell r="B903" t="str">
            <v>AJ0142</v>
          </cell>
        </row>
        <row r="904">
          <cell r="B904" t="str">
            <v>AJ1001</v>
          </cell>
        </row>
        <row r="905">
          <cell r="B905" t="str">
            <v>AJ1002</v>
          </cell>
        </row>
        <row r="906">
          <cell r="B906" t="str">
            <v>AJ1003</v>
          </cell>
        </row>
        <row r="907">
          <cell r="B907" t="str">
            <v>AJ1004</v>
          </cell>
        </row>
        <row r="908">
          <cell r="B908" t="str">
            <v>AJ1005</v>
          </cell>
        </row>
        <row r="909">
          <cell r="B909" t="str">
            <v>AJ1006</v>
          </cell>
        </row>
        <row r="910">
          <cell r="B910" t="str">
            <v>AJ1007</v>
          </cell>
        </row>
        <row r="911">
          <cell r="B911" t="str">
            <v>AJ1008</v>
          </cell>
        </row>
        <row r="912">
          <cell r="B912" t="str">
            <v>AJ1009</v>
          </cell>
        </row>
        <row r="913">
          <cell r="B913" t="str">
            <v>AJ1009-1</v>
          </cell>
        </row>
        <row r="914">
          <cell r="B914" t="str">
            <v>AJ1010</v>
          </cell>
        </row>
        <row r="915">
          <cell r="B915" t="str">
            <v>AJ1011</v>
          </cell>
        </row>
        <row r="916">
          <cell r="B916" t="str">
            <v>AJ1012</v>
          </cell>
        </row>
        <row r="917">
          <cell r="B917" t="str">
            <v>AJ1013</v>
          </cell>
        </row>
        <row r="918">
          <cell r="B918" t="str">
            <v>AJ1014</v>
          </cell>
        </row>
        <row r="919">
          <cell r="B919" t="str">
            <v>AJ1015</v>
          </cell>
        </row>
        <row r="920">
          <cell r="B920" t="str">
            <v>AJ1016</v>
          </cell>
        </row>
        <row r="921">
          <cell r="B921" t="str">
            <v>AJ1017</v>
          </cell>
        </row>
        <row r="922">
          <cell r="B922" t="str">
            <v>AJ1018</v>
          </cell>
        </row>
        <row r="923">
          <cell r="B923" t="str">
            <v>AJ1019</v>
          </cell>
        </row>
        <row r="924">
          <cell r="B924" t="str">
            <v>AJ1020</v>
          </cell>
        </row>
        <row r="925">
          <cell r="B925" t="str">
            <v>AJ1021</v>
          </cell>
        </row>
        <row r="926">
          <cell r="B926" t="str">
            <v>AJ1022</v>
          </cell>
        </row>
        <row r="927">
          <cell r="B927" t="str">
            <v>AJ1023</v>
          </cell>
        </row>
        <row r="928">
          <cell r="B928" t="str">
            <v>AJ1024</v>
          </cell>
        </row>
        <row r="929">
          <cell r="B929" t="str">
            <v>AJ1025</v>
          </cell>
        </row>
        <row r="930">
          <cell r="B930" t="str">
            <v>AJ1026</v>
          </cell>
        </row>
        <row r="931">
          <cell r="B931" t="str">
            <v>AJ1027</v>
          </cell>
        </row>
        <row r="932">
          <cell r="B932" t="str">
            <v>AJ1028</v>
          </cell>
        </row>
        <row r="933">
          <cell r="B933" t="str">
            <v>AJ1029</v>
          </cell>
        </row>
        <row r="934">
          <cell r="B934" t="str">
            <v>AJ1030</v>
          </cell>
        </row>
        <row r="935">
          <cell r="B935" t="str">
            <v>AJ1031</v>
          </cell>
        </row>
        <row r="936">
          <cell r="B936" t="str">
            <v>AJ1032</v>
          </cell>
        </row>
        <row r="937">
          <cell r="B937" t="str">
            <v>AJ1033</v>
          </cell>
        </row>
        <row r="938">
          <cell r="B938" t="str">
            <v>AJ1034</v>
          </cell>
        </row>
        <row r="939">
          <cell r="B939" t="str">
            <v>AJ1034-1</v>
          </cell>
        </row>
        <row r="940">
          <cell r="B940" t="str">
            <v>AJ1035</v>
          </cell>
        </row>
        <row r="941">
          <cell r="B941" t="str">
            <v>AJ1036</v>
          </cell>
        </row>
        <row r="942">
          <cell r="B942" t="str">
            <v>AJ1037</v>
          </cell>
        </row>
        <row r="943">
          <cell r="B943" t="str">
            <v>AJ1038</v>
          </cell>
        </row>
        <row r="944">
          <cell r="B944" t="str">
            <v>AJ1039</v>
          </cell>
        </row>
        <row r="945">
          <cell r="B945" t="str">
            <v>AJ1040</v>
          </cell>
        </row>
        <row r="946">
          <cell r="B946" t="str">
            <v>AJ1041</v>
          </cell>
        </row>
        <row r="947">
          <cell r="B947" t="str">
            <v>AJ1042</v>
          </cell>
        </row>
        <row r="948">
          <cell r="B948" t="str">
            <v>AJ1043</v>
          </cell>
        </row>
        <row r="949">
          <cell r="B949" t="str">
            <v>AJ1044</v>
          </cell>
        </row>
        <row r="950">
          <cell r="B950" t="str">
            <v>AJ1045</v>
          </cell>
        </row>
        <row r="951">
          <cell r="B951" t="str">
            <v>AJ1046</v>
          </cell>
        </row>
        <row r="952">
          <cell r="B952" t="str">
            <v>AJ1047</v>
          </cell>
        </row>
        <row r="953">
          <cell r="B953" t="str">
            <v>AJ1048</v>
          </cell>
        </row>
        <row r="954">
          <cell r="B954" t="str">
            <v>AJ1049</v>
          </cell>
        </row>
        <row r="955">
          <cell r="B955" t="str">
            <v>AJ1050</v>
          </cell>
        </row>
        <row r="956">
          <cell r="B956" t="str">
            <v>AJ1051</v>
          </cell>
        </row>
        <row r="957">
          <cell r="B957" t="str">
            <v>AJ1052</v>
          </cell>
        </row>
        <row r="958">
          <cell r="B958" t="str">
            <v>AJ1053</v>
          </cell>
        </row>
        <row r="959">
          <cell r="B959" t="str">
            <v>AJ1054</v>
          </cell>
        </row>
        <row r="960">
          <cell r="B960" t="str">
            <v>AJ1055</v>
          </cell>
        </row>
        <row r="961">
          <cell r="B961" t="str">
            <v>AJ1056</v>
          </cell>
        </row>
        <row r="962">
          <cell r="B962" t="str">
            <v>AJ1057</v>
          </cell>
        </row>
        <row r="963">
          <cell r="B963" t="str">
            <v>AJ1058</v>
          </cell>
        </row>
        <row r="964">
          <cell r="B964" t="str">
            <v>AJ1059</v>
          </cell>
        </row>
        <row r="965">
          <cell r="B965" t="str">
            <v>AJ1060</v>
          </cell>
        </row>
        <row r="966">
          <cell r="B966" t="str">
            <v>AJ1061</v>
          </cell>
        </row>
        <row r="967">
          <cell r="B967" t="str">
            <v>AJ2001</v>
          </cell>
        </row>
        <row r="968">
          <cell r="B968" t="str">
            <v>AJ2002</v>
          </cell>
        </row>
        <row r="969">
          <cell r="B969" t="str">
            <v>AJ2003</v>
          </cell>
        </row>
        <row r="970">
          <cell r="B970" t="str">
            <v>AJ2004</v>
          </cell>
        </row>
        <row r="971">
          <cell r="B971" t="str">
            <v>AJ2005</v>
          </cell>
        </row>
        <row r="972">
          <cell r="B972" t="str">
            <v>AJ2006</v>
          </cell>
        </row>
        <row r="973">
          <cell r="B973" t="str">
            <v>AJ2007</v>
          </cell>
        </row>
        <row r="974">
          <cell r="B974" t="str">
            <v>AJ2007-1</v>
          </cell>
        </row>
        <row r="975">
          <cell r="B975" t="str">
            <v>AJ2008</v>
          </cell>
        </row>
        <row r="976">
          <cell r="B976" t="str">
            <v>AJ2008-1</v>
          </cell>
        </row>
        <row r="977">
          <cell r="B977" t="str">
            <v>AJ2009</v>
          </cell>
        </row>
        <row r="978">
          <cell r="B978" t="str">
            <v>AJ2010</v>
          </cell>
        </row>
        <row r="979">
          <cell r="B979" t="str">
            <v>AJ2011</v>
          </cell>
        </row>
        <row r="980">
          <cell r="B980" t="str">
            <v>AJ2012</v>
          </cell>
        </row>
        <row r="981">
          <cell r="B981" t="str">
            <v>AJ2013</v>
          </cell>
        </row>
        <row r="982">
          <cell r="B982" t="str">
            <v>AJ2014</v>
          </cell>
        </row>
        <row r="983">
          <cell r="B983" t="str">
            <v>AJ2015</v>
          </cell>
        </row>
        <row r="984">
          <cell r="B984" t="str">
            <v>AJ2016</v>
          </cell>
        </row>
        <row r="985">
          <cell r="B985" t="str">
            <v>AJ2017</v>
          </cell>
        </row>
        <row r="986">
          <cell r="B986" t="str">
            <v>AJ2018</v>
          </cell>
        </row>
        <row r="987">
          <cell r="B987" t="str">
            <v>AJ2019</v>
          </cell>
        </row>
        <row r="988">
          <cell r="B988" t="str">
            <v>AJ2020</v>
          </cell>
        </row>
        <row r="989">
          <cell r="B989" t="str">
            <v>AJ2021</v>
          </cell>
        </row>
        <row r="990">
          <cell r="B990" t="str">
            <v>AJ2023</v>
          </cell>
        </row>
        <row r="991">
          <cell r="B991" t="str">
            <v>AJ2024</v>
          </cell>
        </row>
        <row r="992">
          <cell r="B992" t="str">
            <v>AJ2025</v>
          </cell>
        </row>
        <row r="993">
          <cell r="B993" t="str">
            <v>AJ2026</v>
          </cell>
        </row>
        <row r="994">
          <cell r="B994" t="str">
            <v>AJ2027</v>
          </cell>
        </row>
        <row r="995">
          <cell r="B995" t="str">
            <v>AJ2028</v>
          </cell>
        </row>
        <row r="996">
          <cell r="B996" t="str">
            <v>AJ2029</v>
          </cell>
        </row>
        <row r="997">
          <cell r="B997" t="str">
            <v>AJ2029-1</v>
          </cell>
        </row>
        <row r="998">
          <cell r="B998" t="str">
            <v>AJ2030</v>
          </cell>
        </row>
        <row r="999">
          <cell r="B999" t="str">
            <v>AJ2031</v>
          </cell>
        </row>
        <row r="1000">
          <cell r="B1000" t="str">
            <v>AJ2032</v>
          </cell>
        </row>
        <row r="1001">
          <cell r="B1001" t="str">
            <v>AJ2033</v>
          </cell>
        </row>
        <row r="1002">
          <cell r="B1002" t="str">
            <v>AJ2034</v>
          </cell>
        </row>
        <row r="1003">
          <cell r="B1003" t="str">
            <v>AJ2035</v>
          </cell>
        </row>
        <row r="1004">
          <cell r="B1004" t="str">
            <v>AJ2036</v>
          </cell>
        </row>
        <row r="1005">
          <cell r="B1005" t="str">
            <v>AJ2037</v>
          </cell>
        </row>
        <row r="1006">
          <cell r="B1006" t="str">
            <v>AJ2038</v>
          </cell>
        </row>
        <row r="1007">
          <cell r="B1007" t="str">
            <v>AJ2039</v>
          </cell>
        </row>
        <row r="1008">
          <cell r="B1008" t="str">
            <v>AJ2042</v>
          </cell>
        </row>
        <row r="1009">
          <cell r="B1009" t="str">
            <v>AJ2043</v>
          </cell>
        </row>
        <row r="1010">
          <cell r="B1010" t="str">
            <v>AJ2044</v>
          </cell>
        </row>
        <row r="1011">
          <cell r="B1011" t="str">
            <v>AJ2045</v>
          </cell>
        </row>
        <row r="1012">
          <cell r="B1012" t="str">
            <v>AJ2046</v>
          </cell>
        </row>
        <row r="1013">
          <cell r="B1013" t="str">
            <v>AJ2047</v>
          </cell>
        </row>
        <row r="1014">
          <cell r="B1014" t="str">
            <v>AJ2048</v>
          </cell>
        </row>
        <row r="1015">
          <cell r="B1015" t="str">
            <v>AJ2049</v>
          </cell>
        </row>
        <row r="1016">
          <cell r="B1016" t="str">
            <v>AJ2050</v>
          </cell>
        </row>
        <row r="1017">
          <cell r="B1017" t="str">
            <v>AJ2051</v>
          </cell>
        </row>
        <row r="1018">
          <cell r="B1018" t="str">
            <v>AJ2052</v>
          </cell>
        </row>
        <row r="1019">
          <cell r="B1019" t="str">
            <v>AJ2053</v>
          </cell>
        </row>
        <row r="1020">
          <cell r="B1020" t="str">
            <v>AJ2054</v>
          </cell>
        </row>
        <row r="1021">
          <cell r="B1021" t="str">
            <v>AJ2055</v>
          </cell>
        </row>
        <row r="1022">
          <cell r="B1022" t="str">
            <v>AJ2056</v>
          </cell>
        </row>
        <row r="1023">
          <cell r="B1023" t="str">
            <v>AJ2057</v>
          </cell>
        </row>
        <row r="1024">
          <cell r="B1024" t="str">
            <v>AJ2058</v>
          </cell>
        </row>
        <row r="1025">
          <cell r="B1025" t="str">
            <v>AJ2059</v>
          </cell>
        </row>
        <row r="1026">
          <cell r="B1026" t="str">
            <v>AJ2060</v>
          </cell>
        </row>
        <row r="1027">
          <cell r="B1027" t="str">
            <v>AJ2061</v>
          </cell>
        </row>
        <row r="1028">
          <cell r="B1028" t="str">
            <v>AJ2063</v>
          </cell>
        </row>
        <row r="1029">
          <cell r="B1029" t="str">
            <v>AJ2064</v>
          </cell>
        </row>
        <row r="1030">
          <cell r="B1030" t="str">
            <v>AJ2065</v>
          </cell>
        </row>
        <row r="1031">
          <cell r="B1031" t="str">
            <v>AJ2066</v>
          </cell>
        </row>
        <row r="1032">
          <cell r="B1032" t="str">
            <v>AJ2067</v>
          </cell>
        </row>
        <row r="1033">
          <cell r="B1033" t="str">
            <v>AJ2068</v>
          </cell>
        </row>
        <row r="1034">
          <cell r="B1034" t="str">
            <v>AJ9001</v>
          </cell>
        </row>
        <row r="1035">
          <cell r="B1035" t="str">
            <v>AJ9002</v>
          </cell>
        </row>
        <row r="1036">
          <cell r="B1036" t="str">
            <v>AJ9003</v>
          </cell>
        </row>
        <row r="1037">
          <cell r="B1037" t="str">
            <v>AJ9004</v>
          </cell>
        </row>
        <row r="1038">
          <cell r="B1038" t="str">
            <v>AJ9005</v>
          </cell>
        </row>
        <row r="1039">
          <cell r="B1039" t="str">
            <v>AJ9006</v>
          </cell>
        </row>
        <row r="1040">
          <cell r="B1040" t="str">
            <v>AJ9007</v>
          </cell>
        </row>
        <row r="1041">
          <cell r="B1041" t="str">
            <v>AJ9008</v>
          </cell>
        </row>
        <row r="1042">
          <cell r="B1042" t="str">
            <v>AJ9009</v>
          </cell>
        </row>
        <row r="1043">
          <cell r="B1043" t="str">
            <v>AJ9010</v>
          </cell>
        </row>
        <row r="1044">
          <cell r="B1044" t="str">
            <v>AJ9011</v>
          </cell>
        </row>
        <row r="1045">
          <cell r="B1045" t="str">
            <v>AJ9012</v>
          </cell>
        </row>
        <row r="1046">
          <cell r="B1046" t="str">
            <v>AJI0001</v>
          </cell>
        </row>
        <row r="1047">
          <cell r="B1047" t="str">
            <v>AJI0005</v>
          </cell>
        </row>
        <row r="1048">
          <cell r="B1048" t="str">
            <v>AJI0006</v>
          </cell>
        </row>
        <row r="1049">
          <cell r="B1049" t="str">
            <v>AJI0007</v>
          </cell>
        </row>
        <row r="1050">
          <cell r="B1050" t="str">
            <v>AJI0008</v>
          </cell>
        </row>
        <row r="1051">
          <cell r="B1051" t="str">
            <v>AJT0013</v>
          </cell>
        </row>
        <row r="1052">
          <cell r="B1052" t="str">
            <v>AJT0014</v>
          </cell>
        </row>
        <row r="1053">
          <cell r="B1053" t="str">
            <v>AJT0015</v>
          </cell>
        </row>
        <row r="1054">
          <cell r="B1054" t="str">
            <v>AJT0021</v>
          </cell>
        </row>
        <row r="1055">
          <cell r="B1055" t="str">
            <v>BA0002</v>
          </cell>
        </row>
        <row r="1056">
          <cell r="B1056" t="str">
            <v>BA0007</v>
          </cell>
        </row>
        <row r="1057">
          <cell r="B1057" t="str">
            <v>BA0008</v>
          </cell>
        </row>
        <row r="1058">
          <cell r="B1058" t="str">
            <v>BA0008-1</v>
          </cell>
        </row>
        <row r="1059">
          <cell r="B1059" t="str">
            <v>BA0009</v>
          </cell>
        </row>
        <row r="1060">
          <cell r="B1060" t="str">
            <v>BA0010</v>
          </cell>
        </row>
        <row r="1061">
          <cell r="B1061" t="str">
            <v>BA0011</v>
          </cell>
        </row>
        <row r="1062">
          <cell r="B1062" t="str">
            <v>BA0011-1</v>
          </cell>
        </row>
        <row r="1063">
          <cell r="B1063" t="str">
            <v>BA0012</v>
          </cell>
        </row>
        <row r="1064">
          <cell r="B1064" t="str">
            <v>BA0013</v>
          </cell>
        </row>
        <row r="1065">
          <cell r="B1065" t="str">
            <v>BA0014</v>
          </cell>
        </row>
        <row r="1066">
          <cell r="B1066" t="str">
            <v>BA0015</v>
          </cell>
        </row>
        <row r="1067">
          <cell r="B1067" t="str">
            <v>BA0016</v>
          </cell>
        </row>
        <row r="1068">
          <cell r="B1068" t="str">
            <v>BA0017</v>
          </cell>
        </row>
        <row r="1069">
          <cell r="B1069" t="str">
            <v>BA0018</v>
          </cell>
        </row>
        <row r="1070">
          <cell r="B1070" t="str">
            <v>BA0019</v>
          </cell>
        </row>
        <row r="1071">
          <cell r="B1071" t="str">
            <v>BA0180</v>
          </cell>
        </row>
        <row r="1072">
          <cell r="B1072" t="str">
            <v>BA0181</v>
          </cell>
        </row>
        <row r="1073">
          <cell r="B1073" t="str">
            <v>BA0182</v>
          </cell>
        </row>
        <row r="1074">
          <cell r="B1074" t="str">
            <v>BA0183</v>
          </cell>
        </row>
        <row r="1075">
          <cell r="B1075" t="str">
            <v>BA0184</v>
          </cell>
        </row>
        <row r="1076">
          <cell r="B1076" t="str">
            <v>BA0185</v>
          </cell>
        </row>
        <row r="1077">
          <cell r="B1077" t="str">
            <v>BA0186</v>
          </cell>
        </row>
        <row r="1078">
          <cell r="B1078" t="str">
            <v>BA0187</v>
          </cell>
        </row>
        <row r="1079">
          <cell r="B1079" t="str">
            <v>BA0340</v>
          </cell>
        </row>
        <row r="1080">
          <cell r="B1080" t="str">
            <v>BA0342</v>
          </cell>
        </row>
        <row r="1081">
          <cell r="B1081" t="str">
            <v>BA0347</v>
          </cell>
        </row>
        <row r="1082">
          <cell r="B1082" t="str">
            <v>BA0361</v>
          </cell>
        </row>
        <row r="1083">
          <cell r="B1083" t="str">
            <v>BA0362</v>
          </cell>
        </row>
      </sheetData>
      <sheetData sheetId="3">
        <row r="1">
          <cell r="C1">
            <v>0</v>
          </cell>
        </row>
        <row r="2">
          <cell r="C2" t="str">
            <v>Model Code</v>
          </cell>
        </row>
        <row r="3">
          <cell r="C3">
            <v>0</v>
          </cell>
        </row>
        <row r="4">
          <cell r="C4" t="str">
            <v>AA2001</v>
          </cell>
        </row>
        <row r="5">
          <cell r="C5" t="str">
            <v>AA80084</v>
          </cell>
        </row>
        <row r="6">
          <cell r="C6" t="str">
            <v>AA2002</v>
          </cell>
        </row>
        <row r="7">
          <cell r="C7" t="str">
            <v>AA80083</v>
          </cell>
        </row>
        <row r="8">
          <cell r="C8" t="str">
            <v>AA2003</v>
          </cell>
        </row>
        <row r="9">
          <cell r="C9" t="str">
            <v>AA80066</v>
          </cell>
        </row>
        <row r="10">
          <cell r="C10" t="str">
            <v>AA2148</v>
          </cell>
        </row>
        <row r="11">
          <cell r="C11" t="str">
            <v>AA2146</v>
          </cell>
        </row>
        <row r="12">
          <cell r="C12" t="str">
            <v>AA2206</v>
          </cell>
        </row>
        <row r="13">
          <cell r="C13" t="str">
            <v>AA80075</v>
          </cell>
        </row>
        <row r="14">
          <cell r="C14" t="str">
            <v>AA2004</v>
          </cell>
        </row>
        <row r="15">
          <cell r="C15" t="str">
            <v>AA80057</v>
          </cell>
        </row>
        <row r="16">
          <cell r="C16" t="str">
            <v>AA9201</v>
          </cell>
        </row>
        <row r="17">
          <cell r="C17" t="str">
            <v>AA3050</v>
          </cell>
        </row>
        <row r="18">
          <cell r="C18" t="str">
            <v>AA2005</v>
          </cell>
        </row>
        <row r="19">
          <cell r="C19" t="str">
            <v>AA2005-1</v>
          </cell>
        </row>
        <row r="20">
          <cell r="C20" t="str">
            <v>AA3083</v>
          </cell>
        </row>
        <row r="21">
          <cell r="C21" t="str">
            <v>AA9202</v>
          </cell>
        </row>
        <row r="22">
          <cell r="C22" t="str">
            <v>AA1001</v>
          </cell>
        </row>
        <row r="23">
          <cell r="C23" t="str">
            <v>AA1001-2</v>
          </cell>
        </row>
        <row r="24">
          <cell r="C24" t="str">
            <v>AA1001-3</v>
          </cell>
        </row>
        <row r="25">
          <cell r="C25" t="str">
            <v>AA1001-1</v>
          </cell>
        </row>
        <row r="26">
          <cell r="C26" t="str">
            <v>AA80093</v>
          </cell>
        </row>
        <row r="27">
          <cell r="C27" t="str">
            <v>AA1002</v>
          </cell>
        </row>
        <row r="28">
          <cell r="C28" t="str">
            <v>AA80022</v>
          </cell>
        </row>
        <row r="29">
          <cell r="C29" t="str">
            <v>AA80025</v>
          </cell>
        </row>
        <row r="30">
          <cell r="C30" t="str">
            <v>AA80029</v>
          </cell>
        </row>
        <row r="31">
          <cell r="C31" t="str">
            <v>AA9220</v>
          </cell>
        </row>
        <row r="32">
          <cell r="C32" t="str">
            <v>AA80087</v>
          </cell>
        </row>
        <row r="33">
          <cell r="C33" t="str">
            <v>AA80088</v>
          </cell>
        </row>
        <row r="34">
          <cell r="C34" t="str">
            <v>AA1009</v>
          </cell>
        </row>
        <row r="35">
          <cell r="C35" t="str">
            <v>AA9224</v>
          </cell>
        </row>
        <row r="36">
          <cell r="C36" t="str">
            <v>AA1003</v>
          </cell>
        </row>
        <row r="37">
          <cell r="C37" t="str">
            <v>AA80003</v>
          </cell>
        </row>
        <row r="38">
          <cell r="C38" t="str">
            <v>AA80031</v>
          </cell>
        </row>
        <row r="39">
          <cell r="C39" t="str">
            <v>AA9221</v>
          </cell>
        </row>
        <row r="40">
          <cell r="C40" t="str">
            <v>AA1021</v>
          </cell>
        </row>
        <row r="41">
          <cell r="C41" t="str">
            <v>AA80071</v>
          </cell>
        </row>
        <row r="42">
          <cell r="C42" t="str">
            <v>AA80074</v>
          </cell>
        </row>
        <row r="43">
          <cell r="C43" t="str">
            <v>AA9225</v>
          </cell>
        </row>
        <row r="44">
          <cell r="C44" t="str">
            <v>AA80091</v>
          </cell>
        </row>
        <row r="45">
          <cell r="C45" t="str">
            <v>AA1004</v>
          </cell>
        </row>
        <row r="46">
          <cell r="C46" t="str">
            <v>AA80063</v>
          </cell>
        </row>
        <row r="47">
          <cell r="C47" t="str">
            <v>AA9222</v>
          </cell>
        </row>
        <row r="48">
          <cell r="C48" t="str">
            <v>AA9226</v>
          </cell>
        </row>
        <row r="49">
          <cell r="C49" t="str">
            <v>AA80097</v>
          </cell>
        </row>
        <row r="50">
          <cell r="C50" t="str">
            <v>AA2134</v>
          </cell>
        </row>
        <row r="51">
          <cell r="C51" t="str">
            <v>AA2010</v>
          </cell>
        </row>
        <row r="52">
          <cell r="C52" t="str">
            <v>AA80006</v>
          </cell>
        </row>
        <row r="53">
          <cell r="C53" t="str">
            <v>AA2006</v>
          </cell>
        </row>
        <row r="54">
          <cell r="C54" t="str">
            <v>AA2129</v>
          </cell>
        </row>
        <row r="55">
          <cell r="C55" t="str">
            <v>AA80005</v>
          </cell>
        </row>
        <row r="56">
          <cell r="C56" t="str">
            <v>AA2303</v>
          </cell>
        </row>
        <row r="57">
          <cell r="C57" t="str">
            <v>AA80054</v>
          </cell>
        </row>
        <row r="58">
          <cell r="C58" t="str">
            <v>AA2007</v>
          </cell>
        </row>
        <row r="59">
          <cell r="C59" t="str">
            <v>AA80055</v>
          </cell>
        </row>
        <row r="60">
          <cell r="C60" t="str">
            <v>AA2017</v>
          </cell>
        </row>
        <row r="61">
          <cell r="C61" t="str">
            <v>AA80061</v>
          </cell>
        </row>
        <row r="62">
          <cell r="C62" t="str">
            <v>AA9401</v>
          </cell>
        </row>
        <row r="63">
          <cell r="C63" t="str">
            <v>AA2008</v>
          </cell>
        </row>
        <row r="64">
          <cell r="C64" t="str">
            <v>AA2008-3</v>
          </cell>
        </row>
        <row r="65">
          <cell r="C65" t="str">
            <v>AA2013</v>
          </cell>
        </row>
        <row r="66">
          <cell r="C66" t="str">
            <v>AA80082</v>
          </cell>
        </row>
        <row r="67">
          <cell r="C67" t="str">
            <v>AA2305</v>
          </cell>
        </row>
        <row r="68">
          <cell r="C68" t="str">
            <v>AA80056</v>
          </cell>
        </row>
        <row r="69">
          <cell r="C69" t="str">
            <v>AA2009</v>
          </cell>
        </row>
        <row r="70">
          <cell r="C70" t="str">
            <v>AA2009-2</v>
          </cell>
        </row>
        <row r="71">
          <cell r="C71" t="str">
            <v>AA80081</v>
          </cell>
        </row>
        <row r="72">
          <cell r="C72" t="str">
            <v>AA2014</v>
          </cell>
        </row>
        <row r="73">
          <cell r="C73" t="str">
            <v>AA2015</v>
          </cell>
        </row>
        <row r="74">
          <cell r="C74" t="str">
            <v>AA2016</v>
          </cell>
        </row>
        <row r="75">
          <cell r="C75" t="str">
            <v>AA9214</v>
          </cell>
        </row>
        <row r="76">
          <cell r="C76" t="str">
            <v>AA9312</v>
          </cell>
        </row>
        <row r="77">
          <cell r="C77" t="str">
            <v>AA2101</v>
          </cell>
        </row>
        <row r="78">
          <cell r="C78" t="str">
            <v>AA3002</v>
          </cell>
        </row>
        <row r="79">
          <cell r="C79" t="str">
            <v>AA3003</v>
          </cell>
        </row>
        <row r="80">
          <cell r="C80" t="str">
            <v>AA9216</v>
          </cell>
        </row>
        <row r="81">
          <cell r="C81" t="str">
            <v>AA9338</v>
          </cell>
        </row>
        <row r="82">
          <cell r="C82" t="str">
            <v>AA2105</v>
          </cell>
        </row>
        <row r="83">
          <cell r="C83" t="str">
            <v>AA9203</v>
          </cell>
        </row>
        <row r="84">
          <cell r="C84" t="str">
            <v>AA9204</v>
          </cell>
        </row>
        <row r="85">
          <cell r="C85" t="str">
            <v>AA9218</v>
          </cell>
        </row>
        <row r="86">
          <cell r="C86" t="str">
            <v>AA3012</v>
          </cell>
        </row>
        <row r="87">
          <cell r="C87" t="str">
            <v>AA3013</v>
          </cell>
        </row>
        <row r="88">
          <cell r="C88" t="str">
            <v>AA6022</v>
          </cell>
        </row>
        <row r="89">
          <cell r="C89" t="str">
            <v>AA9301</v>
          </cell>
        </row>
        <row r="90">
          <cell r="C90" t="str">
            <v>AA9302</v>
          </cell>
        </row>
        <row r="91">
          <cell r="C91" t="str">
            <v>AA80092</v>
          </cell>
        </row>
        <row r="92">
          <cell r="C92" t="str">
            <v>AA9603</v>
          </cell>
        </row>
        <row r="93">
          <cell r="C93" t="str">
            <v>AA9217</v>
          </cell>
        </row>
        <row r="94">
          <cell r="C94" t="str">
            <v>AA9313</v>
          </cell>
        </row>
        <row r="95">
          <cell r="C95" t="str">
            <v>AA9314</v>
          </cell>
        </row>
        <row r="96">
          <cell r="C96" t="str">
            <v>AA9314-1</v>
          </cell>
        </row>
        <row r="97">
          <cell r="C97" t="str">
            <v>AA9339</v>
          </cell>
        </row>
        <row r="98">
          <cell r="C98" t="str">
            <v>AA9205</v>
          </cell>
        </row>
        <row r="99">
          <cell r="C99" t="str">
            <v>AA9206</v>
          </cell>
        </row>
        <row r="100">
          <cell r="C100" t="str">
            <v>AA9206-1</v>
          </cell>
        </row>
        <row r="101">
          <cell r="C101" t="str">
            <v>AA9223</v>
          </cell>
        </row>
        <row r="102">
          <cell r="C102" t="str">
            <v>AA9219</v>
          </cell>
        </row>
        <row r="103">
          <cell r="C103" t="str">
            <v>AA3018</v>
          </cell>
        </row>
        <row r="104">
          <cell r="C104" t="str">
            <v>AA3019</v>
          </cell>
        </row>
        <row r="105">
          <cell r="C105" t="str">
            <v>AA3103</v>
          </cell>
        </row>
        <row r="106">
          <cell r="C106" t="str">
            <v>AA9303</v>
          </cell>
        </row>
        <row r="107">
          <cell r="C107" t="str">
            <v>AA9304</v>
          </cell>
        </row>
        <row r="108">
          <cell r="C108" t="str">
            <v>AA9304-1</v>
          </cell>
        </row>
        <row r="109">
          <cell r="C109" t="str">
            <v>AA9315</v>
          </cell>
        </row>
        <row r="110">
          <cell r="C110" t="str">
            <v>AA9316</v>
          </cell>
        </row>
        <row r="111">
          <cell r="C111" t="str">
            <v>AA9330</v>
          </cell>
        </row>
        <row r="112">
          <cell r="C112" t="str">
            <v>AA9332</v>
          </cell>
        </row>
        <row r="113">
          <cell r="C113" t="str">
            <v>AA2109</v>
          </cell>
        </row>
        <row r="114">
          <cell r="C114" t="str">
            <v>AA6002</v>
          </cell>
        </row>
        <row r="115">
          <cell r="C115" t="str">
            <v>AA6014</v>
          </cell>
        </row>
        <row r="116">
          <cell r="C116" t="str">
            <v>AA9311</v>
          </cell>
        </row>
        <row r="117">
          <cell r="C117" t="str">
            <v>AA9331</v>
          </cell>
        </row>
        <row r="118">
          <cell r="C118" t="str">
            <v>AA9331-1</v>
          </cell>
        </row>
        <row r="119">
          <cell r="C119" t="str">
            <v>AA3043</v>
          </cell>
        </row>
        <row r="120">
          <cell r="C120" t="str">
            <v>AA9207</v>
          </cell>
        </row>
        <row r="121">
          <cell r="C121" t="str">
            <v>AA9208</v>
          </cell>
        </row>
        <row r="122">
          <cell r="C122" t="str">
            <v>AA3025</v>
          </cell>
        </row>
        <row r="123">
          <cell r="C123" t="str">
            <v>AA3026</v>
          </cell>
        </row>
        <row r="124">
          <cell r="C124" t="str">
            <v>AA3105</v>
          </cell>
        </row>
        <row r="125">
          <cell r="C125" t="str">
            <v>AA9305</v>
          </cell>
        </row>
        <row r="126">
          <cell r="C126" t="str">
            <v>AA9306</v>
          </cell>
        </row>
        <row r="127">
          <cell r="C127" t="str">
            <v>AA9320</v>
          </cell>
        </row>
        <row r="128">
          <cell r="C128" t="str">
            <v>AA9322</v>
          </cell>
        </row>
        <row r="129">
          <cell r="C129" t="str">
            <v>AA3091</v>
          </cell>
        </row>
        <row r="130">
          <cell r="C130" t="str">
            <v>AA9209</v>
          </cell>
        </row>
        <row r="131">
          <cell r="C131" t="str">
            <v>AA3032</v>
          </cell>
        </row>
        <row r="132">
          <cell r="C132" t="str">
            <v>AA3033</v>
          </cell>
        </row>
        <row r="133">
          <cell r="C133" t="str">
            <v>AA3107</v>
          </cell>
        </row>
        <row r="134">
          <cell r="C134" t="str">
            <v>AA80024</v>
          </cell>
        </row>
        <row r="135">
          <cell r="C135" t="str">
            <v>AA9307</v>
          </cell>
        </row>
        <row r="136">
          <cell r="C136" t="str">
            <v>AA9323</v>
          </cell>
        </row>
        <row r="137">
          <cell r="C137" t="str">
            <v>AA9333</v>
          </cell>
        </row>
        <row r="138">
          <cell r="C138" t="str">
            <v>AA9325</v>
          </cell>
        </row>
        <row r="139">
          <cell r="C139" t="str">
            <v>AA9336</v>
          </cell>
        </row>
        <row r="140">
          <cell r="C140" t="str">
            <v>AA3071</v>
          </cell>
        </row>
        <row r="141">
          <cell r="C141" t="str">
            <v>AA9327</v>
          </cell>
        </row>
        <row r="142">
          <cell r="C142" t="str">
            <v>AA80098</v>
          </cell>
        </row>
        <row r="143">
          <cell r="C143" t="str">
            <v>AA80099</v>
          </cell>
        </row>
        <row r="144">
          <cell r="C144" t="str">
            <v>AA80094</v>
          </cell>
        </row>
        <row r="145">
          <cell r="C145" t="str">
            <v>AA9328</v>
          </cell>
        </row>
        <row r="146">
          <cell r="C146" t="str">
            <v>AA9337</v>
          </cell>
        </row>
        <row r="147">
          <cell r="C147" t="str">
            <v>AA9329</v>
          </cell>
        </row>
        <row r="148">
          <cell r="C148" t="str">
            <v>AA9334</v>
          </cell>
        </row>
        <row r="149">
          <cell r="C149" t="str">
            <v>AA2122</v>
          </cell>
        </row>
        <row r="150">
          <cell r="C150" t="str">
            <v>AA3006</v>
          </cell>
        </row>
        <row r="151">
          <cell r="C151" t="str">
            <v>AA3007</v>
          </cell>
        </row>
        <row r="152">
          <cell r="C152" t="str">
            <v>AA3008</v>
          </cell>
        </row>
        <row r="153">
          <cell r="C153" t="str">
            <v>AA2124</v>
          </cell>
        </row>
        <row r="154">
          <cell r="C154" t="str">
            <v>AA2125</v>
          </cell>
        </row>
        <row r="155">
          <cell r="C155" t="str">
            <v>AA3092</v>
          </cell>
        </row>
        <row r="156">
          <cell r="C156" t="str">
            <v>AA3015</v>
          </cell>
        </row>
        <row r="157">
          <cell r="C157" t="str">
            <v>AA3016</v>
          </cell>
        </row>
        <row r="158">
          <cell r="C158" t="str">
            <v>AA9607</v>
          </cell>
        </row>
        <row r="159">
          <cell r="C159" t="str">
            <v>AA9608</v>
          </cell>
        </row>
        <row r="160">
          <cell r="C160" t="str">
            <v>AA3090</v>
          </cell>
        </row>
        <row r="161">
          <cell r="C161" t="str">
            <v>AA2153</v>
          </cell>
        </row>
        <row r="162">
          <cell r="C162" t="str">
            <v>AA2152</v>
          </cell>
        </row>
        <row r="163">
          <cell r="C163" t="str">
            <v>AA2151</v>
          </cell>
        </row>
        <row r="164">
          <cell r="C164" t="str">
            <v>AA2112</v>
          </cell>
        </row>
        <row r="165">
          <cell r="C165" t="str">
            <v>AA2113</v>
          </cell>
        </row>
        <row r="166">
          <cell r="C166" t="str">
            <v>AA2144</v>
          </cell>
        </row>
        <row r="167">
          <cell r="C167" t="str">
            <v>AA3021</v>
          </cell>
        </row>
        <row r="168">
          <cell r="C168" t="str">
            <v>AA3022</v>
          </cell>
        </row>
        <row r="169">
          <cell r="C169" t="str">
            <v>AA3023</v>
          </cell>
        </row>
        <row r="170">
          <cell r="C170" t="str">
            <v>AA3102</v>
          </cell>
        </row>
        <row r="171">
          <cell r="C171" t="str">
            <v>AA3058</v>
          </cell>
        </row>
        <row r="172">
          <cell r="C172" t="str">
            <v>AA3041</v>
          </cell>
        </row>
        <row r="173">
          <cell r="C173" t="str">
            <v>AA3094</v>
          </cell>
        </row>
        <row r="174">
          <cell r="C174" t="str">
            <v>AA3079</v>
          </cell>
        </row>
        <row r="175">
          <cell r="C175" t="str">
            <v>AA2116</v>
          </cell>
        </row>
        <row r="176">
          <cell r="C176" t="str">
            <v>AA2117</v>
          </cell>
        </row>
        <row r="177">
          <cell r="C177" t="str">
            <v>AA3029</v>
          </cell>
        </row>
        <row r="178">
          <cell r="C178" t="str">
            <v>AA3030</v>
          </cell>
        </row>
        <row r="179">
          <cell r="C179" t="str">
            <v>AA3104</v>
          </cell>
        </row>
        <row r="180">
          <cell r="C180" t="str">
            <v>AA3031</v>
          </cell>
        </row>
        <row r="181">
          <cell r="C181" t="str">
            <v>AA2126</v>
          </cell>
        </row>
        <row r="182">
          <cell r="C182" t="str">
            <v>AA3034</v>
          </cell>
        </row>
        <row r="183">
          <cell r="C183" t="str">
            <v>AA3034-1</v>
          </cell>
        </row>
        <row r="184">
          <cell r="C184" t="str">
            <v>AA3035</v>
          </cell>
        </row>
        <row r="185">
          <cell r="C185" t="str">
            <v>AA3106</v>
          </cell>
        </row>
        <row r="186">
          <cell r="C186" t="str">
            <v>AA3040</v>
          </cell>
        </row>
        <row r="187">
          <cell r="C187" t="str">
            <v>AA3073</v>
          </cell>
        </row>
        <row r="188">
          <cell r="C188" t="str">
            <v>AA3074</v>
          </cell>
        </row>
        <row r="189">
          <cell r="C189" t="str">
            <v>AA80089</v>
          </cell>
        </row>
        <row r="190">
          <cell r="C190" t="str">
            <v>AA4042</v>
          </cell>
        </row>
        <row r="191">
          <cell r="C191" t="str">
            <v>AA4043</v>
          </cell>
        </row>
        <row r="192">
          <cell r="C192" t="str">
            <v>AA4002</v>
          </cell>
        </row>
        <row r="193">
          <cell r="C193" t="str">
            <v>AA4020</v>
          </cell>
        </row>
        <row r="194">
          <cell r="C194" t="str">
            <v>AA4004</v>
          </cell>
        </row>
        <row r="195">
          <cell r="C195" t="str">
            <v>AA4021</v>
          </cell>
        </row>
        <row r="196">
          <cell r="C196" t="str">
            <v>AA4006</v>
          </cell>
        </row>
        <row r="197">
          <cell r="C197" t="str">
            <v>AA4029</v>
          </cell>
        </row>
        <row r="198">
          <cell r="C198" t="str">
            <v>AA4045</v>
          </cell>
        </row>
        <row r="199">
          <cell r="C199" t="str">
            <v>AA80011</v>
          </cell>
        </row>
        <row r="200">
          <cell r="C200" t="str">
            <v>AA80100</v>
          </cell>
        </row>
        <row r="201">
          <cell r="C201" t="str">
            <v>AA4007</v>
          </cell>
        </row>
        <row r="202">
          <cell r="C202" t="str">
            <v>AA4022</v>
          </cell>
        </row>
        <row r="203">
          <cell r="C203" t="str">
            <v>AA4030</v>
          </cell>
        </row>
        <row r="204">
          <cell r="C204" t="str">
            <v>AA4033</v>
          </cell>
        </row>
        <row r="205">
          <cell r="C205" t="str">
            <v>AA4025</v>
          </cell>
        </row>
        <row r="206">
          <cell r="C206" t="str">
            <v>AA4023</v>
          </cell>
        </row>
        <row r="207">
          <cell r="C207" t="str">
            <v>AA4031</v>
          </cell>
        </row>
        <row r="208">
          <cell r="C208" t="str">
            <v>AA4026</v>
          </cell>
        </row>
        <row r="209">
          <cell r="C209" t="str">
            <v>AA4034</v>
          </cell>
        </row>
        <row r="210">
          <cell r="C210" t="str">
            <v>AA4032</v>
          </cell>
        </row>
        <row r="211">
          <cell r="C211" t="str">
            <v>AA4027</v>
          </cell>
        </row>
        <row r="212">
          <cell r="C212" t="str">
            <v>AA4039</v>
          </cell>
        </row>
        <row r="213">
          <cell r="C213" t="str">
            <v>AA4028</v>
          </cell>
        </row>
        <row r="214">
          <cell r="C214" t="str">
            <v>AA4010</v>
          </cell>
        </row>
        <row r="215">
          <cell r="C215" t="str">
            <v>AA4011</v>
          </cell>
        </row>
        <row r="216">
          <cell r="C216" t="str">
            <v>AA4015</v>
          </cell>
        </row>
        <row r="217">
          <cell r="C217" t="str">
            <v>AA4016</v>
          </cell>
        </row>
        <row r="218">
          <cell r="C218" t="str">
            <v>AA4013</v>
          </cell>
        </row>
        <row r="219">
          <cell r="C219" t="str">
            <v>AA80001</v>
          </cell>
        </row>
        <row r="220">
          <cell r="C220" t="str">
            <v>AA80026</v>
          </cell>
        </row>
        <row r="221">
          <cell r="C221" t="str">
            <v>AA80012</v>
          </cell>
        </row>
        <row r="222">
          <cell r="C222" t="str">
            <v>AA80017</v>
          </cell>
        </row>
        <row r="223">
          <cell r="C223" t="str">
            <v>AA80036</v>
          </cell>
        </row>
        <row r="224">
          <cell r="C224" t="str">
            <v>AA80009</v>
          </cell>
        </row>
        <row r="225">
          <cell r="C225" t="str">
            <v>AA80016</v>
          </cell>
        </row>
        <row r="226">
          <cell r="C226" t="str">
            <v>AA80018</v>
          </cell>
        </row>
        <row r="227">
          <cell r="C227" t="str">
            <v>AA80043</v>
          </cell>
        </row>
        <row r="228">
          <cell r="C228" t="str">
            <v>AA80044</v>
          </cell>
        </row>
        <row r="229">
          <cell r="C229" t="str">
            <v>AA80065</v>
          </cell>
        </row>
        <row r="230">
          <cell r="C230" t="str">
            <v>AA5012</v>
          </cell>
        </row>
        <row r="231">
          <cell r="C231" t="str">
            <v>AA3051</v>
          </cell>
        </row>
        <row r="232">
          <cell r="C232" t="str">
            <v>AA3080</v>
          </cell>
        </row>
        <row r="233">
          <cell r="C233" t="str">
            <v>AA3049</v>
          </cell>
        </row>
        <row r="234">
          <cell r="C234" t="str">
            <v>AA3047</v>
          </cell>
        </row>
        <row r="235">
          <cell r="C235" t="str">
            <v>AA3081</v>
          </cell>
        </row>
        <row r="236">
          <cell r="C236" t="str">
            <v>AA3045</v>
          </cell>
        </row>
        <row r="237">
          <cell r="C237" t="str">
            <v>AA3082</v>
          </cell>
        </row>
        <row r="238">
          <cell r="C238" t="str">
            <v>AA7001</v>
          </cell>
        </row>
        <row r="239">
          <cell r="C239" t="str">
            <v>AA7002</v>
          </cell>
        </row>
        <row r="240">
          <cell r="C240" t="str">
            <v>AA7008</v>
          </cell>
        </row>
        <row r="241">
          <cell r="C241" t="str">
            <v>AA7003</v>
          </cell>
        </row>
        <row r="242">
          <cell r="C242" t="str">
            <v>AA7004</v>
          </cell>
        </row>
        <row r="243">
          <cell r="C243" t="str">
            <v>AA7005</v>
          </cell>
        </row>
        <row r="244">
          <cell r="C244" t="str">
            <v>AA7007</v>
          </cell>
        </row>
        <row r="245">
          <cell r="C245" t="str">
            <v>AA7006</v>
          </cell>
        </row>
        <row r="246">
          <cell r="C246" t="str">
            <v>AA7010</v>
          </cell>
        </row>
        <row r="247">
          <cell r="C247" t="str">
            <v>AA7013</v>
          </cell>
        </row>
        <row r="248">
          <cell r="C248" t="str">
            <v>AA7015</v>
          </cell>
        </row>
        <row r="249">
          <cell r="C249" t="str">
            <v>AA7014</v>
          </cell>
        </row>
        <row r="250">
          <cell r="C250" t="str">
            <v>AA7017</v>
          </cell>
        </row>
        <row r="251">
          <cell r="C251" t="str">
            <v>AA7018</v>
          </cell>
        </row>
        <row r="252">
          <cell r="C252" t="str">
            <v>AA7019</v>
          </cell>
        </row>
        <row r="253">
          <cell r="C253" t="str">
            <v>AJ0001</v>
          </cell>
        </row>
        <row r="254">
          <cell r="C254" t="str">
            <v>AJ0001-1</v>
          </cell>
        </row>
        <row r="255">
          <cell r="C255" t="str">
            <v>AJ0001-2</v>
          </cell>
        </row>
        <row r="256">
          <cell r="C256" t="str">
            <v>AJ0002</v>
          </cell>
        </row>
        <row r="257">
          <cell r="C257" t="str">
            <v>AJ0002-1</v>
          </cell>
        </row>
        <row r="258">
          <cell r="C258" t="str">
            <v>AJ1036</v>
          </cell>
        </row>
        <row r="259">
          <cell r="C259" t="str">
            <v>AJ2010</v>
          </cell>
        </row>
        <row r="260">
          <cell r="C260" t="str">
            <v>AJ0003</v>
          </cell>
        </row>
        <row r="261">
          <cell r="C261" t="str">
            <v>AJ0003-1</v>
          </cell>
        </row>
        <row r="262">
          <cell r="C262" t="str">
            <v>AJ2011</v>
          </cell>
        </row>
        <row r="263">
          <cell r="C263" t="str">
            <v>AJ9011</v>
          </cell>
        </row>
        <row r="264">
          <cell r="C264" t="str">
            <v>AJ0005</v>
          </cell>
        </row>
        <row r="265">
          <cell r="C265" t="str">
            <v>AJ0005-1</v>
          </cell>
        </row>
        <row r="266">
          <cell r="C266" t="str">
            <v>AJ0076</v>
          </cell>
        </row>
        <row r="267">
          <cell r="C267" t="str">
            <v>AJ0076-1</v>
          </cell>
        </row>
        <row r="268">
          <cell r="C268" t="str">
            <v>AJ1040</v>
          </cell>
        </row>
        <row r="269">
          <cell r="C269" t="str">
            <v>AJ0005-2</v>
          </cell>
        </row>
        <row r="270">
          <cell r="C270" t="str">
            <v>AJ0005-3</v>
          </cell>
        </row>
        <row r="271">
          <cell r="C271" t="str">
            <v>AJ1037</v>
          </cell>
        </row>
        <row r="272">
          <cell r="C272" t="str">
            <v>AJ2043</v>
          </cell>
        </row>
        <row r="273">
          <cell r="C273" t="str">
            <v>AJ0006</v>
          </cell>
        </row>
        <row r="274">
          <cell r="C274" t="str">
            <v>AJ0006-1</v>
          </cell>
        </row>
        <row r="275">
          <cell r="C275" t="str">
            <v>AJ0006-2</v>
          </cell>
        </row>
        <row r="276">
          <cell r="C276" t="str">
            <v>AJ2008</v>
          </cell>
        </row>
        <row r="277">
          <cell r="C277" t="str">
            <v>AJ1007</v>
          </cell>
        </row>
        <row r="278">
          <cell r="C278" t="str">
            <v>AJ0001-3</v>
          </cell>
        </row>
        <row r="279">
          <cell r="C279" t="str">
            <v>AJ1033</v>
          </cell>
        </row>
        <row r="280">
          <cell r="C280" t="str">
            <v>AJ1031</v>
          </cell>
        </row>
        <row r="281">
          <cell r="C281" t="str">
            <v>AJ0033</v>
          </cell>
        </row>
        <row r="282">
          <cell r="C282" t="str">
            <v>AJ0033-1</v>
          </cell>
        </row>
        <row r="283">
          <cell r="C283" t="str">
            <v>AJ0033-2</v>
          </cell>
        </row>
        <row r="284">
          <cell r="C284" t="str">
            <v>AJ2044</v>
          </cell>
        </row>
        <row r="285">
          <cell r="C285" t="str">
            <v>AJ2034</v>
          </cell>
        </row>
        <row r="286">
          <cell r="C286" t="str">
            <v>AJ0052</v>
          </cell>
        </row>
        <row r="287">
          <cell r="C287" t="str">
            <v>AJ2032</v>
          </cell>
        </row>
        <row r="288">
          <cell r="C288" t="str">
            <v>AJ0041</v>
          </cell>
        </row>
        <row r="289">
          <cell r="C289" t="str">
            <v>AJ0041-1</v>
          </cell>
        </row>
        <row r="290">
          <cell r="C290" t="str">
            <v>AJ2045</v>
          </cell>
        </row>
        <row r="291">
          <cell r="C291" t="str">
            <v>AJ2033</v>
          </cell>
        </row>
        <row r="292">
          <cell r="C292" t="str">
            <v>AJ0040</v>
          </cell>
        </row>
        <row r="293">
          <cell r="C293" t="str">
            <v>AJ0048</v>
          </cell>
        </row>
        <row r="294">
          <cell r="C294" t="str">
            <v>AJ0034</v>
          </cell>
        </row>
        <row r="295">
          <cell r="C295" t="str">
            <v>AJ0034-1</v>
          </cell>
        </row>
        <row r="296">
          <cell r="C296" t="str">
            <v>AJ0038</v>
          </cell>
        </row>
        <row r="297">
          <cell r="C297" t="str">
            <v>AJ0038-1</v>
          </cell>
        </row>
        <row r="298">
          <cell r="C298" t="str">
            <v>AJ2030</v>
          </cell>
        </row>
        <row r="299">
          <cell r="C299" t="str">
            <v>AJ0007</v>
          </cell>
        </row>
        <row r="300">
          <cell r="C300" t="str">
            <v>AJ0007-1</v>
          </cell>
        </row>
        <row r="301">
          <cell r="C301" t="str">
            <v>AJ0007-2</v>
          </cell>
        </row>
        <row r="302">
          <cell r="C302" t="str">
            <v>AJ1027</v>
          </cell>
        </row>
        <row r="303">
          <cell r="C303" t="str">
            <v>AJ1042</v>
          </cell>
        </row>
        <row r="304">
          <cell r="C304" t="str">
            <v>AJ2046</v>
          </cell>
        </row>
        <row r="305">
          <cell r="C305" t="str">
            <v>AJ0008</v>
          </cell>
        </row>
        <row r="306">
          <cell r="C306" t="str">
            <v>AJ0008-1</v>
          </cell>
        </row>
        <row r="307">
          <cell r="C307" t="str">
            <v>AJ9009</v>
          </cell>
        </row>
        <row r="308">
          <cell r="C308" t="str">
            <v>AJ2006</v>
          </cell>
        </row>
        <row r="309">
          <cell r="C309" t="str">
            <v>AJ0007-4</v>
          </cell>
        </row>
        <row r="310">
          <cell r="C310" t="str">
            <v>AJ0008-3</v>
          </cell>
        </row>
        <row r="311">
          <cell r="C311" t="str">
            <v>AJ1034</v>
          </cell>
        </row>
        <row r="312">
          <cell r="C312" t="str">
            <v>AJ1009</v>
          </cell>
        </row>
        <row r="313">
          <cell r="C313" t="str">
            <v>AJ1009-1</v>
          </cell>
        </row>
        <row r="314">
          <cell r="C314" t="str">
            <v>AJ1045</v>
          </cell>
        </row>
        <row r="315">
          <cell r="C315" t="str">
            <v>AJ1046</v>
          </cell>
        </row>
        <row r="316">
          <cell r="C316" t="str">
            <v>AJ0116</v>
          </cell>
        </row>
        <row r="317">
          <cell r="C317" t="str">
            <v>AJ0116-1</v>
          </cell>
        </row>
        <row r="318">
          <cell r="C318" t="str">
            <v>AJ0135</v>
          </cell>
        </row>
        <row r="319">
          <cell r="C319" t="str">
            <v>AJ0135-1</v>
          </cell>
        </row>
        <row r="320">
          <cell r="C320" t="str">
            <v>AJ0136</v>
          </cell>
        </row>
        <row r="321">
          <cell r="C321" t="str">
            <v>AJ0136-1</v>
          </cell>
        </row>
        <row r="322">
          <cell r="C322" t="str">
            <v>AJ0054-2</v>
          </cell>
        </row>
        <row r="323">
          <cell r="C323" t="str">
            <v>AJ1049</v>
          </cell>
        </row>
        <row r="324">
          <cell r="C324" t="str">
            <v>AJ0117</v>
          </cell>
        </row>
        <row r="325">
          <cell r="C325" t="str">
            <v>AJ0035</v>
          </cell>
        </row>
        <row r="326">
          <cell r="C326" t="str">
            <v>AJ0035-1</v>
          </cell>
        </row>
        <row r="327">
          <cell r="C327" t="str">
            <v>AJ1047</v>
          </cell>
        </row>
        <row r="328">
          <cell r="C328" t="str">
            <v>AJ0036</v>
          </cell>
        </row>
        <row r="329">
          <cell r="C329" t="str">
            <v>AJ0036-1</v>
          </cell>
        </row>
        <row r="330">
          <cell r="C330" t="str">
            <v>AJ0036-2</v>
          </cell>
        </row>
        <row r="331">
          <cell r="C331" t="str">
            <v>AJ2037</v>
          </cell>
        </row>
        <row r="332">
          <cell r="C332" t="str">
            <v>AJ0009</v>
          </cell>
        </row>
        <row r="333">
          <cell r="C333" t="str">
            <v>AJ0009-1</v>
          </cell>
        </row>
        <row r="334">
          <cell r="C334" t="str">
            <v>AJ0009-3</v>
          </cell>
        </row>
        <row r="335">
          <cell r="C335" t="str">
            <v>AJ1041</v>
          </cell>
        </row>
        <row r="336">
          <cell r="C336" t="str">
            <v>AJ0010</v>
          </cell>
        </row>
        <row r="337">
          <cell r="C337" t="str">
            <v>AJ0010-1</v>
          </cell>
        </row>
        <row r="338">
          <cell r="C338" t="str">
            <v>AJ9007</v>
          </cell>
        </row>
        <row r="339">
          <cell r="C339" t="str">
            <v>AJ2013</v>
          </cell>
        </row>
        <row r="340">
          <cell r="C340" t="str">
            <v>AJ0011</v>
          </cell>
        </row>
        <row r="341">
          <cell r="C341" t="str">
            <v>AJ0011-1</v>
          </cell>
        </row>
        <row r="342">
          <cell r="C342" t="str">
            <v>AJ2015</v>
          </cell>
        </row>
        <row r="343">
          <cell r="C343" t="str">
            <v>AJ0012</v>
          </cell>
        </row>
        <row r="344">
          <cell r="C344" t="str">
            <v>AJ2016</v>
          </cell>
        </row>
        <row r="345">
          <cell r="C345" t="str">
            <v>AJ0012-1</v>
          </cell>
        </row>
        <row r="346">
          <cell r="C346" t="str">
            <v>AJ0027</v>
          </cell>
        </row>
        <row r="347">
          <cell r="C347" t="str">
            <v>AJ0013</v>
          </cell>
        </row>
        <row r="348">
          <cell r="C348" t="str">
            <v>AJ0013-1</v>
          </cell>
        </row>
        <row r="349">
          <cell r="C349" t="str">
            <v>AJ0015</v>
          </cell>
        </row>
        <row r="350">
          <cell r="C350" t="str">
            <v>AJ0015-1</v>
          </cell>
        </row>
        <row r="351">
          <cell r="C351" t="str">
            <v>AJ0014</v>
          </cell>
        </row>
        <row r="352">
          <cell r="C352" t="str">
            <v>AJ0014-2</v>
          </cell>
        </row>
        <row r="353">
          <cell r="C353" t="str">
            <v>AJ2017</v>
          </cell>
        </row>
        <row r="354">
          <cell r="C354" t="str">
            <v>AJ0016</v>
          </cell>
        </row>
        <row r="355">
          <cell r="C355" t="str">
            <v>AJ0016-1</v>
          </cell>
        </row>
        <row r="356">
          <cell r="C356" t="str">
            <v>AJ0017</v>
          </cell>
        </row>
        <row r="357">
          <cell r="C357" t="str">
            <v>AJ0017-1</v>
          </cell>
        </row>
        <row r="358">
          <cell r="C358" t="str">
            <v>AJ0094</v>
          </cell>
        </row>
        <row r="359">
          <cell r="C359" t="str">
            <v>AJ0018</v>
          </cell>
        </row>
        <row r="360">
          <cell r="C360" t="str">
            <v>AJ0018-1</v>
          </cell>
        </row>
        <row r="361">
          <cell r="C361" t="str">
            <v>AJ0108</v>
          </cell>
        </row>
        <row r="362">
          <cell r="C362" t="str">
            <v>AJ0109</v>
          </cell>
        </row>
        <row r="363">
          <cell r="C363" t="str">
            <v>AJ0110</v>
          </cell>
        </row>
        <row r="364">
          <cell r="C364" t="str">
            <v>AJ2021</v>
          </cell>
        </row>
        <row r="365">
          <cell r="C365" t="str">
            <v>AJ0065</v>
          </cell>
        </row>
        <row r="366">
          <cell r="C366" t="str">
            <v>AJ0114</v>
          </cell>
        </row>
        <row r="367">
          <cell r="C367" t="str">
            <v>AJ0115</v>
          </cell>
        </row>
        <row r="368">
          <cell r="C368" t="str">
            <v>AJ0050</v>
          </cell>
        </row>
        <row r="369">
          <cell r="C369" t="str">
            <v>AJ0050-1</v>
          </cell>
        </row>
        <row r="370">
          <cell r="C370" t="str">
            <v>AJ0023</v>
          </cell>
        </row>
        <row r="371">
          <cell r="C371" t="str">
            <v>AJ0023-1</v>
          </cell>
        </row>
        <row r="372">
          <cell r="C372" t="str">
            <v>AJ2019</v>
          </cell>
        </row>
        <row r="373">
          <cell r="C373" t="str">
            <v>AJ0024</v>
          </cell>
        </row>
        <row r="374">
          <cell r="C374" t="str">
            <v>AJ1011</v>
          </cell>
        </row>
        <row r="375">
          <cell r="C375" t="str">
            <v>AJ0100</v>
          </cell>
        </row>
        <row r="376">
          <cell r="C376" t="str">
            <v>AJ0101</v>
          </cell>
        </row>
        <row r="377">
          <cell r="C377" t="str">
            <v>AJ0100-1</v>
          </cell>
        </row>
        <row r="378">
          <cell r="C378" t="str">
            <v>AJ0078</v>
          </cell>
        </row>
        <row r="379">
          <cell r="C379" t="str">
            <v>AJ0078-1</v>
          </cell>
        </row>
        <row r="380">
          <cell r="C380" t="str">
            <v>AJ0102</v>
          </cell>
        </row>
        <row r="381">
          <cell r="C381" t="str">
            <v>AJ0102-1</v>
          </cell>
        </row>
        <row r="382">
          <cell r="C382" t="str">
            <v>AJ0079</v>
          </cell>
        </row>
        <row r="383">
          <cell r="C383" t="str">
            <v>AJ0079-1</v>
          </cell>
        </row>
        <row r="384">
          <cell r="C384" t="str">
            <v>AJ0103</v>
          </cell>
        </row>
        <row r="385">
          <cell r="C385" t="str">
            <v>AJ0059</v>
          </cell>
        </row>
        <row r="386">
          <cell r="C386" t="str">
            <v>AJ0059-1</v>
          </cell>
        </row>
        <row r="387">
          <cell r="C387" t="str">
            <v>AJ0061</v>
          </cell>
        </row>
        <row r="388">
          <cell r="C388" t="str">
            <v>AJ2053</v>
          </cell>
        </row>
        <row r="389">
          <cell r="C389" t="str">
            <v>AJ0061-1</v>
          </cell>
        </row>
        <row r="390">
          <cell r="C390" t="str">
            <v>AJ1038</v>
          </cell>
        </row>
        <row r="391">
          <cell r="C391" t="str">
            <v>AJ0025</v>
          </cell>
        </row>
        <row r="392">
          <cell r="C392" t="str">
            <v>AJ0025-1</v>
          </cell>
        </row>
        <row r="393">
          <cell r="C393" t="str">
            <v>AJ2029-1</v>
          </cell>
        </row>
        <row r="394">
          <cell r="C394" t="str">
            <v>AJ0042</v>
          </cell>
        </row>
        <row r="395">
          <cell r="C395" t="str">
            <v>AJ0042-1</v>
          </cell>
        </row>
        <row r="396">
          <cell r="C396" t="str">
            <v>AJ0047</v>
          </cell>
        </row>
        <row r="397">
          <cell r="C397" t="str">
            <v>AJ0019</v>
          </cell>
        </row>
        <row r="398">
          <cell r="C398" t="str">
            <v>AJ0082</v>
          </cell>
        </row>
        <row r="399">
          <cell r="C399" t="str">
            <v>AJ2001</v>
          </cell>
        </row>
        <row r="400">
          <cell r="C400" t="str">
            <v>AJ1026</v>
          </cell>
        </row>
        <row r="401">
          <cell r="C401" t="str">
            <v>AJ0021</v>
          </cell>
        </row>
        <row r="402">
          <cell r="C402" t="str">
            <v>AJ2003</v>
          </cell>
        </row>
        <row r="403">
          <cell r="C403" t="str">
            <v>AJ0020</v>
          </cell>
        </row>
        <row r="404">
          <cell r="C404" t="str">
            <v>AJ1024</v>
          </cell>
        </row>
        <row r="405">
          <cell r="C405" t="str">
            <v>AJ0022</v>
          </cell>
        </row>
        <row r="406">
          <cell r="C406" t="str">
            <v>AJ2004</v>
          </cell>
        </row>
        <row r="407">
          <cell r="C407" t="str">
            <v>AJ0063</v>
          </cell>
        </row>
        <row r="408">
          <cell r="C408" t="str">
            <v>AJ0063-1</v>
          </cell>
        </row>
        <row r="409">
          <cell r="C409" t="str">
            <v>AJ0077</v>
          </cell>
        </row>
        <row r="410">
          <cell r="C410" t="str">
            <v>AJ0057</v>
          </cell>
        </row>
        <row r="411">
          <cell r="C411" t="str">
            <v>AJ0057-1</v>
          </cell>
        </row>
        <row r="412">
          <cell r="C412" t="str">
            <v>AJ0055</v>
          </cell>
        </row>
        <row r="413">
          <cell r="C413" t="str">
            <v>AJ0055-1</v>
          </cell>
        </row>
        <row r="414">
          <cell r="C414" t="str">
            <v>AJ0122</v>
          </cell>
        </row>
        <row r="415">
          <cell r="C415" t="str">
            <v>AJ0123</v>
          </cell>
        </row>
        <row r="416">
          <cell r="C416" t="str">
            <v>AJ0037</v>
          </cell>
        </row>
        <row r="417">
          <cell r="C417" t="str">
            <v>AJ0037-1</v>
          </cell>
        </row>
        <row r="418">
          <cell r="C418" t="str">
            <v>AJ2035</v>
          </cell>
        </row>
        <row r="419">
          <cell r="C419" t="str">
            <v>AJ0049</v>
          </cell>
        </row>
        <row r="420">
          <cell r="C420" t="str">
            <v>AJ0028</v>
          </cell>
        </row>
        <row r="421">
          <cell r="C421" t="str">
            <v>AJ2047</v>
          </cell>
        </row>
        <row r="422">
          <cell r="C422" t="str">
            <v>AJ1028</v>
          </cell>
        </row>
        <row r="423">
          <cell r="C423" t="str">
            <v>AJ0028-1</v>
          </cell>
        </row>
        <row r="424">
          <cell r="C424" t="str">
            <v>AJ0028-2</v>
          </cell>
        </row>
        <row r="425">
          <cell r="C425" t="str">
            <v>AJ0029</v>
          </cell>
        </row>
        <row r="426">
          <cell r="C426" t="str">
            <v>AJ0029-1</v>
          </cell>
        </row>
        <row r="427">
          <cell r="C427" t="str">
            <v>AJ2048</v>
          </cell>
        </row>
        <row r="428">
          <cell r="C428" t="str">
            <v>AJ0049-1</v>
          </cell>
        </row>
        <row r="429">
          <cell r="C429" t="str">
            <v>AJ0030</v>
          </cell>
        </row>
        <row r="430">
          <cell r="C430" t="str">
            <v>AJ0098</v>
          </cell>
        </row>
        <row r="431">
          <cell r="C431" t="str">
            <v>AJ1044</v>
          </cell>
        </row>
        <row r="432">
          <cell r="C432" t="str">
            <v>AJ1025</v>
          </cell>
        </row>
        <row r="433">
          <cell r="C433" t="str">
            <v>AJ1008</v>
          </cell>
        </row>
        <row r="434">
          <cell r="C434" t="str">
            <v>AJ0044</v>
          </cell>
        </row>
        <row r="435">
          <cell r="C435" t="str">
            <v>AJ0044-1</v>
          </cell>
        </row>
        <row r="436">
          <cell r="C436" t="str">
            <v>AJ0046</v>
          </cell>
        </row>
        <row r="437">
          <cell r="C437" t="str">
            <v>AJ0046-1</v>
          </cell>
        </row>
        <row r="438">
          <cell r="C438" t="str">
            <v>AJ2049</v>
          </cell>
        </row>
        <row r="439">
          <cell r="C439" t="str">
            <v>AJ2050</v>
          </cell>
        </row>
        <row r="440">
          <cell r="C440" t="str">
            <v>AJ0058</v>
          </cell>
        </row>
        <row r="441">
          <cell r="C441" t="str">
            <v>AJ0058-1</v>
          </cell>
        </row>
        <row r="442">
          <cell r="C442" t="str">
            <v>AJ0058-2</v>
          </cell>
        </row>
        <row r="443">
          <cell r="C443" t="str">
            <v>AJ0066</v>
          </cell>
        </row>
        <row r="444">
          <cell r="C444" t="str">
            <v>AJ0099</v>
          </cell>
        </row>
        <row r="445">
          <cell r="C445" t="str">
            <v>AJ0121</v>
          </cell>
        </row>
        <row r="446">
          <cell r="C446" t="str">
            <v>AJ0043</v>
          </cell>
        </row>
        <row r="447">
          <cell r="C447" t="str">
            <v>AJ0043-1</v>
          </cell>
        </row>
        <row r="448">
          <cell r="C448" t="str">
            <v>AJ0045</v>
          </cell>
        </row>
        <row r="449">
          <cell r="C449" t="str">
            <v>AJ2051</v>
          </cell>
        </row>
        <row r="450">
          <cell r="C450" t="str">
            <v>AJ0045-1</v>
          </cell>
        </row>
        <row r="451">
          <cell r="C451" t="str">
            <v>AJ0056</v>
          </cell>
        </row>
        <row r="452">
          <cell r="C452" t="str">
            <v>AJ0056-1</v>
          </cell>
        </row>
        <row r="453">
          <cell r="C453" t="str">
            <v>AJ0069</v>
          </cell>
        </row>
        <row r="454">
          <cell r="C454" t="str">
            <v>AJ2052</v>
          </cell>
        </row>
        <row r="455">
          <cell r="C455" t="str">
            <v>AJ0069-1</v>
          </cell>
        </row>
        <row r="456">
          <cell r="C456" t="str">
            <v>AJ0118</v>
          </cell>
        </row>
        <row r="457">
          <cell r="C457" t="str">
            <v>AJ0112</v>
          </cell>
        </row>
        <row r="458">
          <cell r="C458" t="str">
            <v>AJ2025</v>
          </cell>
        </row>
        <row r="459">
          <cell r="C459" t="str">
            <v>AJ2026</v>
          </cell>
        </row>
        <row r="460">
          <cell r="C460" t="str">
            <v>AJ0091</v>
          </cell>
        </row>
        <row r="461">
          <cell r="C461" t="str">
            <v>AJ0113</v>
          </cell>
        </row>
        <row r="462">
          <cell r="C462" t="str">
            <v>AJ0092</v>
          </cell>
        </row>
        <row r="463">
          <cell r="C463" t="str">
            <v>AJ2054</v>
          </cell>
        </row>
        <row r="464">
          <cell r="C464" t="str">
            <v>AJ0080</v>
          </cell>
        </row>
        <row r="465">
          <cell r="C465" t="str">
            <v>AJ0080-1</v>
          </cell>
        </row>
        <row r="466">
          <cell r="C466" t="str">
            <v>AJ0080-3</v>
          </cell>
        </row>
        <row r="467">
          <cell r="C467" t="str">
            <v>AJ0092-2</v>
          </cell>
        </row>
        <row r="468">
          <cell r="C468" t="str">
            <v>AJ0089</v>
          </cell>
        </row>
        <row r="469">
          <cell r="C469" t="str">
            <v>AJ0089-1</v>
          </cell>
        </row>
        <row r="470">
          <cell r="C470" t="str">
            <v>AJ0091-1</v>
          </cell>
        </row>
        <row r="471">
          <cell r="C471" t="str">
            <v>AJ0093</v>
          </cell>
        </row>
        <row r="472">
          <cell r="C472" t="str">
            <v>AJ2055</v>
          </cell>
        </row>
        <row r="473">
          <cell r="C473" t="str">
            <v>AJ0081</v>
          </cell>
        </row>
        <row r="474">
          <cell r="C474" t="str">
            <v>AJ0081-3</v>
          </cell>
        </row>
        <row r="475">
          <cell r="C475" t="str">
            <v>AJ0081-1</v>
          </cell>
        </row>
        <row r="476">
          <cell r="C476" t="str">
            <v>AJ0093-1</v>
          </cell>
        </row>
        <row r="477">
          <cell r="C477" t="str">
            <v>AJ0097</v>
          </cell>
        </row>
        <row r="478">
          <cell r="C478" t="str">
            <v>AJ0119</v>
          </cell>
        </row>
        <row r="479">
          <cell r="C479" t="str">
            <v>AJ0124</v>
          </cell>
        </row>
        <row r="480">
          <cell r="C480" t="str">
            <v>AJ0125</v>
          </cell>
        </row>
        <row r="481">
          <cell r="C481" t="str">
            <v>AJ0095</v>
          </cell>
        </row>
        <row r="482">
          <cell r="C482" t="str">
            <v>AJ0096</v>
          </cell>
        </row>
        <row r="483">
          <cell r="C483" t="str">
            <v>AJ0096-1</v>
          </cell>
        </row>
        <row r="484">
          <cell r="C484" t="str">
            <v>AJ0086</v>
          </cell>
        </row>
        <row r="485">
          <cell r="C485" t="str">
            <v>AJ0087</v>
          </cell>
        </row>
        <row r="486">
          <cell r="C486" t="str">
            <v>AJ0087-1</v>
          </cell>
        </row>
        <row r="487">
          <cell r="C487" t="str">
            <v>AJI0005</v>
          </cell>
        </row>
        <row r="488">
          <cell r="C488" t="str">
            <v>AJ2042</v>
          </cell>
        </row>
        <row r="489">
          <cell r="C489" t="str">
            <v>AJ1001</v>
          </cell>
        </row>
        <row r="490">
          <cell r="C490" t="str">
            <v>BA0008</v>
          </cell>
        </row>
        <row r="491">
          <cell r="C491" t="str">
            <v>BA0008-1</v>
          </cell>
        </row>
        <row r="492">
          <cell r="C492" t="str">
            <v>BA0009</v>
          </cell>
        </row>
        <row r="493">
          <cell r="C493" t="str">
            <v>BA0013</v>
          </cell>
        </row>
        <row r="494">
          <cell r="C494" t="str">
            <v>BA0011</v>
          </cell>
        </row>
        <row r="495">
          <cell r="C495" t="str">
            <v>BA0011-1</v>
          </cell>
        </row>
        <row r="496">
          <cell r="C496" t="str">
            <v>BA0007</v>
          </cell>
        </row>
        <row r="497">
          <cell r="C497" t="str">
            <v>BA0017</v>
          </cell>
        </row>
        <row r="498">
          <cell r="C498" t="str">
            <v>BA0017-1</v>
          </cell>
        </row>
        <row r="499">
          <cell r="C499" t="str">
            <v>BA0342</v>
          </cell>
        </row>
        <row r="500">
          <cell r="C500" t="str">
            <v>BA0015</v>
          </cell>
        </row>
        <row r="501">
          <cell r="C501" t="str">
            <v>BA0016</v>
          </cell>
        </row>
        <row r="502">
          <cell r="C502" t="str">
            <v>BA0018</v>
          </cell>
        </row>
        <row r="503">
          <cell r="C503" t="str">
            <v>BA0019</v>
          </cell>
        </row>
        <row r="504">
          <cell r="C504" t="str">
            <v>BA0180</v>
          </cell>
        </row>
        <row r="505">
          <cell r="C505" t="str">
            <v>BA0361</v>
          </cell>
        </row>
        <row r="506">
          <cell r="C506" t="str">
            <v>BA0362</v>
          </cell>
        </row>
        <row r="507">
          <cell r="C507" t="str">
            <v>BA0181</v>
          </cell>
        </row>
        <row r="508">
          <cell r="C508" t="str">
            <v>BA0182</v>
          </cell>
        </row>
        <row r="509">
          <cell r="C509" t="str">
            <v>BA0183</v>
          </cell>
        </row>
        <row r="510">
          <cell r="C510" t="str">
            <v>BA0184</v>
          </cell>
        </row>
        <row r="511">
          <cell r="C511" t="str">
            <v>BA0185</v>
          </cell>
        </row>
        <row r="512">
          <cell r="C512" t="str">
            <v>BA0186</v>
          </cell>
        </row>
        <row r="513">
          <cell r="C513" t="str">
            <v>BA0187</v>
          </cell>
        </row>
        <row r="514">
          <cell r="C514" t="str">
            <v>AA80095</v>
          </cell>
        </row>
        <row r="515">
          <cell r="C515" t="str">
            <v>AA9342</v>
          </cell>
        </row>
        <row r="516">
          <cell r="C516" t="str">
            <v>AA9343</v>
          </cell>
        </row>
        <row r="517">
          <cell r="C517" t="str">
            <v>BA0001</v>
          </cell>
        </row>
        <row r="518">
          <cell r="C518" t="str">
            <v>BA0002</v>
          </cell>
        </row>
        <row r="519">
          <cell r="C519" t="str">
            <v>BA0003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XV-BXV"/>
      <sheetName val="Centrifugal"/>
      <sheetName val="RawMat List"/>
      <sheetName val="Part List"/>
      <sheetName val="Rough-Cut BOM"/>
      <sheetName val="Sheet4"/>
      <sheetName val="Wkgs_BS Lead"/>
      <sheetName val="เงินกู้ธนชาติ"/>
      <sheetName val="Description"/>
      <sheetName val="TS"/>
      <sheetName val="imp_fan"/>
      <sheetName val="incoming"/>
    </sheetNames>
    <sheetDataSet>
      <sheetData sheetId="0"/>
      <sheetData sheetId="1"/>
      <sheetData sheetId="2">
        <row r="1">
          <cell r="B1" t="str">
            <v>ตารางแสดงรายการวัตถุดิบ</v>
          </cell>
        </row>
        <row r="2">
          <cell r="B2" t="str">
            <v>รหัสสินค้า</v>
          </cell>
        </row>
        <row r="3">
          <cell r="B3" t="str">
            <v>RS0003</v>
          </cell>
        </row>
        <row r="4">
          <cell r="B4" t="str">
            <v>RS0009</v>
          </cell>
        </row>
        <row r="5">
          <cell r="B5" t="str">
            <v>RS009ม</v>
          </cell>
        </row>
        <row r="6">
          <cell r="B6" t="str">
            <v>RS009ม</v>
          </cell>
        </row>
        <row r="8">
          <cell r="B8" t="str">
            <v>RS0306</v>
          </cell>
        </row>
        <row r="9">
          <cell r="B9" t="str">
            <v>RS0307</v>
          </cell>
        </row>
        <row r="10">
          <cell r="B10" t="str">
            <v>RS1105</v>
          </cell>
        </row>
        <row r="11">
          <cell r="B11" t="str">
            <v>RS1109</v>
          </cell>
        </row>
        <row r="12">
          <cell r="B12" t="str">
            <v>RS1110</v>
          </cell>
        </row>
        <row r="13">
          <cell r="B13" t="str">
            <v>RS1113</v>
          </cell>
        </row>
        <row r="14">
          <cell r="B14" t="str">
            <v>RS1113ม</v>
          </cell>
        </row>
        <row r="15">
          <cell r="B15" t="str">
            <v>RS1117</v>
          </cell>
        </row>
        <row r="16">
          <cell r="B16" t="str">
            <v>RS1132</v>
          </cell>
        </row>
        <row r="17">
          <cell r="B17" t="str">
            <v>RS1137</v>
          </cell>
        </row>
        <row r="18">
          <cell r="B18" t="str">
            <v>RS1137ม</v>
          </cell>
        </row>
        <row r="19">
          <cell r="B19" t="str">
            <v>RS1139</v>
          </cell>
        </row>
        <row r="31">
          <cell r="B31" t="str">
            <v>RS1301</v>
          </cell>
        </row>
        <row r="33">
          <cell r="B33" t="str">
            <v>RS2010</v>
          </cell>
        </row>
        <row r="34">
          <cell r="B34" t="str">
            <v>RS2017</v>
          </cell>
        </row>
        <row r="35">
          <cell r="B35" t="str">
            <v>RS2020</v>
          </cell>
        </row>
        <row r="36">
          <cell r="B36" t="str">
            <v>RS2021</v>
          </cell>
        </row>
        <row r="37">
          <cell r="B37" t="str">
            <v>RS2024</v>
          </cell>
        </row>
        <row r="38">
          <cell r="B38" t="str">
            <v>RS2039</v>
          </cell>
        </row>
        <row r="39">
          <cell r="B39" t="str">
            <v>RS2048</v>
          </cell>
        </row>
        <row r="40">
          <cell r="B40" t="str">
            <v>RS2050</v>
          </cell>
        </row>
        <row r="42">
          <cell r="B42" t="str">
            <v>RS2052</v>
          </cell>
        </row>
        <row r="43">
          <cell r="B43" t="str">
            <v>RS3021</v>
          </cell>
        </row>
        <row r="44">
          <cell r="B44" t="str">
            <v>RS3022</v>
          </cell>
        </row>
        <row r="45">
          <cell r="B45" t="str">
            <v>RS3023</v>
          </cell>
        </row>
        <row r="46">
          <cell r="B46" t="str">
            <v>RS3079</v>
          </cell>
        </row>
        <row r="47">
          <cell r="B47" t="str">
            <v>RS3080</v>
          </cell>
        </row>
        <row r="48">
          <cell r="B48" t="str">
            <v>RS3081</v>
          </cell>
        </row>
        <row r="49">
          <cell r="B49" t="str">
            <v>RS3104</v>
          </cell>
        </row>
        <row r="50">
          <cell r="B50" t="str">
            <v>RS3105</v>
          </cell>
        </row>
        <row r="51">
          <cell r="B51" t="str">
            <v>RS3106</v>
          </cell>
        </row>
        <row r="52">
          <cell r="B52" t="str">
            <v>RS4007</v>
          </cell>
        </row>
        <row r="53">
          <cell r="B53" t="str">
            <v>RS4021</v>
          </cell>
        </row>
        <row r="54">
          <cell r="B54" t="str">
            <v>RS4021ม</v>
          </cell>
        </row>
        <row r="55">
          <cell r="B55" t="str">
            <v>RS4022</v>
          </cell>
        </row>
        <row r="56">
          <cell r="B56" t="str">
            <v>RS4024</v>
          </cell>
        </row>
        <row r="57">
          <cell r="B57" t="str">
            <v>RS4027</v>
          </cell>
        </row>
        <row r="58">
          <cell r="B58" t="str">
            <v>RS4033</v>
          </cell>
        </row>
        <row r="60">
          <cell r="B60" t="str">
            <v>RS4033ม</v>
          </cell>
        </row>
        <row r="61">
          <cell r="B61" t="str">
            <v>RS4034</v>
          </cell>
        </row>
        <row r="63">
          <cell r="B63" t="str">
            <v>RS4035</v>
          </cell>
        </row>
        <row r="64">
          <cell r="B64" t="str">
            <v>RS4036</v>
          </cell>
        </row>
        <row r="65">
          <cell r="B65" t="str">
            <v>RS4037</v>
          </cell>
        </row>
        <row r="66">
          <cell r="B66" t="str">
            <v>RS4038</v>
          </cell>
        </row>
        <row r="67">
          <cell r="B67" t="str">
            <v>RS4040ม</v>
          </cell>
        </row>
        <row r="68">
          <cell r="B68" t="str">
            <v>RS4040</v>
          </cell>
        </row>
        <row r="69">
          <cell r="B69" t="str">
            <v>RS4042</v>
          </cell>
        </row>
        <row r="70">
          <cell r="B70" t="str">
            <v>RS4042ม</v>
          </cell>
        </row>
        <row r="71">
          <cell r="B71" t="str">
            <v>RS6101</v>
          </cell>
        </row>
        <row r="72">
          <cell r="B72" t="str">
            <v>RS6106</v>
          </cell>
        </row>
        <row r="73">
          <cell r="B73" t="str">
            <v>RS6110</v>
          </cell>
        </row>
        <row r="74">
          <cell r="B74" t="str">
            <v>RS6115</v>
          </cell>
        </row>
        <row r="84">
          <cell r="B84" t="str">
            <v>RS6220</v>
          </cell>
        </row>
        <row r="85">
          <cell r="B85" t="str">
            <v>RS6221</v>
          </cell>
        </row>
        <row r="86">
          <cell r="B86" t="str">
            <v>RS6223</v>
          </cell>
        </row>
        <row r="87">
          <cell r="B87" t="str">
            <v>RS6224</v>
          </cell>
        </row>
        <row r="88">
          <cell r="B88" t="str">
            <v>RS6225</v>
          </cell>
        </row>
        <row r="89">
          <cell r="B89" t="str">
            <v>RS6227</v>
          </cell>
        </row>
        <row r="90">
          <cell r="B90" t="str">
            <v>RS6228</v>
          </cell>
        </row>
        <row r="91">
          <cell r="B91" t="str">
            <v>RS6230</v>
          </cell>
        </row>
        <row r="92">
          <cell r="B92" t="str">
            <v>RS6234</v>
          </cell>
        </row>
        <row r="93">
          <cell r="B93" t="str">
            <v>RS6354</v>
          </cell>
        </row>
        <row r="94">
          <cell r="B94" t="str">
            <v>RS6401</v>
          </cell>
        </row>
        <row r="95">
          <cell r="B95" t="str">
            <v>RS7101</v>
          </cell>
        </row>
        <row r="96">
          <cell r="B96" t="str">
            <v>RS7107</v>
          </cell>
        </row>
        <row r="97">
          <cell r="B97" t="str">
            <v>RS7108</v>
          </cell>
        </row>
        <row r="98">
          <cell r="B98" t="str">
            <v>RS7111</v>
          </cell>
        </row>
        <row r="99">
          <cell r="B99" t="str">
            <v>RS7113</v>
          </cell>
        </row>
        <row r="100">
          <cell r="B100" t="str">
            <v>RS7114</v>
          </cell>
        </row>
        <row r="101">
          <cell r="B101" t="str">
            <v>RS7115</v>
          </cell>
        </row>
        <row r="103">
          <cell r="B103" t="str">
            <v>RS7117</v>
          </cell>
        </row>
        <row r="104">
          <cell r="B104" t="str">
            <v>RS7209</v>
          </cell>
        </row>
        <row r="105">
          <cell r="B105" t="str">
            <v>RS7213</v>
          </cell>
        </row>
        <row r="106">
          <cell r="B106" t="str">
            <v>RS7223</v>
          </cell>
        </row>
        <row r="108">
          <cell r="B108" t="str">
            <v>RS7310</v>
          </cell>
        </row>
        <row r="109">
          <cell r="B109" t="str">
            <v>RS7401</v>
          </cell>
        </row>
        <row r="110">
          <cell r="B110" t="str">
            <v>RS7407</v>
          </cell>
        </row>
        <row r="111">
          <cell r="B111" t="str">
            <v>RS7408</v>
          </cell>
        </row>
        <row r="112">
          <cell r="B112" t="str">
            <v>RS7409</v>
          </cell>
        </row>
        <row r="113">
          <cell r="B113" t="str">
            <v>RS7412</v>
          </cell>
        </row>
        <row r="114">
          <cell r="B114" t="str">
            <v>RS7414</v>
          </cell>
        </row>
        <row r="116">
          <cell r="B116" t="str">
            <v>RS7507</v>
          </cell>
        </row>
        <row r="117">
          <cell r="B117" t="str">
            <v>RS7902</v>
          </cell>
        </row>
        <row r="118">
          <cell r="B118" t="str">
            <v>RS7904</v>
          </cell>
        </row>
        <row r="120">
          <cell r="B120" t="str">
            <v>RS8109</v>
          </cell>
        </row>
        <row r="121">
          <cell r="B121" t="str">
            <v>RS8505</v>
          </cell>
        </row>
        <row r="122">
          <cell r="B122" t="str">
            <v>RS8506</v>
          </cell>
        </row>
        <row r="123">
          <cell r="B123" t="str">
            <v>RS8509</v>
          </cell>
        </row>
        <row r="124">
          <cell r="B124" t="str">
            <v>RS8513</v>
          </cell>
        </row>
        <row r="125">
          <cell r="B125" t="str">
            <v>RS8513ม</v>
          </cell>
        </row>
        <row r="126">
          <cell r="B126" t="str">
            <v>RS8514</v>
          </cell>
        </row>
      </sheetData>
      <sheetData sheetId="3">
        <row r="1">
          <cell r="B1" t="str">
            <v>ตารางแสดงรายการสินค้า</v>
          </cell>
        </row>
        <row r="2">
          <cell r="B2" t="str">
            <v>รหัสสินค้า</v>
          </cell>
        </row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c"/>
      <sheetName val="RawMat List"/>
      <sheetName val="Part List"/>
      <sheetName val="Rough-Cut BOM"/>
      <sheetName val="Sheet4"/>
      <sheetName val="Fixed asset register"/>
      <sheetName val="XREF"/>
      <sheetName val="SCB 1 - Current"/>
      <sheetName val="SCB 2 - Current"/>
      <sheetName val="incoming"/>
      <sheetName val="Description"/>
      <sheetName val="TS"/>
      <sheetName val="imp_fan"/>
      <sheetName val="reject"/>
    </sheetNames>
    <sheetDataSet>
      <sheetData sheetId="0"/>
      <sheetData sheetId="1"/>
      <sheetData sheetId="2">
        <row r="1">
          <cell r="B1" t="str">
            <v>ตารางแสดงรายการวัตถุดิบ</v>
          </cell>
        </row>
        <row r="2">
          <cell r="B2" t="str">
            <v>รหัสสินค้า</v>
          </cell>
          <cell r="C2" t="str">
            <v>ชื่อสินค้า</v>
          </cell>
        </row>
        <row r="3">
          <cell r="B3" t="str">
            <v>RS0003</v>
          </cell>
          <cell r="C3" t="str">
            <v>แป๊ปดำวัดนอก 1.1/2"x2.3มม.</v>
          </cell>
        </row>
        <row r="4">
          <cell r="C4" t="str">
            <v>แป๊ปดำวัดนอก 1"</v>
          </cell>
        </row>
        <row r="5">
          <cell r="B5" t="str">
            <v>RS0009</v>
          </cell>
          <cell r="C5" t="str">
            <v>แป๊ปดำวัดนอก 4"หนา3มม.</v>
          </cell>
        </row>
        <row r="6">
          <cell r="B6" t="str">
            <v>RS009ม</v>
          </cell>
          <cell r="C6" t="str">
            <v>แป๊ปดำวัดนอก 2 1/2"x2.3มม.</v>
          </cell>
        </row>
        <row r="7">
          <cell r="B7" t="str">
            <v>RS009ม</v>
          </cell>
          <cell r="C7" t="str">
            <v>แป๊ปดำวัดนอก 2"x2.3มม.</v>
          </cell>
        </row>
        <row r="8">
          <cell r="C8" t="str">
            <v>แป๊ปดำวัดนอก 4"</v>
          </cell>
        </row>
        <row r="9">
          <cell r="C9" t="str">
            <v>แป๊ปแสตนเลสวัดนอก 1.1/2"x2.3มม.</v>
          </cell>
        </row>
        <row r="10">
          <cell r="C10" t="str">
            <v>แป๊ปแสตนเลสวัดนอก 2"x2.3มม.</v>
          </cell>
        </row>
        <row r="11">
          <cell r="B11" t="str">
            <v>RS0306</v>
          </cell>
          <cell r="C11" t="str">
            <v>เหล็กไรท์เกรด11/2"x11/2"หนา2.3มม.</v>
          </cell>
        </row>
        <row r="12">
          <cell r="B12" t="str">
            <v>RS0307</v>
          </cell>
          <cell r="C12" t="str">
            <v>เหล็กไรท์เกรด1.1/2"x1.1/2"x3.2มม.</v>
          </cell>
        </row>
        <row r="13">
          <cell r="C13" t="str">
            <v>เหล็กแผ่นดำ 8มม.x4'x8'เกรดSS400(187กก.)</v>
          </cell>
        </row>
        <row r="14">
          <cell r="B14" t="str">
            <v>RS1105</v>
          </cell>
          <cell r="C14" t="str">
            <v>เหล็กแผ่นดำ 8มม.x5'x10'เกรดSS400(292กก.)</v>
          </cell>
        </row>
        <row r="15">
          <cell r="B15" t="str">
            <v>RS1109</v>
          </cell>
          <cell r="C15" t="str">
            <v>เหล็กแผ่นดำ 4มม.x5'x10'เกรดSS400(146กก)</v>
          </cell>
        </row>
        <row r="16">
          <cell r="B16" t="str">
            <v>RS1110</v>
          </cell>
          <cell r="C16" t="str">
            <v>เหล็กแผ่นดำ 6มม.x5'x10'เกรดSS400 (215กก.)</v>
          </cell>
        </row>
        <row r="17">
          <cell r="B17" t="str">
            <v>RS1113</v>
          </cell>
          <cell r="C17" t="str">
            <v>เหล็กแผ่นดำ 1.20มม.x4'x8' 28กก</v>
          </cell>
        </row>
        <row r="18">
          <cell r="B18" t="str">
            <v>RS1113ม</v>
          </cell>
          <cell r="C18" t="str">
            <v>เหล็กแผ่นดำ 12 มม 5'x10' เกรดSS400</v>
          </cell>
        </row>
        <row r="19">
          <cell r="B19" t="str">
            <v>RS1117</v>
          </cell>
          <cell r="C19" t="str">
            <v>เหล็กแผ่นดำ 2มม.x4'x8' 47กก.</v>
          </cell>
        </row>
        <row r="20">
          <cell r="B20" t="str">
            <v>RS1132</v>
          </cell>
          <cell r="C20" t="str">
            <v>เหล็กแผ่นดำ 1.5มม.x4'x10'SPHCขึ้นรูป43.8กก.</v>
          </cell>
        </row>
        <row r="21">
          <cell r="B21" t="str">
            <v>RS1137</v>
          </cell>
          <cell r="C21" t="str">
            <v>เหล็กแผ่นดำ 2.5มม.x4'x10' SPHCขึ้นรูป</v>
          </cell>
        </row>
        <row r="22">
          <cell r="B22" t="str">
            <v>RS1137ม</v>
          </cell>
          <cell r="C22" t="str">
            <v xml:space="preserve">เหล็กแผ่นดำ 2.5มม.x4'x8' </v>
          </cell>
        </row>
        <row r="24">
          <cell r="B24" t="str">
            <v>RS1137ม</v>
          </cell>
          <cell r="C24" t="str">
            <v xml:space="preserve">เหล็กแผ่นดำ 2.5มม.x5'x10' </v>
          </cell>
        </row>
        <row r="25">
          <cell r="B25" t="str">
            <v>RS1139</v>
          </cell>
          <cell r="C25" t="str">
            <v>เหล็กแผ่นดำ 3มม.x5'x10' SS400</v>
          </cell>
        </row>
        <row r="26">
          <cell r="C26" t="str">
            <v>เหล็กแผ่นดำ 3มม.x5'x10' SPHCขึ้นรูป</v>
          </cell>
        </row>
        <row r="27">
          <cell r="C27" t="str">
            <v>เหล็กแผ่นขาว 1มม.x4'x8'</v>
          </cell>
        </row>
        <row r="28">
          <cell r="C28" t="str">
            <v>เหล็กแผ่นขาว 0.7มม.x4'x8'</v>
          </cell>
        </row>
        <row r="30">
          <cell r="C30" t="str">
            <v>สังกะสี 2.0 มม.4'x10' (37กก.)SGCC-RS</v>
          </cell>
        </row>
        <row r="31">
          <cell r="C31" t="str">
            <v>สังกะสี 1.5 มม.4'x8' SGCC-RS</v>
          </cell>
        </row>
        <row r="32">
          <cell r="C32" t="str">
            <v>สังกะสี 1.0 มม.4'x8' SGCC-RS</v>
          </cell>
        </row>
        <row r="33">
          <cell r="C33" t="str">
            <v>สังกะสี 1.5 มม.4'x10' SGCC-RS</v>
          </cell>
        </row>
        <row r="34">
          <cell r="B34" t="str">
            <v>RS1200</v>
          </cell>
          <cell r="C34" t="str">
            <v>สังกะสี 1.2 มม.4'x10' (37กก.)SGCC-RS</v>
          </cell>
        </row>
        <row r="35">
          <cell r="C35" t="str">
            <v>ตะแกรงรังผึ้ง Dai 10มมxหนา1.0มม.x4'x8'</v>
          </cell>
        </row>
        <row r="36">
          <cell r="C36" t="str">
            <v>ตะแกรงรังผึ้ง Dai 5มมxหนา1.0มม.x4'x8'</v>
          </cell>
        </row>
        <row r="37">
          <cell r="C37" t="str">
            <v>ตะแกรงข้าวหลามตัด #6มม.x4'x8'</v>
          </cell>
        </row>
        <row r="38">
          <cell r="B38" t="str">
            <v>RS1301</v>
          </cell>
          <cell r="C38" t="str">
            <v>เหล็กแผ่นขาว 0.7มม.x4'x8'</v>
          </cell>
        </row>
        <row r="39">
          <cell r="B39" t="str">
            <v>RS2001</v>
          </cell>
          <cell r="C39" t="str">
            <v>เหล็กฉาก100x100x7มม.x6ม.</v>
          </cell>
        </row>
        <row r="40">
          <cell r="B40" t="str">
            <v>RS200-1ม</v>
          </cell>
          <cell r="C40" t="str">
            <v>เหล็กฉาก100x100x6มม.x6ม.</v>
          </cell>
        </row>
        <row r="41">
          <cell r="C41" t="str">
            <v>เหล็กฉาก 30x30x3มม.ยาว6ม.</v>
          </cell>
        </row>
        <row r="42">
          <cell r="B42" t="str">
            <v>RS2002</v>
          </cell>
          <cell r="C42" t="str">
            <v>เหล็กฉาก 30x30x5 มม.</v>
          </cell>
        </row>
        <row r="43">
          <cell r="B43" t="str">
            <v>RS2010</v>
          </cell>
          <cell r="C43" t="str">
            <v>เหล็กฉาก40x40x2.5มม.ยาว6ม.</v>
          </cell>
        </row>
        <row r="44">
          <cell r="B44" t="str">
            <v>RS2014</v>
          </cell>
          <cell r="C44" t="str">
            <v>เหล็กฉาก30x30หนา3มม.ยาว1140มม.</v>
          </cell>
        </row>
        <row r="45">
          <cell r="B45" t="str">
            <v>RS2016</v>
          </cell>
          <cell r="C45" t="str">
            <v>เหล็กฉาก30x30หนา3มม.ยาว810มม.</v>
          </cell>
        </row>
        <row r="46">
          <cell r="B46" t="str">
            <v>RS2017</v>
          </cell>
          <cell r="C46" t="str">
            <v>เหล็กฉาก40x40x6มม.ยาว6ม.</v>
          </cell>
        </row>
        <row r="47">
          <cell r="B47" t="str">
            <v>RS2020</v>
          </cell>
          <cell r="C47" t="str">
            <v>เหล็กฉาก50x50x6มม ยาว6ม.</v>
          </cell>
        </row>
        <row r="48">
          <cell r="B48" t="str">
            <v>RS2020ม</v>
          </cell>
        </row>
        <row r="49">
          <cell r="B49" t="str">
            <v>RS2021</v>
          </cell>
          <cell r="C49" t="str">
            <v>เหล็กฉาก65x65x6มม. ยาว6ม.</v>
          </cell>
        </row>
        <row r="50">
          <cell r="B50" t="str">
            <v>RS2022</v>
          </cell>
          <cell r="C50" t="str">
            <v>เหล็กฉาก30x30หนา3มม.ยาว770มม.</v>
          </cell>
        </row>
        <row r="51">
          <cell r="B51" t="str">
            <v>RS2024</v>
          </cell>
          <cell r="C51" t="str">
            <v>เหล็กฉาก75x75x6มม.ยาว6ม.</v>
          </cell>
        </row>
        <row r="52">
          <cell r="B52" t="str">
            <v>RS2029</v>
          </cell>
          <cell r="C52" t="str">
            <v>เหล็กฉาก30x30หนา3มม.ยาว570มม.</v>
          </cell>
        </row>
        <row r="53">
          <cell r="B53" t="str">
            <v>RS2030</v>
          </cell>
          <cell r="C53" t="str">
            <v>เหล็กฉาก30x30หนา3มม.ยาว510มม.</v>
          </cell>
        </row>
        <row r="54">
          <cell r="B54" t="str">
            <v>RS2034</v>
          </cell>
          <cell r="C54" t="str">
            <v>เหล็กฉาก30x30หนา3มม.ยาว275มม.</v>
          </cell>
        </row>
        <row r="55">
          <cell r="B55" t="str">
            <v>RS2038</v>
          </cell>
          <cell r="C55" t="str">
            <v>เหล็กฉากตัดตามขนาด</v>
          </cell>
        </row>
        <row r="56">
          <cell r="B56" t="str">
            <v>RS2039</v>
          </cell>
          <cell r="C56" t="str">
            <v>เหล็กฉาก65x65x8มม. ยาว6ม.</v>
          </cell>
        </row>
        <row r="57">
          <cell r="B57" t="str">
            <v>RS2048</v>
          </cell>
          <cell r="C57" t="str">
            <v>เหล็กฉาก100x100x10มม.x6ม.</v>
          </cell>
        </row>
        <row r="58">
          <cell r="B58" t="str">
            <v>RS2050</v>
          </cell>
          <cell r="C58" t="str">
            <v>เหล็กฉาก125x125x10มม.ยาว6ม.</v>
          </cell>
        </row>
        <row r="59">
          <cell r="C59" t="str">
            <v>เหล็กฉาก130x130x9มม.ยาว6ม.</v>
          </cell>
        </row>
        <row r="60">
          <cell r="B60" t="str">
            <v>RS2052</v>
          </cell>
          <cell r="C60" t="str">
            <v>เหล็กฉาก75x75x8.5มม. ยาว6ม.</v>
          </cell>
        </row>
        <row r="61">
          <cell r="B61" t="str">
            <v>RS2055</v>
          </cell>
          <cell r="C61" t="str">
            <v>เหล็กฉาก30x30หนา3มม.ยาว880มม.</v>
          </cell>
        </row>
        <row r="62">
          <cell r="B62" t="str">
            <v>RS2082</v>
          </cell>
          <cell r="C62" t="str">
            <v>เหล็กฉาก30*30หนา3มม.ยาว830มม.</v>
          </cell>
        </row>
        <row r="63">
          <cell r="B63" t="str">
            <v>RS3021</v>
          </cell>
          <cell r="C63" t="str">
            <v>เหล็กราง 118.9 (แขนยาว 24")</v>
          </cell>
        </row>
        <row r="64">
          <cell r="B64" t="str">
            <v>RS3022</v>
          </cell>
          <cell r="C64" t="str">
            <v>เหล็กราง 42.0 (แขนข้าง 24")</v>
          </cell>
        </row>
        <row r="65">
          <cell r="B65" t="str">
            <v>RS3023</v>
          </cell>
          <cell r="C65" t="str">
            <v>เหล็กราง 20.5 (แขนสั้น 24")</v>
          </cell>
        </row>
        <row r="66">
          <cell r="B66" t="str">
            <v>RS3079</v>
          </cell>
          <cell r="C66" t="str">
            <v>เหล็กราง 110.4 (แขนยาว 20")</v>
          </cell>
        </row>
        <row r="67">
          <cell r="B67" t="str">
            <v>RS3080</v>
          </cell>
          <cell r="C67" t="str">
            <v>เหล็กราง 39.9 (แขนข้าง 20")</v>
          </cell>
        </row>
        <row r="68">
          <cell r="B68" t="str">
            <v>RS3081</v>
          </cell>
          <cell r="C68" t="str">
            <v>เหล็กราง 19 (แขนสั้น20")</v>
          </cell>
        </row>
        <row r="69">
          <cell r="B69" t="str">
            <v>RS3104</v>
          </cell>
          <cell r="C69" t="str">
            <v>เหล็กราง 18.5ซม.(แขนสั้น16")</v>
          </cell>
        </row>
        <row r="70">
          <cell r="B70" t="str">
            <v>RS3105</v>
          </cell>
          <cell r="C70" t="str">
            <v>เหล็กราง 33ซม.(แขนข้าง16")</v>
          </cell>
        </row>
        <row r="71">
          <cell r="B71" t="str">
            <v>RS3106</v>
          </cell>
          <cell r="C71" t="str">
            <v>เหล็กราง 93ซม.(แขนยาว16")</v>
          </cell>
        </row>
        <row r="72">
          <cell r="B72" t="str">
            <v>RS4007</v>
          </cell>
          <cell r="C72" t="str">
            <v>เหล็กแบน40x6มม.x6ม.</v>
          </cell>
        </row>
        <row r="73">
          <cell r="B73" t="str">
            <v>RS4021</v>
          </cell>
          <cell r="C73" t="str">
            <v>เหล็กแบน50x6มม.x6ม.</v>
          </cell>
        </row>
        <row r="74">
          <cell r="B74" t="str">
            <v>RS4021ม</v>
          </cell>
          <cell r="C74" t="str">
            <v>เหล็กแบน(รีด) 50x6มม.x6ม.</v>
          </cell>
        </row>
        <row r="76">
          <cell r="B76" t="str">
            <v>RS4022</v>
          </cell>
          <cell r="C76" t="str">
            <v>เหล็กแบน(รีด)65x8มม.x6ม.</v>
          </cell>
        </row>
        <row r="77">
          <cell r="B77" t="str">
            <v>RS4024</v>
          </cell>
          <cell r="C77" t="str">
            <v>เหล็กแบน75x12มม.x6ม.</v>
          </cell>
        </row>
        <row r="78">
          <cell r="B78" t="str">
            <v>RS4027</v>
          </cell>
          <cell r="C78" t="str">
            <v>เหล็กแบน30มม.x12มม.x6ม.</v>
          </cell>
        </row>
        <row r="79">
          <cell r="B79" t="str">
            <v>RS4033</v>
          </cell>
          <cell r="C79" t="str">
            <v>เหล็กแบน(รีด)50มม.x8มม.x6ม.</v>
          </cell>
        </row>
        <row r="80">
          <cell r="C80" t="str">
            <v>เหล็กแบน(รีด)50มม.x9มม.x6ม.</v>
          </cell>
        </row>
        <row r="81">
          <cell r="B81" t="str">
            <v>RS4033ม</v>
          </cell>
          <cell r="C81" t="str">
            <v>เหล็กแบน(รีด) 50มม.x10มม.x6ม.</v>
          </cell>
        </row>
        <row r="82">
          <cell r="B82" t="str">
            <v>RS4034</v>
          </cell>
          <cell r="C82" t="str">
            <v>เหล็กแบน(รีด) 65x6มม.x6ม.</v>
          </cell>
        </row>
        <row r="83">
          <cell r="C83" t="str">
            <v>เหล็กแบน(รีด) 100มม.x10มม.x6ม.</v>
          </cell>
        </row>
        <row r="84">
          <cell r="B84" t="str">
            <v>RS4035</v>
          </cell>
          <cell r="C84" t="str">
            <v>เหล็กแบน(รีด) 100มม.x6มม.x6ม.</v>
          </cell>
        </row>
        <row r="85">
          <cell r="B85" t="str">
            <v>RS4036</v>
          </cell>
          <cell r="C85" t="str">
            <v>เหล็กแบน(รีด) 75มม.x10มม.x6ม.</v>
          </cell>
        </row>
        <row r="86">
          <cell r="B86" t="str">
            <v>RS4037</v>
          </cell>
          <cell r="C86" t="str">
            <v>เหล็กแบน(รีด)3"x9มม.x6ม.</v>
          </cell>
        </row>
        <row r="87">
          <cell r="B87" t="str">
            <v>RS4038</v>
          </cell>
          <cell r="C87" t="str">
            <v>เหล็กแบน(รีด)3"x6มม.x6ม.</v>
          </cell>
        </row>
        <row r="88">
          <cell r="B88" t="str">
            <v>RS4040ม</v>
          </cell>
          <cell r="C88" t="str">
            <v>เหล็กแบน(รีด)75มม.x8มม.x6ม.</v>
          </cell>
        </row>
        <row r="89">
          <cell r="B89" t="str">
            <v>RS4040</v>
          </cell>
          <cell r="C89" t="str">
            <v>เหล็กแบน(รีด)75มม.x9มม.x6ม.</v>
          </cell>
        </row>
        <row r="90">
          <cell r="B90" t="str">
            <v>RS4042</v>
          </cell>
          <cell r="C90" t="str">
            <v>เหล็กแบน(รีด)65มม.x9มม.x6ม.</v>
          </cell>
        </row>
        <row r="91">
          <cell r="B91" t="str">
            <v>RS4042ม</v>
          </cell>
          <cell r="C91" t="str">
            <v>เหล็กแบน(รีด) 65มม.x10มม.x6ม.</v>
          </cell>
        </row>
        <row r="92">
          <cell r="B92" t="str">
            <v>RS6101</v>
          </cell>
          <cell r="C92" t="str">
            <v>เหล็กเพลาขาว 1" ยาว6ม.</v>
          </cell>
        </row>
        <row r="93">
          <cell r="B93" t="str">
            <v>RS6106</v>
          </cell>
          <cell r="C93" t="str">
            <v>เหล็กเพลาขาว 1/2" ยาว6ม.</v>
          </cell>
        </row>
        <row r="94">
          <cell r="B94" t="str">
            <v>RS6110</v>
          </cell>
          <cell r="C94" t="str">
            <v>เหล็กเพลาขาว 3/8" ยาว6ม.</v>
          </cell>
        </row>
        <row r="95">
          <cell r="B95" t="str">
            <v>RS6115</v>
          </cell>
          <cell r="C95" t="str">
            <v>เหล็กเพลาขาว 5/8" ยาว6ม.</v>
          </cell>
        </row>
        <row r="96">
          <cell r="B96" t="str">
            <v>RS6202</v>
          </cell>
          <cell r="C96" t="str">
            <v>เหล็กเพลาS45C 105มมx6ม.408กก.</v>
          </cell>
        </row>
        <row r="97">
          <cell r="B97" t="str">
            <v>RS6209</v>
          </cell>
          <cell r="C97" t="str">
            <v>เหล็กเพลาS45C25มม.x6ม.25กก.</v>
          </cell>
        </row>
        <row r="98">
          <cell r="B98" t="str">
            <v>RS6211</v>
          </cell>
          <cell r="C98" t="str">
            <v>เหล็กเพลาS45C35มม.x6ม.46กก.</v>
          </cell>
        </row>
        <row r="99">
          <cell r="B99" t="str">
            <v>RS6213</v>
          </cell>
          <cell r="C99" t="str">
            <v>เหล็กเพลาS45C40มม.x6ม.59กก.</v>
          </cell>
        </row>
        <row r="100">
          <cell r="B100" t="str">
            <v>RS6214</v>
          </cell>
          <cell r="C100" t="str">
            <v>เหล็กเพลาS45C42มม.x6 ม.65กก.</v>
          </cell>
        </row>
        <row r="101">
          <cell r="B101" t="str">
            <v>RS6215</v>
          </cell>
          <cell r="C101" t="str">
            <v>เหล็กเพลาS45C45มม.x6ม.75กก.</v>
          </cell>
        </row>
        <row r="102">
          <cell r="B102" t="str">
            <v>RS6217</v>
          </cell>
          <cell r="C102" t="str">
            <v>เหล็กเพลาS45C 95มม.x6ม.330กก.</v>
          </cell>
        </row>
        <row r="103">
          <cell r="B103" t="str">
            <v>RS6218</v>
          </cell>
          <cell r="C103" t="str">
            <v>เหล็กเพลาS45C65มม.x6ม.133กก.</v>
          </cell>
        </row>
        <row r="104">
          <cell r="B104" t="str">
            <v>RS6219</v>
          </cell>
          <cell r="C104" t="str">
            <v>เหล็กเพลาS45C 85มม.x6ม.267กก.</v>
          </cell>
        </row>
        <row r="105">
          <cell r="B105" t="str">
            <v>RS6220</v>
          </cell>
          <cell r="C105" t="str">
            <v>เหล็กเพลาS45C80มม.x6ม.237กก.</v>
          </cell>
        </row>
        <row r="106">
          <cell r="B106" t="str">
            <v>RS6221</v>
          </cell>
          <cell r="C106" t="str">
            <v>เหล็กเพลาS45C75มม.x6ม.</v>
          </cell>
        </row>
        <row r="107">
          <cell r="B107" t="str">
            <v>RS6223</v>
          </cell>
          <cell r="C107" t="str">
            <v>เหล็กเพลาS45C60มม.x6ม.133กก.</v>
          </cell>
        </row>
        <row r="108">
          <cell r="B108" t="str">
            <v>RS6224</v>
          </cell>
          <cell r="C108" t="str">
            <v>เหล็กเพลาS45C 55มม.x6ม.112กก.</v>
          </cell>
        </row>
        <row r="109">
          <cell r="B109" t="str">
            <v>RS6225</v>
          </cell>
          <cell r="C109" t="str">
            <v>เหล็กเพลาS45C 50มม.x6ม.93กก.</v>
          </cell>
        </row>
        <row r="110">
          <cell r="B110" t="str">
            <v>RS6227</v>
          </cell>
          <cell r="C110" t="str">
            <v>เหล็กเพลาS45C 52มมx6ม.103กก.</v>
          </cell>
        </row>
        <row r="111">
          <cell r="B111" t="str">
            <v>RS6228</v>
          </cell>
          <cell r="C111" t="str">
            <v>เหล็กเพลาS45C32มม.x6ม.37กก.</v>
          </cell>
        </row>
        <row r="112">
          <cell r="B112" t="str">
            <v>RS6230</v>
          </cell>
          <cell r="C112" t="str">
            <v>เหล็กเพลาS45Cโต38มม.x6ม.(53กก.)</v>
          </cell>
        </row>
        <row r="113">
          <cell r="B113" t="str">
            <v>RS6234</v>
          </cell>
          <cell r="C113" t="str">
            <v>เหล็กเพลาS45Cโต120มม.xยาว6ม.(533กก.)</v>
          </cell>
        </row>
        <row r="114">
          <cell r="B114" t="str">
            <v>RS6354</v>
          </cell>
          <cell r="C114" t="str">
            <v>เหล็กเพลาSCM4วัดนอก140มม.xย701มม.86 กก.)</v>
          </cell>
        </row>
        <row r="115">
          <cell r="B115" t="str">
            <v>RS6401</v>
          </cell>
          <cell r="C115" t="str">
            <v>เหล็กเพลาเหลี่ยม3/4"x3/4"</v>
          </cell>
        </row>
        <row r="116">
          <cell r="B116" t="str">
            <v>RS7101</v>
          </cell>
          <cell r="C116" t="str">
            <v>แสตนเลสแผ่น 8มม.4'x8' No.304</v>
          </cell>
        </row>
        <row r="117">
          <cell r="B117" t="str">
            <v>RS7107</v>
          </cell>
          <cell r="C117" t="str">
            <v>แสตนเลสแผ่น 6มม.4'x8' No.304</v>
          </cell>
        </row>
        <row r="118">
          <cell r="B118" t="str">
            <v>RS7108</v>
          </cell>
          <cell r="C118" t="str">
            <v>แสตนเลสแผ่น1.2มม.x4'x8'No.304</v>
          </cell>
        </row>
        <row r="119">
          <cell r="B119" t="str">
            <v>RS7111</v>
          </cell>
          <cell r="C119" t="str">
            <v>สแตนเลสแผ่น 2มม.4'x8' No.304</v>
          </cell>
        </row>
        <row r="120">
          <cell r="B120" t="str">
            <v>RS7113</v>
          </cell>
          <cell r="C120" t="str">
            <v>แสตนเลสแผ่น 3มม.4'x8' No.304</v>
          </cell>
        </row>
        <row r="121">
          <cell r="B121" t="str">
            <v>RS7114</v>
          </cell>
          <cell r="C121" t="str">
            <v>แสตนเลสแผ่น 3มม.4'x8' No.316</v>
          </cell>
        </row>
        <row r="122">
          <cell r="B122" t="str">
            <v>RS7115</v>
          </cell>
          <cell r="C122" t="str">
            <v>แสตนเลสแผ่น 4มม 4'x8' No.304</v>
          </cell>
        </row>
        <row r="123">
          <cell r="C123" t="str">
            <v>แสตนเลสแผ่น 4มม 5'x10' No.304</v>
          </cell>
        </row>
        <row r="124">
          <cell r="B124" t="str">
            <v>RS7117</v>
          </cell>
          <cell r="C124" t="str">
            <v>แสตนเลสแผ่น1.2มม.x4'x8'No.430</v>
          </cell>
        </row>
        <row r="125">
          <cell r="B125" t="str">
            <v>RS7209</v>
          </cell>
          <cell r="C125" t="str">
            <v>สแตนเลสเพลา 1/2"x6ม.</v>
          </cell>
        </row>
        <row r="126">
          <cell r="B126" t="str">
            <v>RS7213</v>
          </cell>
          <cell r="C126" t="str">
            <v>สแตนเลสเพลา 5/8"x6ม.</v>
          </cell>
        </row>
        <row r="127">
          <cell r="B127" t="str">
            <v>RS7223</v>
          </cell>
          <cell r="C127" t="str">
            <v>สแตนเลสเพลา 3/8"x6ม.</v>
          </cell>
        </row>
        <row r="128">
          <cell r="C128" t="str">
            <v>เพลาแสตนเลส#310Dai60มม.ยาว760มม.</v>
          </cell>
        </row>
        <row r="129">
          <cell r="B129" t="str">
            <v>RS7310</v>
          </cell>
          <cell r="C129" t="str">
            <v>เพลาแสตนเลส#310Dai60มม.ยาว710มม.</v>
          </cell>
        </row>
        <row r="130">
          <cell r="B130" t="str">
            <v>RS7401</v>
          </cell>
          <cell r="C130" t="str">
            <v>สแตนเลสฉาก 75x75x6มม.x6ม.</v>
          </cell>
        </row>
        <row r="131">
          <cell r="B131" t="str">
            <v>RS7407</v>
          </cell>
          <cell r="C131" t="str">
            <v>สแตนเลสฉาก 50x50xหนา6มม.</v>
          </cell>
        </row>
        <row r="132">
          <cell r="B132" t="str">
            <v>RS7408</v>
          </cell>
          <cell r="C132" t="str">
            <v>สแตนเลสฉาก 65x65xหนา6มม.</v>
          </cell>
        </row>
        <row r="133">
          <cell r="B133" t="str">
            <v>RS7409</v>
          </cell>
          <cell r="C133" t="str">
            <v>สแตนเลสฉาก 30x30x5มม.</v>
          </cell>
        </row>
        <row r="134">
          <cell r="B134" t="str">
            <v>RS7412</v>
          </cell>
          <cell r="C134" t="str">
            <v>สแตนเลสฉาก 40x40x5มม.</v>
          </cell>
        </row>
        <row r="135">
          <cell r="B135" t="str">
            <v>RS7414</v>
          </cell>
          <cell r="C135" t="str">
            <v>สแตนเลสฉาก100x100x9มม.</v>
          </cell>
        </row>
        <row r="136">
          <cell r="C136" t="str">
            <v>สแตนเลสแบนกว้าง2"xหนา1/4"</v>
          </cell>
        </row>
        <row r="137">
          <cell r="B137" t="str">
            <v>RS7507</v>
          </cell>
          <cell r="C137" t="str">
            <v>สแตนเลสแบนกว้าง2" 1/2xหนา1/4"</v>
          </cell>
        </row>
        <row r="138">
          <cell r="B138" t="str">
            <v>RS7902</v>
          </cell>
          <cell r="C138" t="str">
            <v>อลูมิเนียมแผ่น 1มม.4'x8'</v>
          </cell>
        </row>
        <row r="139">
          <cell r="B139" t="str">
            <v>RS7904</v>
          </cell>
          <cell r="C139" t="str">
            <v>อลูมิเนียมแผ่น 2มม4'x8'</v>
          </cell>
        </row>
        <row r="140">
          <cell r="C140" t="str">
            <v>ท่อยาง Dai 5"ยาว 700มม.</v>
          </cell>
        </row>
        <row r="141">
          <cell r="B141" t="str">
            <v>RS8109</v>
          </cell>
          <cell r="C141" t="str">
            <v>เหล็กตัวซี 4"x2"x2.3มม.</v>
          </cell>
        </row>
        <row r="142">
          <cell r="C142" t="str">
            <v>เหล็กรางยู 75x180x7มมx6ม</v>
          </cell>
        </row>
        <row r="143">
          <cell r="C143" t="str">
            <v>เหล็กรางยู 150x75x7มมx6ม</v>
          </cell>
        </row>
        <row r="144">
          <cell r="B144" t="str">
            <v>RS8505</v>
          </cell>
          <cell r="C144" t="str">
            <v>เหล็กรางยู75x40x5มม.x6ม</v>
          </cell>
        </row>
        <row r="145">
          <cell r="B145" t="str">
            <v>RS8506</v>
          </cell>
          <cell r="C145" t="str">
            <v>เหล็กรางยู125x65x6มม.x6ม</v>
          </cell>
        </row>
        <row r="146">
          <cell r="B146" t="str">
            <v>RS8509</v>
          </cell>
          <cell r="C146" t="str">
            <v>เหล็กรางยู8"x6ม.</v>
          </cell>
        </row>
        <row r="147">
          <cell r="B147" t="str">
            <v>RS8513</v>
          </cell>
          <cell r="C147" t="str">
            <v>เหล็กรางยู150x75x7มม.x6ม</v>
          </cell>
        </row>
        <row r="148">
          <cell r="B148" t="str">
            <v>RS8513ม</v>
          </cell>
          <cell r="C148" t="str">
            <v>เหล็กรางยู 75x180x7มมx6ม</v>
          </cell>
        </row>
        <row r="149">
          <cell r="B149" t="str">
            <v>RS8514</v>
          </cell>
          <cell r="C149" t="str">
            <v>เหล็กรางยู100x50x5มมx6ม</v>
          </cell>
        </row>
      </sheetData>
      <sheetData sheetId="3">
        <row r="1">
          <cell r="B1" t="str">
            <v>ตารางแสดงรายการสินค้า</v>
          </cell>
        </row>
        <row r="2">
          <cell r="B2" t="str">
            <v>รหัสสินค้า</v>
          </cell>
        </row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PR"/>
      <sheetName val="AA"/>
      <sheetName val="AJ"/>
      <sheetName val="BA"/>
      <sheetName val="วางค่า Plan"/>
      <sheetName val="ON HAND"/>
      <sheetName val="BUILD95"/>
      <sheetName val="Sheet1"/>
      <sheetName val="TB-2001-Apr'01"/>
      <sheetName val="Wkgs_BS Lead"/>
      <sheetName val="Description"/>
      <sheetName val="TS"/>
      <sheetName val="RawMat List"/>
      <sheetName val="Part List"/>
    </sheetNames>
    <sheetDataSet>
      <sheetData sheetId="0"/>
      <sheetData sheetId="1"/>
      <sheetData sheetId="2"/>
      <sheetData sheetId="3"/>
      <sheetData sheetId="4"/>
      <sheetData sheetId="5">
        <row r="6">
          <cell r="B6" t="str">
            <v>AA2025</v>
          </cell>
          <cell r="C6" t="str">
            <v>มอเตอร์ CR 1/4 HP (4P FOOT FR.71 220V)</v>
          </cell>
          <cell r="D6">
            <v>1300</v>
          </cell>
        </row>
        <row r="7">
          <cell r="B7" t="str">
            <v>AA1003-4</v>
          </cell>
          <cell r="C7" t="str">
            <v>มอเตอร์ CRH 1/3 HP (4P FT FR.71 220V)</v>
          </cell>
          <cell r="D7">
            <v>500</v>
          </cell>
        </row>
        <row r="8">
          <cell r="B8" t="str">
            <v>AA1004-2</v>
          </cell>
          <cell r="C8" t="str">
            <v>มอเตอร์ CRH 1/2 HP (4P FT FR.71 220V)</v>
          </cell>
          <cell r="D8">
            <v>600</v>
          </cell>
        </row>
        <row r="9">
          <cell r="B9" t="str">
            <v>AA2157</v>
          </cell>
          <cell r="C9" t="str">
            <v>มอเตอร์ SPH 1/4 HP (4P 220v.)</v>
          </cell>
          <cell r="D9">
            <v>600</v>
          </cell>
        </row>
        <row r="10">
          <cell r="B10" t="str">
            <v>AA2156</v>
          </cell>
          <cell r="C10" t="str">
            <v>มอเตอร์ SPH 1/3 HP (4P 220v.)</v>
          </cell>
          <cell r="D10">
            <v>1500</v>
          </cell>
        </row>
        <row r="11">
          <cell r="B11" t="str">
            <v>AA2031</v>
          </cell>
          <cell r="C11" t="str">
            <v>มอเตอร์ SP 1/2 HP (4P 220v.) เหล็กม้วน</v>
          </cell>
          <cell r="D11">
            <v>200</v>
          </cell>
        </row>
        <row r="12">
          <cell r="B12" t="str">
            <v>AA2154</v>
          </cell>
          <cell r="C12" t="str">
            <v>มอเตอร์ SCH 1/3 HP (4P 220v.)</v>
          </cell>
          <cell r="D12">
            <v>100</v>
          </cell>
        </row>
        <row r="13">
          <cell r="B13" t="str">
            <v>AA2032</v>
          </cell>
          <cell r="C13" t="str">
            <v>มอเตอร์ SC 1/2 HP (4P 220v.) เหล็กม้วน</v>
          </cell>
          <cell r="D13">
            <v>100</v>
          </cell>
        </row>
        <row r="14">
          <cell r="B14" t="str">
            <v>AA2035</v>
          </cell>
          <cell r="C14" t="str">
            <v>มอเตอร์ SC 1 HP (4P 220v.) เหล็กม้วน</v>
          </cell>
          <cell r="D14">
            <v>200</v>
          </cell>
        </row>
        <row r="15">
          <cell r="B15" t="str">
            <v>AA2026</v>
          </cell>
          <cell r="C15" t="str">
            <v>มอเตอร์ SC-R 1/2 HP (4P 220V) เหล็กม้วน</v>
          </cell>
          <cell r="D15">
            <v>200</v>
          </cell>
        </row>
        <row r="16">
          <cell r="B16" t="str">
            <v>AA2027</v>
          </cell>
          <cell r="C16" t="str">
            <v>มอเตอร์ SC-R 1 HP (4P 220V) เหล็กม้วน</v>
          </cell>
          <cell r="D16">
            <v>500</v>
          </cell>
        </row>
        <row r="17">
          <cell r="B17" t="str">
            <v>AA2007</v>
          </cell>
          <cell r="C17" t="str">
            <v>มอเตอร์ SC-R 1.5 HP (4P FOOT 220v.)</v>
          </cell>
          <cell r="D17">
            <v>30</v>
          </cell>
        </row>
        <row r="18">
          <cell r="B18" t="str">
            <v>AA2028</v>
          </cell>
          <cell r="C18" t="str">
            <v>มอเตอร์ SC-R 1.5 HP (4P 220V) เหล็กม้วน</v>
          </cell>
          <cell r="D18">
            <v>100</v>
          </cell>
        </row>
        <row r="19">
          <cell r="B19" t="str">
            <v>AA2008</v>
          </cell>
          <cell r="C19" t="str">
            <v>มอเตอร์ SC-R 2 HP (4P 220v.)</v>
          </cell>
          <cell r="D19">
            <v>60</v>
          </cell>
        </row>
        <row r="20">
          <cell r="B20" t="str">
            <v>AA2008-3</v>
          </cell>
          <cell r="C20" t="str">
            <v>มอเตอร์ SC-RS 2 HP (4P 220v.) เหล็กม้วน</v>
          </cell>
          <cell r="D20">
            <v>120</v>
          </cell>
        </row>
        <row r="21">
          <cell r="B21" t="str">
            <v>AA2009</v>
          </cell>
          <cell r="C21" t="str">
            <v>มอเตอร์ SC-R 3 HP (4P 220v.)</v>
          </cell>
          <cell r="D21">
            <v>100</v>
          </cell>
        </row>
        <row r="22">
          <cell r="B22" t="str">
            <v>AA2009-2</v>
          </cell>
          <cell r="C22" t="str">
            <v>มอเตอร์ SC-RS 3 HP (4P 220v.) เหล็กม้วน</v>
          </cell>
          <cell r="D22">
            <v>150</v>
          </cell>
        </row>
        <row r="23">
          <cell r="B23" t="str">
            <v>AA3013</v>
          </cell>
          <cell r="C23" t="str">
            <v>มอเตอร์ 1/2 HP (4P FLANGE CI 220/380v.)</v>
          </cell>
          <cell r="D23">
            <v>20</v>
          </cell>
        </row>
        <row r="24">
          <cell r="B24" t="str">
            <v>AA3016</v>
          </cell>
          <cell r="C24" t="str">
            <v>มอเตอร์ 1/2 HP (4P FOOT CI 220/380v.)</v>
          </cell>
          <cell r="D24">
            <v>100</v>
          </cell>
        </row>
        <row r="25">
          <cell r="B25" t="str">
            <v>AA3022</v>
          </cell>
          <cell r="C25" t="str">
            <v>มอเตอร์ 1 HP (4P FOOT CI 220/380v.)</v>
          </cell>
          <cell r="D25">
            <v>50</v>
          </cell>
        </row>
        <row r="26">
          <cell r="B26" t="str">
            <v>AA3025</v>
          </cell>
          <cell r="C26" t="str">
            <v>มอเตอร์ 2 HP (2P FLANGE CI 220/380v.)</v>
          </cell>
          <cell r="D26">
            <v>50</v>
          </cell>
        </row>
        <row r="27">
          <cell r="B27" t="str">
            <v>AA3029</v>
          </cell>
          <cell r="C27" t="str">
            <v>มอเตอร์ 2 HP (2P FOOT CI 220/380v.)</v>
          </cell>
          <cell r="D27">
            <v>20</v>
          </cell>
        </row>
        <row r="28">
          <cell r="B28" t="str">
            <v>AA3030</v>
          </cell>
          <cell r="C28" t="str">
            <v>มอเตอร์ 2 HP (4P FOOT CI 220/380v.)</v>
          </cell>
          <cell r="D28">
            <v>100</v>
          </cell>
        </row>
        <row r="29">
          <cell r="B29" t="str">
            <v>AA3035</v>
          </cell>
          <cell r="C29" t="str">
            <v>มอเตอร์ 3 HP (4P FOOT CI 220/380v.)</v>
          </cell>
          <cell r="D29">
            <v>100</v>
          </cell>
        </row>
        <row r="30">
          <cell r="B30" t="str">
            <v>AA3043</v>
          </cell>
          <cell r="C30" t="str">
            <v>มอเตอร์ 2 HP (4P FLANGE CI ฟาร์มกุ้ง )</v>
          </cell>
          <cell r="D30">
            <v>50</v>
          </cell>
        </row>
        <row r="31">
          <cell r="B31" t="str">
            <v>AA3074</v>
          </cell>
          <cell r="C31" t="str">
            <v>มอเตอร์ 5.5 HP (4P FOOT CI 220/380v.)</v>
          </cell>
          <cell r="D31">
            <v>10</v>
          </cell>
        </row>
        <row r="32">
          <cell r="B32" t="str">
            <v>AA4029</v>
          </cell>
          <cell r="C32" t="str">
            <v>มอเตอร์ขัด 1 HP (แกนหินขัด 2P 220/380v.)</v>
          </cell>
          <cell r="D32">
            <v>20</v>
          </cell>
        </row>
        <row r="33">
          <cell r="B33" t="str">
            <v>AJ0001</v>
          </cell>
          <cell r="C33" t="str">
            <v>ปั๊มน้ำ VENZ, VM50 (1" ทองเหลือง 220v.)</v>
          </cell>
          <cell r="D33">
            <v>300</v>
          </cell>
        </row>
        <row r="34">
          <cell r="B34" t="str">
            <v>AJ0001-1</v>
          </cell>
          <cell r="C34" t="str">
            <v>ปั๊มน้ำ EuroFlow, WM50 (1" ทองเหลือง 220v.)</v>
          </cell>
          <cell r="D34">
            <v>100</v>
          </cell>
        </row>
        <row r="35">
          <cell r="B35" t="str">
            <v>AJ0002</v>
          </cell>
          <cell r="C35" t="str">
            <v>ปั๊มน้ำ VENZ, VM50 (1" ไฟเบอร์ 220v.)</v>
          </cell>
          <cell r="D35">
            <v>100</v>
          </cell>
        </row>
        <row r="36">
          <cell r="B36" t="str">
            <v>AJ0005</v>
          </cell>
          <cell r="C36" t="str">
            <v>ปั๊มน้ำ VENZ, VM100 (1" ทองเหลือง 220v.)</v>
          </cell>
          <cell r="D36">
            <v>600</v>
          </cell>
        </row>
        <row r="37">
          <cell r="B37" t="str">
            <v>AJ0005-1</v>
          </cell>
          <cell r="C37" t="str">
            <v>ปั๊มน้ำ EuroFlow, WM100 (1" ทองเหลือง 220v.)</v>
          </cell>
          <cell r="D37">
            <v>200</v>
          </cell>
        </row>
        <row r="38">
          <cell r="B38" t="str">
            <v>AJ0076</v>
          </cell>
          <cell r="C38" t="str">
            <v>ปั๊มน้ำ VENZ, VM100 (1" ไฟเบอร์ 220v.)</v>
          </cell>
          <cell r="D38">
            <v>100</v>
          </cell>
        </row>
        <row r="39">
          <cell r="B39" t="str">
            <v>AJ0034</v>
          </cell>
          <cell r="C39" t="str">
            <v>ปั๊มน้ำ VENZ, VC150 (220v.)</v>
          </cell>
          <cell r="D39">
            <v>100</v>
          </cell>
        </row>
        <row r="40">
          <cell r="B40" t="str">
            <v>AJ0135</v>
          </cell>
          <cell r="C40" t="str">
            <v>ปั๊มน้ำ VENZ, VC200 Plus (2HP 2P 220V.)</v>
          </cell>
          <cell r="D40">
            <v>800</v>
          </cell>
        </row>
        <row r="41">
          <cell r="B41" t="str">
            <v>AJ0135-1</v>
          </cell>
          <cell r="C41" t="str">
            <v>ปั๊มน้ำ EuroFlow, WC200 Plus (2HP 2P 220V.)</v>
          </cell>
          <cell r="D41">
            <v>200</v>
          </cell>
        </row>
        <row r="42">
          <cell r="B42" t="str">
            <v>AJ0035</v>
          </cell>
          <cell r="C42" t="str">
            <v>ปั๊มน้ำ VENZ, VC300 (2" 3HP 220v.)</v>
          </cell>
          <cell r="D42">
            <v>100</v>
          </cell>
        </row>
        <row r="43">
          <cell r="B43" t="str">
            <v>AJ0035-1</v>
          </cell>
          <cell r="C43" t="str">
            <v>ปั๊มน้ำ EuroFlow, WC300 (2" 3HP 220v.)</v>
          </cell>
          <cell r="D43">
            <v>50</v>
          </cell>
        </row>
        <row r="44">
          <cell r="B44" t="str">
            <v>AJ0011</v>
          </cell>
          <cell r="C44" t="str">
            <v>ปั๊มน้ำ VENZ, VS100 (2" 1HP 220v.)</v>
          </cell>
          <cell r="D44">
            <v>30</v>
          </cell>
        </row>
        <row r="45">
          <cell r="B45" t="str">
            <v>AJ0015</v>
          </cell>
          <cell r="C45" t="str">
            <v>ปั๊มน้ำ VENZ, VS200/3 220v.</v>
          </cell>
          <cell r="D45">
            <v>30</v>
          </cell>
        </row>
        <row r="46">
          <cell r="B46" t="str">
            <v>AJ0015-1</v>
          </cell>
          <cell r="C46" t="str">
            <v>ปั๊มน้ำ EuroFlow, WS200/3 220v.</v>
          </cell>
          <cell r="D46">
            <v>20</v>
          </cell>
        </row>
        <row r="47">
          <cell r="B47" t="str">
            <v>AJ0017</v>
          </cell>
          <cell r="C47" t="str">
            <v>ปั๊มน้ำ VENZ, VS300/3 220v.</v>
          </cell>
          <cell r="D47">
            <v>60</v>
          </cell>
        </row>
        <row r="48">
          <cell r="B48" t="str">
            <v>AJ0017-1</v>
          </cell>
          <cell r="C48" t="str">
            <v>ปั๊มน้ำ EuroFlow, WS300/3 220v.</v>
          </cell>
          <cell r="D48">
            <v>30</v>
          </cell>
        </row>
        <row r="49">
          <cell r="B49" t="str">
            <v>AJ0114</v>
          </cell>
          <cell r="C49" t="str">
            <v>ปั๊มน้ำ VENZ, VS550/4 (5.5HP 2P 220V.)</v>
          </cell>
          <cell r="D49">
            <v>20</v>
          </cell>
        </row>
        <row r="50">
          <cell r="B50" t="str">
            <v>AJ0019</v>
          </cell>
          <cell r="C50" t="str">
            <v>ปั๊มน้ำ EP-2 2" 2HP 2 สาย</v>
          </cell>
          <cell r="D50">
            <v>50</v>
          </cell>
        </row>
        <row r="51">
          <cell r="B51" t="str">
            <v>AJ0020</v>
          </cell>
          <cell r="C51" t="str">
            <v>ปั๊มน้ำ EP-3 3" 3HP 2 สาย</v>
          </cell>
          <cell r="D51">
            <v>50</v>
          </cell>
        </row>
        <row r="52">
          <cell r="B52" t="str">
            <v>AJ0042</v>
          </cell>
          <cell r="C52" t="str">
            <v>ปั๊มน้ำ VENZ, VX200 (2" 2HP 220v.)</v>
          </cell>
          <cell r="D52">
            <v>50</v>
          </cell>
        </row>
        <row r="53">
          <cell r="B53" t="str">
            <v>AJ0009</v>
          </cell>
          <cell r="C53" t="str">
            <v>ปั๊มน้ำ VENZ, VR100 (1.5" 1HP 220v.)</v>
          </cell>
          <cell r="D53">
            <v>150</v>
          </cell>
        </row>
        <row r="54">
          <cell r="B54" t="str">
            <v>AJ0009-1</v>
          </cell>
          <cell r="C54" t="str">
            <v>ปั๊มน้ำ EuroFlow, WR100 (1.5" 1HP 220v.)</v>
          </cell>
          <cell r="D54">
            <v>100</v>
          </cell>
        </row>
        <row r="55">
          <cell r="B55" t="str">
            <v>AJ0023</v>
          </cell>
          <cell r="C55" t="str">
            <v>ปั๊มน้ำ VENZ, VB100 (1" 1HP 220v.)</v>
          </cell>
          <cell r="D55">
            <v>100</v>
          </cell>
        </row>
        <row r="56">
          <cell r="B56" t="str">
            <v>AJ0023-1</v>
          </cell>
          <cell r="C56" t="str">
            <v>ปั๊มน้ำ EuroFlow, WB100 (1" 1HP 220v.)</v>
          </cell>
          <cell r="D56">
            <v>50</v>
          </cell>
        </row>
        <row r="57">
          <cell r="B57" t="str">
            <v>AJ0078</v>
          </cell>
          <cell r="C57" t="str">
            <v>ปั๊มน้ำ VENZ, VB200 (2" 2HP 220v.)</v>
          </cell>
          <cell r="D57">
            <v>100</v>
          </cell>
        </row>
        <row r="58">
          <cell r="B58" t="str">
            <v>AJ0078-1</v>
          </cell>
          <cell r="C58" t="str">
            <v>ปั๊มน้ำ EuroFlow, WB200 (2" 2HP 220v.)</v>
          </cell>
          <cell r="D58">
            <v>20</v>
          </cell>
        </row>
        <row r="59">
          <cell r="B59" t="str">
            <v>AJ0059</v>
          </cell>
          <cell r="C59" t="str">
            <v>ปั๊มน้ำ VENZ, VB300 (2" 3HP 220v.)</v>
          </cell>
          <cell r="D59">
            <v>60</v>
          </cell>
        </row>
        <row r="60">
          <cell r="B60" t="str">
            <v>AJ0059-1</v>
          </cell>
          <cell r="C60" t="str">
            <v>ปั๊มน้ำ EuroFlow, WB300 (2" 3HP 220v.)</v>
          </cell>
          <cell r="D60">
            <v>20</v>
          </cell>
        </row>
        <row r="61">
          <cell r="B61" t="str">
            <v>AJ0100</v>
          </cell>
          <cell r="C61" t="str">
            <v>ปั๊มน้ำ VENZ, VBJ150 220v.</v>
          </cell>
          <cell r="D61">
            <v>10</v>
          </cell>
        </row>
        <row r="62">
          <cell r="B62" t="str">
            <v>AJ0102</v>
          </cell>
          <cell r="C62" t="str">
            <v>ปั๊มน้ำ VENZ, VBJ200 220v.</v>
          </cell>
          <cell r="D62">
            <v>20</v>
          </cell>
        </row>
        <row r="63">
          <cell r="B63" t="str">
            <v>AJ0050</v>
          </cell>
          <cell r="C63" t="str">
            <v>ปั๊มน้ำ VENZ, VA100 (220v.)</v>
          </cell>
          <cell r="D63">
            <v>40</v>
          </cell>
        </row>
        <row r="64">
          <cell r="B64" t="str">
            <v>AJ0050-1</v>
          </cell>
          <cell r="C64" t="str">
            <v>ปั๊มน้ำ EuroFlow, WA100 (220v.)</v>
          </cell>
          <cell r="D64">
            <v>10</v>
          </cell>
        </row>
        <row r="65">
          <cell r="B65" t="str">
            <v>AJ0063</v>
          </cell>
          <cell r="C65" t="str">
            <v>ปั๊มน้ำ VENZ, VCB-400 220v.</v>
          </cell>
          <cell r="D65">
            <v>5</v>
          </cell>
        </row>
        <row r="66">
          <cell r="B66" t="str">
            <v>AJ0057</v>
          </cell>
          <cell r="C66" t="str">
            <v>ปั๊มน้ำ VENZ, VCB-550 220v.</v>
          </cell>
          <cell r="D66">
            <v>15</v>
          </cell>
        </row>
        <row r="67">
          <cell r="B67" t="str">
            <v>AJ0037</v>
          </cell>
          <cell r="C67" t="str">
            <v>ปั๊มน้ำ VENZ, VM32-160C 220v.</v>
          </cell>
          <cell r="D67">
            <v>30</v>
          </cell>
        </row>
        <row r="68">
          <cell r="B68" t="str">
            <v>AJ0037-1</v>
          </cell>
          <cell r="C68" t="str">
            <v>ปั๊มน้ำ EuroFlow, WM32-160C 220v.</v>
          </cell>
          <cell r="D68">
            <v>10</v>
          </cell>
        </row>
        <row r="69">
          <cell r="B69" t="str">
            <v>AJ0028</v>
          </cell>
          <cell r="C69" t="str">
            <v>ปั๊มน้ำ VENZ, VM32-160B 220v.</v>
          </cell>
          <cell r="D69">
            <v>200</v>
          </cell>
        </row>
        <row r="70">
          <cell r="B70" t="str">
            <v>AJ0028-1</v>
          </cell>
          <cell r="C70" t="str">
            <v>ปั๊มน้ำ EuroFlow, WM32-160B 220v.</v>
          </cell>
          <cell r="D70">
            <v>50</v>
          </cell>
        </row>
        <row r="71">
          <cell r="B71" t="str">
            <v>AJ2063</v>
          </cell>
          <cell r="C71" t="str">
            <v>ปั๊มน้ำ VENZ, VM32-200C (5.5HP 220v.) 2"x2"</v>
          </cell>
          <cell r="D71">
            <v>20</v>
          </cell>
        </row>
        <row r="72">
          <cell r="B72" t="str">
            <v>AJ0043</v>
          </cell>
          <cell r="C72" t="str">
            <v>ปั๊มน้ำ VENZ, VM40-160A 220v.</v>
          </cell>
          <cell r="D72">
            <v>20</v>
          </cell>
        </row>
        <row r="73">
          <cell r="B73" t="str">
            <v>AJ0043-1</v>
          </cell>
          <cell r="C73" t="str">
            <v>ปั๊มน้ำ EuroFlow, WM40-160A 220v.</v>
          </cell>
          <cell r="D73">
            <v>10</v>
          </cell>
        </row>
        <row r="74">
          <cell r="B74" t="str">
            <v>AJ0108</v>
          </cell>
          <cell r="C74" t="str">
            <v>ปั๊มน้ำ VENZ, VSF300/3 (3HP 2P 220V.)</v>
          </cell>
          <cell r="D74">
            <v>30</v>
          </cell>
        </row>
        <row r="75">
          <cell r="B75" t="str">
            <v>AJ0110</v>
          </cell>
          <cell r="C75" t="str">
            <v>ปั๊มน้ำ EuroFlow, WSF300/3 (3HP 2P 220v.)</v>
          </cell>
          <cell r="D75">
            <v>20</v>
          </cell>
        </row>
        <row r="76">
          <cell r="B76" t="str">
            <v>AJ0003</v>
          </cell>
          <cell r="C76" t="str">
            <v>ปั๊มน้ำ VENZ, VM50 (1" ทองเหลือง 380v.)</v>
          </cell>
          <cell r="D76">
            <v>30</v>
          </cell>
        </row>
        <row r="77">
          <cell r="B77" t="str">
            <v>AJ0006</v>
          </cell>
          <cell r="C77" t="str">
            <v>ปั๊มน้ำ VENZ, VM100 (1" ทองเหลือง 380v.)</v>
          </cell>
          <cell r="D77">
            <v>100</v>
          </cell>
        </row>
        <row r="78">
          <cell r="B78" t="str">
            <v>AJ0006-1</v>
          </cell>
          <cell r="C78" t="str">
            <v>ปั๊มน้ำ EuroFlow, WM100 (1" ทองเหลือง 380v.)</v>
          </cell>
          <cell r="D78">
            <v>30</v>
          </cell>
        </row>
        <row r="79">
          <cell r="B79" t="str">
            <v>AJ0052</v>
          </cell>
          <cell r="C79" t="str">
            <v>ปั๊มน้ำ VENZ, VM150 (380v.)</v>
          </cell>
          <cell r="D79">
            <v>10</v>
          </cell>
        </row>
        <row r="80">
          <cell r="B80" t="str">
            <v>AJ0038</v>
          </cell>
          <cell r="C80" t="str">
            <v>ปั๊มน้ำ VENZ, VC150 (380v.)</v>
          </cell>
          <cell r="D80">
            <v>60</v>
          </cell>
        </row>
        <row r="81">
          <cell r="B81" t="str">
            <v>AJ0038-1</v>
          </cell>
          <cell r="C81" t="str">
            <v>ปั๊มน้ำ EuroFlow, WC150 (380v.)</v>
          </cell>
          <cell r="D81">
            <v>10</v>
          </cell>
        </row>
        <row r="82">
          <cell r="B82" t="str">
            <v>AJ0136</v>
          </cell>
          <cell r="C82" t="str">
            <v>ปั๊มน้ำ VENZ, VC200 Plus (2HP 2P 380V.)</v>
          </cell>
          <cell r="D82">
            <v>200</v>
          </cell>
        </row>
        <row r="83">
          <cell r="B83" t="str">
            <v>AJ0136-1</v>
          </cell>
          <cell r="C83" t="str">
            <v>ปั๊มน้ำ EuroFlow, WC200 Plus (2HP 2P 380V.)</v>
          </cell>
          <cell r="D83">
            <v>40</v>
          </cell>
        </row>
        <row r="84">
          <cell r="B84" t="str">
            <v>AJ0036</v>
          </cell>
          <cell r="C84" t="str">
            <v>ปั๊มน้ำ VENZ, VC300 (2" 3HP 380v.)</v>
          </cell>
          <cell r="D84">
            <v>100</v>
          </cell>
        </row>
        <row r="85">
          <cell r="B85" t="str">
            <v>AJ0036-1</v>
          </cell>
          <cell r="C85" t="str">
            <v>ปั๊มน้ำ EuroFlow, WC300 (2" 3HP 380v.)</v>
          </cell>
          <cell r="D85">
            <v>20</v>
          </cell>
        </row>
        <row r="86">
          <cell r="B86" t="str">
            <v>AJ0012</v>
          </cell>
          <cell r="C86" t="str">
            <v>ปั๊มน้ำ VENZ, VS100 (2" 1HP 380v.)</v>
          </cell>
          <cell r="D86">
            <v>60</v>
          </cell>
        </row>
        <row r="87">
          <cell r="B87" t="str">
            <v>AJ0014</v>
          </cell>
          <cell r="C87" t="str">
            <v>ปั๊มน้ำ VENZ, VS200/2 380v.</v>
          </cell>
          <cell r="D87">
            <v>30</v>
          </cell>
        </row>
        <row r="88">
          <cell r="B88" t="str">
            <v>AJ0016</v>
          </cell>
          <cell r="C88" t="str">
            <v>ปั๊มน้ำ VENZ, VS200/3 380v.</v>
          </cell>
          <cell r="D88">
            <v>10</v>
          </cell>
        </row>
        <row r="89">
          <cell r="B89" t="str">
            <v>AJ0018</v>
          </cell>
          <cell r="C89" t="str">
            <v>ปั๊มน้ำ VENZ, VS300/3 380v.</v>
          </cell>
          <cell r="D89">
            <v>40</v>
          </cell>
        </row>
        <row r="90">
          <cell r="B90" t="str">
            <v>AJ0115</v>
          </cell>
          <cell r="C90" t="str">
            <v>ปั๊มน้ำ VENZ, VS550/4 (5.5HP 2P 380V.)</v>
          </cell>
          <cell r="D90">
            <v>20</v>
          </cell>
        </row>
        <row r="91">
          <cell r="B91" t="str">
            <v>AJ0021</v>
          </cell>
          <cell r="C91" t="str">
            <v>ปั๊มน้ำ EP-2 2" 2HP 3 สาย</v>
          </cell>
          <cell r="D91">
            <v>50</v>
          </cell>
        </row>
        <row r="92">
          <cell r="B92" t="str">
            <v>AJ0047</v>
          </cell>
          <cell r="C92" t="str">
            <v>ปั๊มน้ำ VENZ, VX200 (2" 2HP 380v.)</v>
          </cell>
          <cell r="D92">
            <v>20</v>
          </cell>
        </row>
        <row r="93">
          <cell r="B93" t="str">
            <v>AJ0010</v>
          </cell>
          <cell r="C93" t="str">
            <v>ปั๊มน้ำ VENZ, VR100 (1.5" 1HP 380v.)</v>
          </cell>
          <cell r="D93">
            <v>100</v>
          </cell>
        </row>
        <row r="94">
          <cell r="B94" t="str">
            <v>AJ0010-1</v>
          </cell>
          <cell r="C94" t="str">
            <v>ปั๊มน้ำ EuroFlow, WR100 (1.5" 1HP 380v.)</v>
          </cell>
          <cell r="D94">
            <v>30</v>
          </cell>
        </row>
        <row r="95">
          <cell r="B95" t="str">
            <v>AJ0079</v>
          </cell>
          <cell r="C95" t="str">
            <v>ปั๊มน้ำ VENZ, VB200 (2" 2HP 380v.)</v>
          </cell>
          <cell r="D95">
            <v>20</v>
          </cell>
        </row>
        <row r="96">
          <cell r="B96" t="str">
            <v>AJ0061</v>
          </cell>
          <cell r="C96" t="str">
            <v>ปั๊มน้ำ VENZ, VB300 (2" 3HP 380v.)</v>
          </cell>
          <cell r="D96">
            <v>20</v>
          </cell>
        </row>
        <row r="97">
          <cell r="B97" t="str">
            <v>AJ0061-1</v>
          </cell>
          <cell r="C97" t="str">
            <v>ปั๊มน้ำ EuroFlow, WB300 (2" 3HP 380v.)</v>
          </cell>
          <cell r="D97">
            <v>10</v>
          </cell>
        </row>
        <row r="98">
          <cell r="B98" t="str">
            <v>AJ0055</v>
          </cell>
          <cell r="C98" t="str">
            <v>ปั๊มน้ำ VENZ, VCB-550T 380v.</v>
          </cell>
          <cell r="D98">
            <v>20</v>
          </cell>
        </row>
        <row r="99">
          <cell r="B99" t="str">
            <v>AJ0049</v>
          </cell>
          <cell r="C99" t="str">
            <v>ปั๊มน้ำ VENZ, VM32-160C 380v.</v>
          </cell>
          <cell r="D99">
            <v>20</v>
          </cell>
        </row>
        <row r="100">
          <cell r="B100" t="str">
            <v>AJ0029</v>
          </cell>
          <cell r="C100" t="str">
            <v>ปั๊มน้ำ VENZ, VM32-160B 380v.</v>
          </cell>
          <cell r="D100">
            <v>60</v>
          </cell>
        </row>
        <row r="101">
          <cell r="B101" t="str">
            <v>AJ0029-1</v>
          </cell>
          <cell r="C101" t="str">
            <v>ปั๊มน้ำ EuroFlow, WM32-160B 380v.</v>
          </cell>
          <cell r="D101">
            <v>30</v>
          </cell>
        </row>
        <row r="102">
          <cell r="B102" t="str">
            <v>AJ0099</v>
          </cell>
          <cell r="C102" t="str">
            <v>ปั๊มน้ำ VENZ, VM32-200C 380v.</v>
          </cell>
          <cell r="D102">
            <v>20</v>
          </cell>
        </row>
        <row r="103">
          <cell r="B103" t="str">
            <v>AJ0128</v>
          </cell>
          <cell r="C103" t="str">
            <v>ปั๊มน้ำ VENZ, VM32-200A (10HP 2P 380v.)</v>
          </cell>
          <cell r="D103">
            <v>10</v>
          </cell>
        </row>
        <row r="104">
          <cell r="B104" t="str">
            <v>AJ0058</v>
          </cell>
          <cell r="C104" t="str">
            <v>ปั๊มน้ำ VENZ, VM40-160B 380v.</v>
          </cell>
          <cell r="D104">
            <v>20</v>
          </cell>
        </row>
        <row r="105">
          <cell r="B105" t="str">
            <v>AJ0056</v>
          </cell>
          <cell r="C105" t="str">
            <v>ปั๊มน้ำ VENZ, VM40-160A 380v.</v>
          </cell>
          <cell r="D105">
            <v>50</v>
          </cell>
        </row>
        <row r="106">
          <cell r="B106" t="str">
            <v>AJ0056-1</v>
          </cell>
          <cell r="C106" t="str">
            <v>ปั๊มน้ำ EuroFlow, WM40-160A 380v.</v>
          </cell>
          <cell r="D106">
            <v>20</v>
          </cell>
        </row>
        <row r="107">
          <cell r="B107" t="str">
            <v>AJ0091</v>
          </cell>
          <cell r="C107" t="str">
            <v>ปั๊มน้ำ VENZ, VM40-200B 380v.</v>
          </cell>
          <cell r="D107">
            <v>10</v>
          </cell>
        </row>
        <row r="108">
          <cell r="B108" t="str">
            <v>AJ0089</v>
          </cell>
          <cell r="C108" t="str">
            <v>ปั๊มน้ำ VENZ, VM40-200A 380V.</v>
          </cell>
          <cell r="D108">
            <v>10</v>
          </cell>
        </row>
        <row r="109">
          <cell r="B109" t="str">
            <v>AJ0113</v>
          </cell>
          <cell r="C109" t="str">
            <v>ปั๊มน้ำ VENZ, VM40-250B 380v.</v>
          </cell>
          <cell r="D109">
            <v>5</v>
          </cell>
        </row>
        <row r="110">
          <cell r="B110" t="str">
            <v>AJ0066</v>
          </cell>
          <cell r="C110" t="str">
            <v>ปั๊มน้ำ VENZ, VM50-125B 380v.</v>
          </cell>
          <cell r="D110">
            <v>10</v>
          </cell>
        </row>
        <row r="111">
          <cell r="B111" t="str">
            <v>AJ0069</v>
          </cell>
          <cell r="C111" t="str">
            <v>ปั๊มน้ำ VENZ, VM50-125A 380v.</v>
          </cell>
          <cell r="D111">
            <v>25</v>
          </cell>
        </row>
        <row r="112">
          <cell r="B112" t="str">
            <v>AJ0069-1</v>
          </cell>
          <cell r="C112" t="str">
            <v>ปั๊มน้ำ EuroFlow, WM50-125A 380v.</v>
          </cell>
          <cell r="D112">
            <v>10</v>
          </cell>
        </row>
        <row r="113">
          <cell r="B113" t="str">
            <v>AJ0092</v>
          </cell>
          <cell r="C113" t="str">
            <v>ปั๊มน้ำ VENZ, VM50-160B 380v.</v>
          </cell>
          <cell r="D113">
            <v>10</v>
          </cell>
        </row>
        <row r="114">
          <cell r="B114" t="str">
            <v>AJ0092-2</v>
          </cell>
          <cell r="C114" t="str">
            <v>ปั๊มน้ำ EuroFlow, WM50-160B 380v.</v>
          </cell>
          <cell r="D114">
            <v>5</v>
          </cell>
        </row>
        <row r="115">
          <cell r="B115" t="str">
            <v>AJ0093</v>
          </cell>
          <cell r="C115" t="str">
            <v>ปั๊มน้ำ VENZ, VM50-160A 380v.</v>
          </cell>
          <cell r="D115">
            <v>10</v>
          </cell>
        </row>
        <row r="116">
          <cell r="B116" t="str">
            <v>AJ0080</v>
          </cell>
          <cell r="C116" t="str">
            <v>ปั๊มน้ำ VENZ, VM65-125B 380v.</v>
          </cell>
          <cell r="D116">
            <v>5</v>
          </cell>
        </row>
        <row r="117">
          <cell r="B117" t="str">
            <v>AJ0081</v>
          </cell>
          <cell r="C117" t="str">
            <v>ปั๊มน้ำ VENZ, VM65-125A 380v.</v>
          </cell>
          <cell r="D117">
            <v>10</v>
          </cell>
        </row>
        <row r="118">
          <cell r="B118" t="str">
            <v>AJ0112</v>
          </cell>
          <cell r="C118" t="str">
            <v>ปั๊มน้ำ VENZ, VM65-160B (15HP 2P 380V.)</v>
          </cell>
          <cell r="D118">
            <v>5</v>
          </cell>
        </row>
        <row r="119">
          <cell r="B119" t="str">
            <v>AJ0097</v>
          </cell>
          <cell r="C119" t="str">
            <v>ปั๊มน้ำ VENZ, VM80-160D 380v.</v>
          </cell>
          <cell r="D119">
            <v>10</v>
          </cell>
        </row>
        <row r="120">
          <cell r="B120" t="str">
            <v>AJ0087</v>
          </cell>
          <cell r="C120" t="str">
            <v>ปั๊มน้ำ VENZ, VMS32-160B 380v.(หัวสแตนเลส)</v>
          </cell>
          <cell r="D120">
            <v>10</v>
          </cell>
        </row>
        <row r="121">
          <cell r="B121" t="str">
            <v>AJ0109</v>
          </cell>
          <cell r="C121" t="str">
            <v>ปั๊มน้ำ VENZ, VSF300/3 (3HP 2P 380V.)</v>
          </cell>
          <cell r="D121">
            <v>10</v>
          </cell>
        </row>
        <row r="122">
          <cell r="B122" t="str">
            <v>BA0008</v>
          </cell>
          <cell r="C122" t="str">
            <v>เป่าเตา SB-20 2 สาย</v>
          </cell>
          <cell r="D122">
            <v>50</v>
          </cell>
        </row>
        <row r="123">
          <cell r="B123" t="str">
            <v>BA0011</v>
          </cell>
          <cell r="C123" t="str">
            <v>เป่าเตา SB-25 ปาก 2 1/2" 2สาย</v>
          </cell>
          <cell r="D123">
            <v>100</v>
          </cell>
        </row>
        <row r="124">
          <cell r="B124" t="str">
            <v>BA0015</v>
          </cell>
          <cell r="C124" t="str">
            <v>เป่าเตา SB-30 A 2สาย</v>
          </cell>
          <cell r="D124">
            <v>50</v>
          </cell>
        </row>
        <row r="125">
          <cell r="B125" t="str">
            <v>BA0017</v>
          </cell>
          <cell r="C125" t="str">
            <v>เป่าเตา SB-30 B 2สาย</v>
          </cell>
          <cell r="D125">
            <v>50</v>
          </cell>
        </row>
        <row r="126">
          <cell r="B126" t="str">
            <v>BA0180</v>
          </cell>
          <cell r="C126" t="str">
            <v>โบล์เวอร์ SIROCCO เล็ก ซ้าย 2สาย</v>
          </cell>
          <cell r="D126">
            <v>30</v>
          </cell>
        </row>
        <row r="127">
          <cell r="B127" t="str">
            <v>BA0181</v>
          </cell>
          <cell r="C127" t="str">
            <v>โบล์เวอร์ SIROCCO เล็ก ขวา 2สาย</v>
          </cell>
          <cell r="D127">
            <v>50</v>
          </cell>
        </row>
        <row r="128">
          <cell r="B128" t="str">
            <v>BA0184</v>
          </cell>
          <cell r="C128" t="str">
            <v>โบล์เวอร์ SIROCCO ใหญ่ ซ้าย 2สาย</v>
          </cell>
          <cell r="D128">
            <v>50</v>
          </cell>
        </row>
        <row r="129">
          <cell r="B129" t="str">
            <v>BA0185</v>
          </cell>
          <cell r="C129" t="str">
            <v>โบล์เวอร์ SIROCCO ใหญ่ ขวา 2สาย</v>
          </cell>
          <cell r="D129">
            <v>30</v>
          </cell>
        </row>
        <row r="130">
          <cell r="B130" t="str">
            <v>AA3092</v>
          </cell>
          <cell r="C130" t="str">
            <v>มอเตอร์ 1/2 HP มีขา 220 V AL</v>
          </cell>
          <cell r="D130">
            <v>50</v>
          </cell>
        </row>
        <row r="131">
          <cell r="B131" t="str">
            <v>AA3090</v>
          </cell>
          <cell r="C131" t="str">
            <v>มอเตอร์ 1/2 HP มีขา 380 V AL</v>
          </cell>
          <cell r="D131">
            <v>100</v>
          </cell>
        </row>
        <row r="132">
          <cell r="B132" t="str">
            <v>AA2153</v>
          </cell>
          <cell r="C132" t="str">
            <v>มอเตอร์ 3/4 HP มีขา 220 V AL</v>
          </cell>
          <cell r="D132">
            <v>50</v>
          </cell>
        </row>
        <row r="133">
          <cell r="B133" t="str">
            <v>AA2152</v>
          </cell>
          <cell r="C133" t="str">
            <v>มอเตอร์ 3/4 HP มีขา 380 V AL</v>
          </cell>
          <cell r="D133">
            <v>100</v>
          </cell>
        </row>
        <row r="134">
          <cell r="B134" t="str">
            <v>AA3058</v>
          </cell>
          <cell r="C134" t="str">
            <v>มอเตอร์  1  HP  มีขา 380 V AL</v>
          </cell>
          <cell r="D134">
            <v>150</v>
          </cell>
        </row>
        <row r="135">
          <cell r="B135" t="str">
            <v>AA3079</v>
          </cell>
          <cell r="C135" t="str">
            <v>มอเตอร์ 1.5 HP  มีขา380 V AL</v>
          </cell>
          <cell r="D135">
            <v>150</v>
          </cell>
        </row>
        <row r="136">
          <cell r="B136" t="str">
            <v>AA2129</v>
          </cell>
          <cell r="C136" t="str">
            <v>Venz SC-R 1HP ALU คอนคู่</v>
          </cell>
          <cell r="D136">
            <v>10</v>
          </cell>
        </row>
        <row r="137">
          <cell r="B137" t="str">
            <v>AA9401</v>
          </cell>
          <cell r="C137" t="str">
            <v>Venz SC-R 1.5 HP ALU คอนคู่</v>
          </cell>
          <cell r="D137">
            <v>10</v>
          </cell>
        </row>
        <row r="138">
          <cell r="B138" t="str">
            <v>AA9342</v>
          </cell>
          <cell r="C138" t="str">
            <v>Venz SC 144 (80 watt) 220V</v>
          </cell>
          <cell r="D138">
            <v>30</v>
          </cell>
        </row>
        <row r="139">
          <cell r="B139" t="str">
            <v>AA9343</v>
          </cell>
          <cell r="C139" t="str">
            <v>Venz SC 154 (120 watt) 220V</v>
          </cell>
          <cell r="D139">
            <v>30</v>
          </cell>
        </row>
        <row r="140">
          <cell r="B140" t="str">
            <v>AA1003-4</v>
          </cell>
          <cell r="C140" t="str">
            <v>Venz CRH 1/3 HP (4P FOOT FR.71 220V)</v>
          </cell>
          <cell r="D140">
            <v>100</v>
          </cell>
        </row>
        <row r="141">
          <cell r="B141" t="str">
            <v>AA1004-2</v>
          </cell>
          <cell r="C141" t="str">
            <v>Venz CRH 1/2 HP (4P FR.71 240v.)</v>
          </cell>
          <cell r="D141">
            <v>100</v>
          </cell>
        </row>
        <row r="142">
          <cell r="B142" t="str">
            <v>AA3021</v>
          </cell>
          <cell r="C142" t="str">
            <v>Venz 1 HP (2P FOOT CI 220/380v.)</v>
          </cell>
          <cell r="D142">
            <v>50</v>
          </cell>
        </row>
        <row r="143">
          <cell r="B143" t="str">
            <v>AA3029</v>
          </cell>
          <cell r="C143" t="str">
            <v>Venz 2 HP (2P FOOT CI 220/380v.)</v>
          </cell>
          <cell r="D143">
            <v>30</v>
          </cell>
        </row>
        <row r="144">
          <cell r="B144" t="str">
            <v>AA9001</v>
          </cell>
          <cell r="C144" t="str">
            <v>SC-R1/2HP 4P 220V FT AL (ท่าไม้)</v>
          </cell>
          <cell r="D144">
            <v>5</v>
          </cell>
        </row>
        <row r="145">
          <cell r="B145" t="str">
            <v>AA1001</v>
          </cell>
          <cell r="C145" t="str">
            <v>CR 1/8 HP (4P 220V)</v>
          </cell>
          <cell r="D145">
            <v>600</v>
          </cell>
        </row>
        <row r="146">
          <cell r="B146" t="str">
            <v>AA1001-1</v>
          </cell>
          <cell r="C146" t="str">
            <v>CR 1/8 HP (4P 220V) หมุนซ้าย</v>
          </cell>
          <cell r="D146">
            <v>100</v>
          </cell>
        </row>
        <row r="147">
          <cell r="B147" t="str">
            <v>AA3008</v>
          </cell>
          <cell r="C147" t="str">
            <v>1/4 HP (4P FOOT CI 220/380V) แกน14มิล</v>
          </cell>
          <cell r="D147">
            <v>30</v>
          </cell>
        </row>
        <row r="148">
          <cell r="B148" t="str">
            <v>AA7001</v>
          </cell>
          <cell r="C148" t="str">
            <v>150 WATT (4P 220V) .ใส่พัดลมรุ่น F3A</v>
          </cell>
          <cell r="D148">
            <v>100</v>
          </cell>
        </row>
        <row r="149">
          <cell r="B149" t="str">
            <v>AA7003</v>
          </cell>
          <cell r="C149" t="str">
            <v>200 WATT (4P 220V) .ใส่พัดลมรุ่น F2A</v>
          </cell>
          <cell r="D149">
            <v>200</v>
          </cell>
        </row>
        <row r="150">
          <cell r="B150" t="str">
            <v>AA7028</v>
          </cell>
          <cell r="C150" t="str">
            <v>300 WATT(6P 220V.) F1A (VENZ) ฝาเหล็ก</v>
          </cell>
          <cell r="D150">
            <v>1100</v>
          </cell>
        </row>
        <row r="151">
          <cell r="B151" t="str">
            <v>AA7029</v>
          </cell>
          <cell r="C151" t="str">
            <v>300 WATT(6P 220V.) F1C (VENZ) ฝาเหล็ก</v>
          </cell>
          <cell r="D151">
            <v>500</v>
          </cell>
        </row>
        <row r="152">
          <cell r="B152" t="str">
            <v>AA7030</v>
          </cell>
          <cell r="C152" t="str">
            <v>300 WATT(6P 220V) F1A  Knock down</v>
          </cell>
          <cell r="D152">
            <v>300</v>
          </cell>
        </row>
        <row r="153">
          <cell r="B153" t="str">
            <v>AA9203</v>
          </cell>
          <cell r="C153" t="str">
            <v>1/2 HP (2P FLANGE 220V.) MB-5</v>
          </cell>
          <cell r="D153">
            <v>20</v>
          </cell>
        </row>
        <row r="154">
          <cell r="B154" t="str">
            <v>AA9206</v>
          </cell>
          <cell r="C154" t="str">
            <v>1 HP (2 P FLANGE 220V.) HSB-30</v>
          </cell>
          <cell r="D154">
            <v>30</v>
          </cell>
        </row>
        <row r="155">
          <cell r="B155" t="str">
            <v>AA9208</v>
          </cell>
          <cell r="C155" t="str">
            <v>2 HP (2P FLANGE 220V.) HSB-40</v>
          </cell>
          <cell r="D155">
            <v>20</v>
          </cell>
        </row>
        <row r="156">
          <cell r="B156" t="str">
            <v>AA9220</v>
          </cell>
          <cell r="C156" t="str">
            <v>CR 1/4 HP (220V.) VENZ</v>
          </cell>
          <cell r="D156">
            <v>1000</v>
          </cell>
        </row>
        <row r="157">
          <cell r="B157" t="str">
            <v>AA9221-1</v>
          </cell>
          <cell r="C157" t="str">
            <v>CR 1/3 HP (220V.) VENZ 36 Slot</v>
          </cell>
          <cell r="D157">
            <v>500</v>
          </cell>
        </row>
        <row r="158">
          <cell r="B158" t="str">
            <v>AA9222-1</v>
          </cell>
          <cell r="C158" t="str">
            <v>CR 1/2 HP (220V.) VENZ 36 Slot สีเทา</v>
          </cell>
          <cell r="D158">
            <v>1000</v>
          </cell>
        </row>
        <row r="159">
          <cell r="B159" t="str">
            <v>AA3016</v>
          </cell>
          <cell r="C159" t="str">
            <v>1/2 HP (4P FOOT CI 220/380V)</v>
          </cell>
          <cell r="D159">
            <v>100</v>
          </cell>
        </row>
        <row r="160">
          <cell r="B160">
            <v>0</v>
          </cell>
          <cell r="C160">
            <v>0</v>
          </cell>
          <cell r="D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24E1-D61C-4538-A2E3-F76AE554BCBB}">
  <sheetPr>
    <tabColor rgb="FFFFC000"/>
    <pageSetUpPr fitToPage="1"/>
  </sheetPr>
  <dimension ref="A1:R35"/>
  <sheetViews>
    <sheetView showGridLines="0" topLeftCell="B3" zoomScale="84" zoomScaleNormal="84" zoomScaleSheetLayoutView="100" workbookViewId="0">
      <selection activeCell="G13" sqref="G13"/>
    </sheetView>
  </sheetViews>
  <sheetFormatPr defaultColWidth="10.33203125" defaultRowHeight="20.399999999999999"/>
  <cols>
    <col min="1" max="1" width="13.109375" style="8" customWidth="1"/>
    <col min="2" max="2" width="55.88671875" style="8" bestFit="1" customWidth="1"/>
    <col min="3" max="11" width="16" style="90" customWidth="1"/>
    <col min="12" max="13" width="16.109375" style="91" customWidth="1"/>
    <col min="14" max="15" width="16.109375" style="90" customWidth="1"/>
    <col min="16" max="16" width="12" style="90" customWidth="1"/>
    <col min="17" max="17" width="10.88671875" style="90" customWidth="1"/>
    <col min="18" max="18" width="1.6640625" style="92" customWidth="1"/>
    <col min="19" max="16384" width="10.33203125" style="8"/>
  </cols>
  <sheetData>
    <row r="1" spans="1:18" s="3" customFormat="1" ht="21.75" customHeight="1" thickBot="1">
      <c r="A1" s="1"/>
      <c r="B1" s="2"/>
      <c r="C1" s="180" t="s">
        <v>3</v>
      </c>
      <c r="D1" s="181"/>
      <c r="E1" s="181"/>
      <c r="F1" s="181"/>
      <c r="G1" s="181"/>
      <c r="H1" s="181"/>
      <c r="I1" s="181"/>
      <c r="J1" s="181"/>
      <c r="K1" s="182"/>
      <c r="L1" s="189" t="s">
        <v>4</v>
      </c>
      <c r="M1" s="190"/>
      <c r="N1" s="189" t="s">
        <v>5</v>
      </c>
      <c r="O1" s="190"/>
      <c r="P1" s="189" t="s">
        <v>6</v>
      </c>
      <c r="Q1" s="191"/>
      <c r="R1" s="190"/>
    </row>
    <row r="2" spans="1:18" s="3" customFormat="1" ht="21.75" customHeight="1">
      <c r="A2" s="4"/>
      <c r="C2" s="183"/>
      <c r="D2" s="184"/>
      <c r="E2" s="184"/>
      <c r="F2" s="184"/>
      <c r="G2" s="184"/>
      <c r="H2" s="184"/>
      <c r="I2" s="184"/>
      <c r="J2" s="184"/>
      <c r="K2" s="185"/>
      <c r="L2" s="192"/>
      <c r="M2" s="193"/>
      <c r="N2" s="192"/>
      <c r="O2" s="193"/>
      <c r="P2" s="192"/>
      <c r="Q2" s="196"/>
      <c r="R2" s="193"/>
    </row>
    <row r="3" spans="1:18" ht="47.4" customHeight="1" thickBot="1">
      <c r="A3" s="5"/>
      <c r="B3" s="6"/>
      <c r="C3" s="186"/>
      <c r="D3" s="187"/>
      <c r="E3" s="187"/>
      <c r="F3" s="187"/>
      <c r="G3" s="187"/>
      <c r="H3" s="187"/>
      <c r="I3" s="187"/>
      <c r="J3" s="187"/>
      <c r="K3" s="188"/>
      <c r="L3" s="194"/>
      <c r="M3" s="195"/>
      <c r="N3" s="194"/>
      <c r="O3" s="195"/>
      <c r="P3" s="194"/>
      <c r="Q3" s="197"/>
      <c r="R3" s="195"/>
    </row>
    <row r="4" spans="1:18" ht="9.9" customHeight="1">
      <c r="A4" s="9"/>
      <c r="B4" s="10"/>
      <c r="C4" s="11"/>
      <c r="D4" s="11"/>
      <c r="E4" s="11"/>
      <c r="F4" s="11"/>
      <c r="G4" s="11"/>
      <c r="H4" s="11"/>
      <c r="I4" s="11"/>
      <c r="J4" s="11"/>
      <c r="K4" s="11"/>
      <c r="L4" s="12"/>
      <c r="M4" s="201"/>
      <c r="N4" s="201"/>
      <c r="O4" s="201"/>
      <c r="P4" s="13"/>
      <c r="Q4" s="13"/>
      <c r="R4" s="14"/>
    </row>
    <row r="5" spans="1:18" s="22" customFormat="1" ht="24.6">
      <c r="A5" s="15" t="s">
        <v>36</v>
      </c>
      <c r="B5" s="16"/>
      <c r="C5" s="17"/>
      <c r="D5" s="18"/>
      <c r="E5" s="16" t="s">
        <v>35</v>
      </c>
      <c r="F5" s="16"/>
      <c r="G5" s="16"/>
      <c r="H5" s="17"/>
      <c r="I5" s="17"/>
      <c r="J5" s="17"/>
      <c r="K5" s="17"/>
      <c r="L5" s="19"/>
      <c r="M5" s="202"/>
      <c r="N5" s="202"/>
      <c r="O5" s="202"/>
      <c r="P5" s="204" t="s">
        <v>46</v>
      </c>
      <c r="Q5" s="204"/>
      <c r="R5" s="21"/>
    </row>
    <row r="6" spans="1:18" ht="9.9" customHeight="1" thickBot="1">
      <c r="A6" s="23"/>
      <c r="B6" s="24"/>
      <c r="C6" s="25"/>
      <c r="D6" s="25"/>
      <c r="E6" s="25"/>
      <c r="F6" s="25"/>
      <c r="G6" s="25"/>
      <c r="H6" s="25"/>
      <c r="I6" s="25"/>
      <c r="J6" s="25"/>
      <c r="K6" s="25"/>
      <c r="L6" s="26"/>
      <c r="M6" s="203"/>
      <c r="N6" s="203"/>
      <c r="O6" s="203"/>
      <c r="P6" s="27"/>
      <c r="Q6" s="27"/>
      <c r="R6" s="7"/>
    </row>
    <row r="7" spans="1:18" s="32" customFormat="1" ht="24.6">
      <c r="A7" s="15" t="s">
        <v>43</v>
      </c>
      <c r="B7" s="94"/>
      <c r="C7" s="29"/>
      <c r="D7" s="30"/>
      <c r="E7" s="30"/>
      <c r="F7" s="30"/>
      <c r="G7" s="29" t="s">
        <v>8</v>
      </c>
      <c r="H7" s="93">
        <v>0.9</v>
      </c>
      <c r="I7" s="28"/>
      <c r="J7" s="28"/>
      <c r="K7" s="28"/>
      <c r="L7" s="31"/>
      <c r="M7" s="31"/>
      <c r="N7" s="28"/>
      <c r="O7" s="29" t="s">
        <v>9</v>
      </c>
      <c r="R7" s="33"/>
    </row>
    <row r="8" spans="1:18" s="38" customFormat="1" ht="23.4">
      <c r="A8" s="205" t="s">
        <v>10</v>
      </c>
      <c r="B8" s="206"/>
      <c r="C8" s="34" t="s">
        <v>11</v>
      </c>
      <c r="D8" s="34" t="s">
        <v>12</v>
      </c>
      <c r="E8" s="34" t="s">
        <v>13</v>
      </c>
      <c r="F8" s="34" t="s">
        <v>14</v>
      </c>
      <c r="G8" s="34" t="s">
        <v>15</v>
      </c>
      <c r="H8" s="34" t="s">
        <v>16</v>
      </c>
      <c r="I8" s="34" t="s">
        <v>17</v>
      </c>
      <c r="J8" s="34" t="s">
        <v>18</v>
      </c>
      <c r="K8" s="34" t="s">
        <v>19</v>
      </c>
      <c r="L8" s="35" t="s">
        <v>20</v>
      </c>
      <c r="M8" s="35" t="s">
        <v>21</v>
      </c>
      <c r="N8" s="36" t="s">
        <v>22</v>
      </c>
      <c r="O8" s="37" t="s">
        <v>0</v>
      </c>
      <c r="P8" s="207" t="s">
        <v>23</v>
      </c>
      <c r="Q8" s="208"/>
      <c r="R8" s="209"/>
    </row>
    <row r="9" spans="1:18" s="22" customFormat="1" ht="29.1" customHeight="1">
      <c r="A9" s="210" t="s">
        <v>1</v>
      </c>
      <c r="B9" s="211"/>
      <c r="C9" s="97">
        <v>531</v>
      </c>
      <c r="D9" s="97">
        <v>797</v>
      </c>
      <c r="E9" s="97">
        <v>712</v>
      </c>
      <c r="F9" s="97">
        <v>322</v>
      </c>
      <c r="G9" s="97">
        <v>422</v>
      </c>
      <c r="H9" s="97">
        <v>258</v>
      </c>
      <c r="I9" s="97"/>
      <c r="J9" s="95"/>
      <c r="K9" s="95"/>
      <c r="L9" s="95"/>
      <c r="M9" s="95"/>
      <c r="N9" s="98"/>
      <c r="O9" s="104">
        <f>SUM(C9:N9)</f>
        <v>3042</v>
      </c>
      <c r="P9" s="212"/>
      <c r="Q9" s="213"/>
      <c r="R9" s="214"/>
    </row>
    <row r="10" spans="1:18" s="22" customFormat="1" ht="29.1" customHeight="1">
      <c r="A10" s="44" t="s">
        <v>2</v>
      </c>
      <c r="B10" s="39"/>
      <c r="C10" s="97">
        <v>495</v>
      </c>
      <c r="D10" s="97">
        <v>718</v>
      </c>
      <c r="E10" s="97">
        <v>643</v>
      </c>
      <c r="F10" s="97">
        <v>298</v>
      </c>
      <c r="G10" s="97">
        <v>409</v>
      </c>
      <c r="H10" s="97">
        <v>248</v>
      </c>
      <c r="I10" s="97"/>
      <c r="J10" s="95"/>
      <c r="K10" s="95"/>
      <c r="L10" s="95"/>
      <c r="M10" s="95"/>
      <c r="N10" s="98"/>
      <c r="O10" s="104">
        <f t="shared" ref="O10" si="0">SUM(C10:N10)</f>
        <v>2811</v>
      </c>
      <c r="P10" s="41"/>
      <c r="Q10" s="42"/>
      <c r="R10" s="43"/>
    </row>
    <row r="11" spans="1:18" s="22" customFormat="1" ht="23.4">
      <c r="A11" s="210" t="s">
        <v>42</v>
      </c>
      <c r="B11" s="211"/>
      <c r="C11" s="97">
        <f>C10*100/C9</f>
        <v>93.220338983050851</v>
      </c>
      <c r="D11" s="97">
        <v>90.087829360100372</v>
      </c>
      <c r="E11" s="97">
        <f>E10*100/E9</f>
        <v>90.30898876404494</v>
      </c>
      <c r="F11" s="97">
        <f t="shared" ref="F11:N11" si="1">F10*100/F9</f>
        <v>92.546583850931682</v>
      </c>
      <c r="G11" s="97">
        <f t="shared" si="1"/>
        <v>96.919431279620852</v>
      </c>
      <c r="H11" s="97">
        <f t="shared" si="1"/>
        <v>96.124031007751938</v>
      </c>
      <c r="I11" s="97" t="e">
        <f t="shared" si="1"/>
        <v>#DIV/0!</v>
      </c>
      <c r="J11" s="97" t="e">
        <f t="shared" si="1"/>
        <v>#DIV/0!</v>
      </c>
      <c r="K11" s="97" t="e">
        <f t="shared" si="1"/>
        <v>#DIV/0!</v>
      </c>
      <c r="L11" s="97" t="e">
        <f t="shared" si="1"/>
        <v>#DIV/0!</v>
      </c>
      <c r="M11" s="97" t="e">
        <f t="shared" si="1"/>
        <v>#DIV/0!</v>
      </c>
      <c r="N11" s="97" t="e">
        <f t="shared" si="1"/>
        <v>#DIV/0!</v>
      </c>
      <c r="O11" s="104">
        <f>O10*100/O9</f>
        <v>92.406311637080861</v>
      </c>
      <c r="P11" s="212"/>
      <c r="Q11" s="213"/>
      <c r="R11" s="214"/>
    </row>
    <row r="12" spans="1:18" s="22" customFormat="1" ht="23.4">
      <c r="A12" s="215"/>
      <c r="B12" s="216"/>
      <c r="C12" s="40"/>
      <c r="D12" s="40"/>
      <c r="E12" s="40"/>
      <c r="F12" s="40"/>
      <c r="G12" s="40"/>
      <c r="H12" s="40"/>
      <c r="I12" s="40"/>
      <c r="J12" s="40"/>
      <c r="K12" s="45"/>
      <c r="L12" s="46"/>
      <c r="M12" s="46"/>
      <c r="N12" s="47"/>
      <c r="O12" s="107"/>
      <c r="P12" s="212"/>
      <c r="Q12" s="213"/>
      <c r="R12" s="214"/>
    </row>
    <row r="13" spans="1:18" s="51" customFormat="1" ht="30" customHeight="1">
      <c r="A13" s="48"/>
      <c r="B13" s="49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105"/>
      <c r="P13" s="212"/>
      <c r="Q13" s="213"/>
      <c r="R13" s="214"/>
    </row>
    <row r="14" spans="1:18" s="54" customFormat="1" ht="23.4">
      <c r="A14" s="52" t="s">
        <v>24</v>
      </c>
      <c r="B14" s="53"/>
      <c r="C14" s="101">
        <v>0.93220000000000003</v>
      </c>
      <c r="D14" s="101">
        <v>0.90090000000000003</v>
      </c>
      <c r="E14" s="101">
        <v>0.90310000000000001</v>
      </c>
      <c r="F14" s="101">
        <v>0.92549999999999999</v>
      </c>
      <c r="G14" s="101">
        <v>0.96919999999999995</v>
      </c>
      <c r="H14" s="101">
        <v>0.96120000000000005</v>
      </c>
      <c r="I14" s="101"/>
      <c r="J14" s="101"/>
      <c r="K14" s="101"/>
      <c r="L14" s="101"/>
      <c r="M14" s="101"/>
      <c r="N14" s="101"/>
      <c r="O14" s="106"/>
      <c r="P14" s="198"/>
      <c r="Q14" s="199"/>
      <c r="R14" s="200"/>
    </row>
    <row r="15" spans="1:18" s="59" customFormat="1" ht="23.4">
      <c r="A15" s="55"/>
      <c r="B15" s="56"/>
      <c r="C15" s="100" t="s">
        <v>44</v>
      </c>
      <c r="D15" s="100" t="s">
        <v>44</v>
      </c>
      <c r="E15" s="100" t="s">
        <v>44</v>
      </c>
      <c r="F15" s="100" t="s">
        <v>44</v>
      </c>
      <c r="G15" s="100" t="s">
        <v>44</v>
      </c>
      <c r="H15" s="100" t="s">
        <v>44</v>
      </c>
      <c r="I15" s="100"/>
      <c r="J15" s="100"/>
      <c r="K15" s="100"/>
      <c r="L15" s="100"/>
      <c r="M15" s="100"/>
      <c r="N15" s="100"/>
      <c r="O15" s="100"/>
      <c r="P15" s="57"/>
      <c r="Q15" s="57"/>
      <c r="R15" s="58"/>
    </row>
    <row r="16" spans="1:18" s="54" customFormat="1" ht="24.6">
      <c r="A16" s="60"/>
      <c r="B16" s="61"/>
      <c r="C16" s="62"/>
      <c r="D16" s="63"/>
      <c r="E16" s="63"/>
      <c r="F16" s="63"/>
      <c r="G16" s="62"/>
      <c r="H16" s="62"/>
      <c r="I16" s="62"/>
      <c r="J16" s="63"/>
      <c r="K16" s="63"/>
      <c r="L16" s="63"/>
      <c r="M16" s="64"/>
      <c r="N16" s="63"/>
      <c r="O16" s="63"/>
      <c r="P16" s="65"/>
      <c r="Q16" s="65"/>
      <c r="R16" s="66"/>
    </row>
    <row r="17" spans="1:18" ht="23.4">
      <c r="A17" s="67"/>
      <c r="B17" s="54"/>
      <c r="C17" s="20"/>
      <c r="D17" s="20"/>
      <c r="E17" s="20"/>
      <c r="F17" s="20"/>
      <c r="G17" s="20"/>
      <c r="H17" s="20"/>
      <c r="I17" s="20"/>
      <c r="J17" s="20"/>
      <c r="K17" s="20"/>
      <c r="L17" s="68"/>
      <c r="M17" s="68"/>
      <c r="N17" s="20"/>
      <c r="O17" s="20"/>
      <c r="P17" s="20"/>
      <c r="Q17" s="20"/>
      <c r="R17" s="69"/>
    </row>
    <row r="18" spans="1:18" ht="23.4">
      <c r="A18" s="70"/>
      <c r="B18" s="22"/>
      <c r="C18" s="20"/>
      <c r="D18" s="20"/>
      <c r="E18" s="20"/>
      <c r="F18" s="20"/>
      <c r="G18" s="20"/>
      <c r="H18" s="20"/>
      <c r="I18" s="20"/>
      <c r="J18" s="20"/>
      <c r="K18" s="20"/>
      <c r="L18" s="68"/>
      <c r="M18" s="68"/>
      <c r="N18" s="20"/>
      <c r="O18" s="20"/>
      <c r="P18" s="20"/>
      <c r="Q18" s="20"/>
      <c r="R18" s="69"/>
    </row>
    <row r="19" spans="1:18" ht="23.4">
      <c r="A19" s="70"/>
      <c r="B19" s="22"/>
      <c r="C19" s="20"/>
      <c r="D19" s="20"/>
      <c r="E19" s="20"/>
      <c r="F19" s="20"/>
      <c r="G19" s="20"/>
      <c r="H19" s="20"/>
      <c r="I19" s="20"/>
      <c r="J19" s="20"/>
      <c r="K19" s="20"/>
      <c r="L19" s="68"/>
      <c r="M19" s="68"/>
      <c r="N19" s="20"/>
      <c r="O19" s="20"/>
      <c r="P19" s="20"/>
      <c r="Q19" s="20"/>
      <c r="R19" s="69"/>
    </row>
    <row r="20" spans="1:18" ht="23.4">
      <c r="A20" s="70"/>
      <c r="B20" s="22"/>
      <c r="C20" s="20"/>
      <c r="D20" s="20"/>
      <c r="E20" s="20"/>
      <c r="F20" s="20"/>
      <c r="G20" s="20"/>
      <c r="H20" s="20"/>
      <c r="I20" s="20"/>
      <c r="J20" s="20"/>
      <c r="K20" s="20"/>
      <c r="L20" s="68"/>
      <c r="M20" s="68"/>
      <c r="N20" s="20"/>
      <c r="O20" s="20"/>
      <c r="P20" s="20"/>
      <c r="Q20" s="20"/>
      <c r="R20" s="69"/>
    </row>
    <row r="21" spans="1:18" ht="23.4">
      <c r="A21" s="70"/>
      <c r="B21" s="22"/>
      <c r="C21" s="20"/>
      <c r="D21" s="20"/>
      <c r="E21" s="20"/>
      <c r="F21" s="20"/>
      <c r="G21" s="20"/>
      <c r="H21" s="20"/>
      <c r="I21" s="20"/>
      <c r="J21" s="20"/>
      <c r="K21" s="20"/>
      <c r="L21" s="68"/>
      <c r="M21" s="68"/>
      <c r="N21" s="20"/>
      <c r="O21" s="20"/>
      <c r="P21" s="20"/>
      <c r="Q21" s="20"/>
      <c r="R21" s="69"/>
    </row>
    <row r="22" spans="1:18" ht="23.4">
      <c r="A22" s="70"/>
      <c r="B22" s="22"/>
      <c r="C22" s="20"/>
      <c r="D22" s="20"/>
      <c r="E22" s="20"/>
      <c r="F22" s="20"/>
      <c r="G22" s="20"/>
      <c r="H22" s="20"/>
      <c r="I22" s="20"/>
      <c r="J22" s="20"/>
      <c r="K22" s="20"/>
      <c r="L22" s="68"/>
      <c r="M22" s="68"/>
      <c r="N22" s="20"/>
      <c r="O22" s="20"/>
      <c r="P22" s="20"/>
      <c r="Q22" s="20"/>
      <c r="R22" s="69"/>
    </row>
    <row r="23" spans="1:18" s="3" customFormat="1" ht="23.4">
      <c r="A23" s="70"/>
      <c r="B23" s="22"/>
      <c r="C23" s="20"/>
      <c r="D23" s="20"/>
      <c r="E23" s="20"/>
      <c r="F23" s="20"/>
      <c r="G23" s="20"/>
      <c r="H23" s="20"/>
      <c r="I23" s="20"/>
      <c r="J23" s="20"/>
      <c r="K23" s="20"/>
      <c r="L23" s="68"/>
      <c r="M23" s="68"/>
      <c r="N23" s="20"/>
      <c r="O23" s="20"/>
      <c r="P23" s="20"/>
      <c r="Q23" s="20"/>
      <c r="R23" s="69"/>
    </row>
    <row r="24" spans="1:18" ht="15" customHeight="1">
      <c r="A24" s="70"/>
      <c r="B24" s="22"/>
      <c r="C24" s="20"/>
      <c r="D24" s="20"/>
      <c r="E24" s="20"/>
      <c r="F24" s="20"/>
      <c r="G24" s="20"/>
      <c r="H24" s="20"/>
      <c r="I24" s="20"/>
      <c r="J24" s="20"/>
      <c r="K24" s="20"/>
      <c r="L24" s="68"/>
      <c r="M24" s="68"/>
      <c r="N24" s="20"/>
      <c r="O24" s="20"/>
      <c r="P24" s="20"/>
      <c r="Q24" s="20"/>
      <c r="R24" s="69"/>
    </row>
    <row r="25" spans="1:18" ht="15" customHeight="1">
      <c r="A25" s="70"/>
      <c r="B25" s="22"/>
      <c r="C25" s="20"/>
      <c r="D25" s="20"/>
      <c r="E25" s="20"/>
      <c r="F25" s="20"/>
      <c r="G25" s="20"/>
      <c r="H25" s="20"/>
      <c r="I25" s="20"/>
      <c r="J25" s="20"/>
      <c r="K25" s="20"/>
      <c r="L25" s="68"/>
      <c r="M25" s="68"/>
      <c r="N25" s="20"/>
      <c r="O25" s="20"/>
      <c r="P25" s="20"/>
      <c r="Q25" s="20"/>
      <c r="R25" s="69"/>
    </row>
    <row r="26" spans="1:18" ht="15" customHeight="1">
      <c r="A26" s="70"/>
      <c r="B26" s="22"/>
      <c r="C26" s="20"/>
      <c r="D26" s="20"/>
      <c r="E26" s="20"/>
      <c r="F26" s="20"/>
      <c r="G26" s="20"/>
      <c r="H26" s="20"/>
      <c r="I26" s="20"/>
      <c r="J26" s="20"/>
      <c r="K26" s="20"/>
      <c r="L26" s="68"/>
      <c r="M26" s="68"/>
      <c r="N26" s="20"/>
      <c r="O26" s="20"/>
      <c r="P26" s="20"/>
      <c r="Q26" s="20"/>
      <c r="R26" s="69"/>
    </row>
    <row r="27" spans="1:18" ht="15" customHeight="1">
      <c r="A27" s="70"/>
      <c r="B27" s="22"/>
      <c r="C27" s="20"/>
      <c r="D27" s="20"/>
      <c r="E27" s="20"/>
      <c r="F27" s="20"/>
      <c r="G27" s="20"/>
      <c r="H27" s="20"/>
      <c r="I27" s="20"/>
      <c r="J27" s="20"/>
      <c r="K27" s="20"/>
      <c r="L27" s="68"/>
      <c r="M27" s="68"/>
      <c r="N27" s="20"/>
      <c r="O27" s="20"/>
      <c r="P27" s="20"/>
      <c r="Q27" s="20"/>
      <c r="R27" s="69"/>
    </row>
    <row r="28" spans="1:18" ht="15" customHeight="1">
      <c r="A28" s="70"/>
      <c r="B28" s="22"/>
      <c r="C28" s="20"/>
      <c r="D28" s="20"/>
      <c r="E28" s="20"/>
      <c r="F28" s="20"/>
      <c r="G28" s="20"/>
      <c r="H28" s="20"/>
      <c r="I28" s="20"/>
      <c r="J28" s="20"/>
      <c r="K28" s="20"/>
      <c r="L28" s="68"/>
      <c r="M28" s="68"/>
      <c r="N28" s="20"/>
      <c r="O28" s="20"/>
      <c r="P28" s="20"/>
      <c r="Q28" s="20"/>
      <c r="R28" s="69"/>
    </row>
    <row r="29" spans="1:18" ht="24" thickBot="1">
      <c r="A29" s="71" t="s">
        <v>25</v>
      </c>
      <c r="B29" s="22"/>
      <c r="C29" s="20"/>
      <c r="D29" s="20"/>
      <c r="E29" s="20"/>
      <c r="F29" s="20"/>
      <c r="G29" s="20"/>
      <c r="H29" s="20"/>
      <c r="I29" s="20"/>
      <c r="J29" s="20"/>
      <c r="K29" s="20"/>
      <c r="L29" s="68"/>
      <c r="M29" s="68"/>
      <c r="N29" s="20"/>
      <c r="O29" s="20"/>
      <c r="P29" s="20"/>
      <c r="Q29" s="20"/>
      <c r="R29" s="69"/>
    </row>
    <row r="30" spans="1:18" ht="24" customHeight="1" thickBot="1">
      <c r="A30" s="72" t="s">
        <v>26</v>
      </c>
      <c r="B30" s="219" t="s">
        <v>27</v>
      </c>
      <c r="C30" s="220"/>
      <c r="D30" s="221"/>
      <c r="E30" s="222" t="s">
        <v>28</v>
      </c>
      <c r="F30" s="223"/>
      <c r="G30" s="223"/>
      <c r="H30" s="224"/>
      <c r="I30" s="219" t="s">
        <v>29</v>
      </c>
      <c r="J30" s="220"/>
      <c r="K30" s="220"/>
      <c r="L30" s="221"/>
      <c r="M30" s="219" t="s">
        <v>30</v>
      </c>
      <c r="N30" s="221"/>
      <c r="O30" s="219" t="s">
        <v>31</v>
      </c>
      <c r="P30" s="221"/>
      <c r="Q30" s="219" t="s">
        <v>32</v>
      </c>
      <c r="R30" s="225"/>
    </row>
    <row r="31" spans="1:18" s="74" customFormat="1" ht="93.75" customHeight="1">
      <c r="A31" s="73">
        <v>1</v>
      </c>
      <c r="B31" s="226"/>
      <c r="C31" s="227"/>
      <c r="D31" s="228"/>
      <c r="E31" s="229"/>
      <c r="F31" s="229"/>
      <c r="G31" s="229"/>
      <c r="H31" s="229"/>
      <c r="I31" s="226"/>
      <c r="J31" s="230"/>
      <c r="K31" s="230"/>
      <c r="L31" s="231"/>
      <c r="M31" s="232"/>
      <c r="N31" s="233"/>
      <c r="O31" s="234"/>
      <c r="P31" s="234"/>
      <c r="Q31" s="217"/>
      <c r="R31" s="218"/>
    </row>
    <row r="32" spans="1:18" s="74" customFormat="1" ht="93.75" customHeight="1" thickBot="1">
      <c r="A32" s="75"/>
      <c r="B32" s="76"/>
      <c r="C32" s="77"/>
      <c r="D32" s="78"/>
      <c r="E32" s="76"/>
      <c r="F32" s="77"/>
      <c r="G32" s="77"/>
      <c r="H32" s="78"/>
      <c r="I32" s="76"/>
      <c r="J32" s="79"/>
      <c r="K32" s="79"/>
      <c r="L32" s="80"/>
      <c r="M32" s="81"/>
      <c r="N32" s="81"/>
      <c r="O32" s="82"/>
      <c r="P32" s="83"/>
      <c r="Q32" s="84"/>
      <c r="R32" s="85"/>
    </row>
    <row r="33" spans="1:18" ht="26.25" customHeight="1">
      <c r="A33" s="70" t="s">
        <v>33</v>
      </c>
      <c r="B33" s="22"/>
      <c r="C33" s="20"/>
      <c r="D33" s="20"/>
      <c r="E33" s="20"/>
      <c r="F33" s="20"/>
      <c r="G33" s="20"/>
      <c r="H33" s="20"/>
      <c r="I33" s="20"/>
      <c r="J33" s="20"/>
      <c r="K33" s="20"/>
      <c r="L33" s="68"/>
      <c r="M33" s="68"/>
      <c r="N33" s="20"/>
      <c r="O33" s="20"/>
      <c r="P33" s="20"/>
      <c r="Q33" s="20"/>
      <c r="R33" s="69"/>
    </row>
    <row r="34" spans="1:18" ht="26.25" customHeight="1">
      <c r="A34" s="67" t="s">
        <v>34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68"/>
      <c r="M34" s="68"/>
      <c r="N34" s="20"/>
      <c r="O34" s="20"/>
      <c r="P34" s="20"/>
      <c r="Q34" s="20"/>
      <c r="R34" s="69"/>
    </row>
    <row r="35" spans="1:18" ht="24" thickBot="1">
      <c r="A35" s="86"/>
      <c r="B35" s="87"/>
      <c r="C35" s="87"/>
      <c r="D35" s="87"/>
      <c r="E35" s="87"/>
      <c r="F35" s="87"/>
      <c r="G35" s="87"/>
      <c r="H35" s="87"/>
      <c r="I35" s="88"/>
      <c r="J35" s="88"/>
      <c r="K35" s="88"/>
      <c r="L35" s="89"/>
      <c r="M35" s="89"/>
      <c r="N35" s="88"/>
      <c r="O35" s="88"/>
      <c r="P35" s="88"/>
      <c r="Q35" s="88"/>
      <c r="R35" s="7"/>
    </row>
  </sheetData>
  <mergeCells count="31">
    <mergeCell ref="Q31:R31"/>
    <mergeCell ref="B30:D30"/>
    <mergeCell ref="E30:H30"/>
    <mergeCell ref="I30:L30"/>
    <mergeCell ref="M30:N30"/>
    <mergeCell ref="O30:P30"/>
    <mergeCell ref="Q30:R30"/>
    <mergeCell ref="B31:D31"/>
    <mergeCell ref="E31:H31"/>
    <mergeCell ref="I31:L31"/>
    <mergeCell ref="M31:N31"/>
    <mergeCell ref="O31:P31"/>
    <mergeCell ref="P14:R14"/>
    <mergeCell ref="M4:O6"/>
    <mergeCell ref="P5:Q5"/>
    <mergeCell ref="A8:B8"/>
    <mergeCell ref="P8:R8"/>
    <mergeCell ref="A9:B9"/>
    <mergeCell ref="P9:R9"/>
    <mergeCell ref="A11:B11"/>
    <mergeCell ref="P11:R11"/>
    <mergeCell ref="A12:B12"/>
    <mergeCell ref="P12:R12"/>
    <mergeCell ref="P13:R13"/>
    <mergeCell ref="C1:K3"/>
    <mergeCell ref="L1:M1"/>
    <mergeCell ref="N1:O1"/>
    <mergeCell ref="P1:R1"/>
    <mergeCell ref="L2:M3"/>
    <mergeCell ref="N2:O3"/>
    <mergeCell ref="P2:R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orientation="landscape" r:id="rId1"/>
  <headerFooter>
    <oddFooter>&amp;RFM-QMR-08 Rev.00 15/08/2566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AC1D-4740-4BD1-8166-803B39635119}">
  <sheetPr>
    <tabColor rgb="FFFFC000"/>
    <pageSetUpPr fitToPage="1"/>
  </sheetPr>
  <dimension ref="A1:R35"/>
  <sheetViews>
    <sheetView showGridLines="0" topLeftCell="B1" zoomScale="85" zoomScaleNormal="85" zoomScaleSheetLayoutView="100" workbookViewId="0">
      <selection activeCell="B16" sqref="B16"/>
    </sheetView>
  </sheetViews>
  <sheetFormatPr defaultColWidth="10.33203125" defaultRowHeight="20.399999999999999"/>
  <cols>
    <col min="1" max="1" width="13.109375" style="8" customWidth="1"/>
    <col min="2" max="2" width="55.88671875" style="8" bestFit="1" customWidth="1"/>
    <col min="3" max="11" width="16" style="90" customWidth="1"/>
    <col min="12" max="13" width="16.109375" style="91" customWidth="1"/>
    <col min="14" max="15" width="16.109375" style="90" customWidth="1"/>
    <col min="16" max="16" width="12" style="90" customWidth="1"/>
    <col min="17" max="17" width="10.88671875" style="90" customWidth="1"/>
    <col min="18" max="18" width="1.6640625" style="92" customWidth="1"/>
    <col min="19" max="16384" width="10.33203125" style="8"/>
  </cols>
  <sheetData>
    <row r="1" spans="1:18" s="3" customFormat="1" ht="21.75" customHeight="1" thickBot="1">
      <c r="A1" s="1"/>
      <c r="B1" s="2"/>
      <c r="C1" s="180" t="s">
        <v>3</v>
      </c>
      <c r="D1" s="181"/>
      <c r="E1" s="181"/>
      <c r="F1" s="181"/>
      <c r="G1" s="181"/>
      <c r="H1" s="181"/>
      <c r="I1" s="181"/>
      <c r="J1" s="181"/>
      <c r="K1" s="182"/>
      <c r="L1" s="189" t="s">
        <v>4</v>
      </c>
      <c r="M1" s="190"/>
      <c r="N1" s="189" t="s">
        <v>5</v>
      </c>
      <c r="O1" s="190"/>
      <c r="P1" s="189" t="s">
        <v>6</v>
      </c>
      <c r="Q1" s="191"/>
      <c r="R1" s="190"/>
    </row>
    <row r="2" spans="1:18" s="3" customFormat="1" ht="21.75" customHeight="1">
      <c r="A2" s="4"/>
      <c r="C2" s="183"/>
      <c r="D2" s="184"/>
      <c r="E2" s="184"/>
      <c r="F2" s="184"/>
      <c r="G2" s="184"/>
      <c r="H2" s="184"/>
      <c r="I2" s="184"/>
      <c r="J2" s="184"/>
      <c r="K2" s="185"/>
      <c r="L2" s="192"/>
      <c r="M2" s="193"/>
      <c r="N2" s="192"/>
      <c r="O2" s="193"/>
      <c r="P2" s="192"/>
      <c r="Q2" s="196"/>
      <c r="R2" s="193"/>
    </row>
    <row r="3" spans="1:18" ht="47.4" customHeight="1" thickBot="1">
      <c r="A3" s="5"/>
      <c r="B3" s="6"/>
      <c r="C3" s="186"/>
      <c r="D3" s="187"/>
      <c r="E3" s="187"/>
      <c r="F3" s="187"/>
      <c r="G3" s="187"/>
      <c r="H3" s="187"/>
      <c r="I3" s="187"/>
      <c r="J3" s="187"/>
      <c r="K3" s="188"/>
      <c r="L3" s="194"/>
      <c r="M3" s="195"/>
      <c r="N3" s="194"/>
      <c r="O3" s="195"/>
      <c r="P3" s="194"/>
      <c r="Q3" s="197"/>
      <c r="R3" s="195"/>
    </row>
    <row r="4" spans="1:18" ht="9.9" customHeight="1">
      <c r="A4" s="9"/>
      <c r="B4" s="10"/>
      <c r="C4" s="11"/>
      <c r="D4" s="11"/>
      <c r="E4" s="11"/>
      <c r="F4" s="11"/>
      <c r="G4" s="11"/>
      <c r="H4" s="11"/>
      <c r="I4" s="11"/>
      <c r="J4" s="11"/>
      <c r="K4" s="11"/>
      <c r="L4" s="12"/>
      <c r="M4" s="201"/>
      <c r="N4" s="201"/>
      <c r="O4" s="201"/>
      <c r="P4" s="13"/>
      <c r="Q4" s="13"/>
      <c r="R4" s="14"/>
    </row>
    <row r="5" spans="1:18" s="22" customFormat="1" ht="24.6">
      <c r="A5" s="15" t="s">
        <v>37</v>
      </c>
      <c r="B5" s="16"/>
      <c r="C5" s="17"/>
      <c r="D5" s="18"/>
      <c r="E5" s="16" t="s">
        <v>35</v>
      </c>
      <c r="F5" s="16"/>
      <c r="G5" s="16"/>
      <c r="H5" s="17"/>
      <c r="I5" s="17"/>
      <c r="J5" s="17"/>
      <c r="K5" s="17"/>
      <c r="L5" s="19"/>
      <c r="M5" s="202"/>
      <c r="N5" s="202"/>
      <c r="O5" s="202"/>
      <c r="P5" s="204" t="s">
        <v>46</v>
      </c>
      <c r="Q5" s="204"/>
      <c r="R5" s="21"/>
    </row>
    <row r="6" spans="1:18" ht="9.9" customHeight="1" thickBot="1">
      <c r="A6" s="23"/>
      <c r="B6" s="24"/>
      <c r="C6" s="25"/>
      <c r="D6" s="25"/>
      <c r="E6" s="25"/>
      <c r="F6" s="25"/>
      <c r="G6" s="25"/>
      <c r="H6" s="25"/>
      <c r="I6" s="25"/>
      <c r="J6" s="25"/>
      <c r="K6" s="25"/>
      <c r="L6" s="26"/>
      <c r="M6" s="203"/>
      <c r="N6" s="203"/>
      <c r="O6" s="203"/>
      <c r="P6" s="27"/>
      <c r="Q6" s="27"/>
      <c r="R6" s="7"/>
    </row>
    <row r="7" spans="1:18" s="32" customFormat="1" ht="24.6">
      <c r="A7" s="15" t="s">
        <v>7</v>
      </c>
      <c r="B7" s="94" t="s">
        <v>45</v>
      </c>
      <c r="C7" s="29"/>
      <c r="D7" s="30"/>
      <c r="E7" s="30"/>
      <c r="F7" s="30"/>
      <c r="G7" s="29" t="s">
        <v>8</v>
      </c>
      <c r="H7" s="93">
        <v>0.05</v>
      </c>
      <c r="I7" s="28"/>
      <c r="J7" s="28"/>
      <c r="K7" s="28"/>
      <c r="L7" s="31"/>
      <c r="M7" s="31"/>
      <c r="N7" s="28"/>
      <c r="O7" s="29" t="s">
        <v>9</v>
      </c>
      <c r="R7" s="33"/>
    </row>
    <row r="8" spans="1:18" s="38" customFormat="1" ht="23.4">
      <c r="A8" s="205" t="s">
        <v>10</v>
      </c>
      <c r="B8" s="206"/>
      <c r="C8" s="34" t="s">
        <v>11</v>
      </c>
      <c r="D8" s="34" t="s">
        <v>12</v>
      </c>
      <c r="E8" s="34" t="s">
        <v>13</v>
      </c>
      <c r="F8" s="34" t="s">
        <v>14</v>
      </c>
      <c r="G8" s="34" t="s">
        <v>15</v>
      </c>
      <c r="H8" s="34" t="s">
        <v>16</v>
      </c>
      <c r="I8" s="34" t="s">
        <v>17</v>
      </c>
      <c r="J8" s="34" t="s">
        <v>18</v>
      </c>
      <c r="K8" s="34" t="s">
        <v>19</v>
      </c>
      <c r="L8" s="35" t="s">
        <v>20</v>
      </c>
      <c r="M8" s="35" t="s">
        <v>21</v>
      </c>
      <c r="N8" s="36" t="s">
        <v>22</v>
      </c>
      <c r="O8" s="37" t="s">
        <v>0</v>
      </c>
      <c r="P8" s="207" t="s">
        <v>23</v>
      </c>
      <c r="Q8" s="208"/>
      <c r="R8" s="209"/>
    </row>
    <row r="9" spans="1:18" s="22" customFormat="1" ht="29.1" customHeight="1">
      <c r="A9" s="210" t="s">
        <v>39</v>
      </c>
      <c r="B9" s="211"/>
      <c r="C9" s="97">
        <v>77604.5</v>
      </c>
      <c r="D9" s="97">
        <v>222967.70999999996</v>
      </c>
      <c r="E9" s="97">
        <v>55742.3</v>
      </c>
      <c r="F9" s="97">
        <v>4507.6000000000004</v>
      </c>
      <c r="G9" s="97">
        <v>10189.75</v>
      </c>
      <c r="H9" s="97">
        <v>41781.4</v>
      </c>
      <c r="I9" s="97"/>
      <c r="J9" s="95"/>
      <c r="K9" s="95"/>
      <c r="L9" s="95"/>
      <c r="M9" s="95"/>
      <c r="N9" s="98"/>
      <c r="O9" s="104">
        <f>SUM(C9:N9)</f>
        <v>412793.25999999995</v>
      </c>
      <c r="P9" s="212"/>
      <c r="Q9" s="213"/>
      <c r="R9" s="214"/>
    </row>
    <row r="10" spans="1:18" s="22" customFormat="1" ht="29.1" customHeight="1">
      <c r="A10" s="210" t="s">
        <v>38</v>
      </c>
      <c r="B10" s="211"/>
      <c r="C10" s="97">
        <v>72691.549999999988</v>
      </c>
      <c r="D10" s="97">
        <v>207942.69999999998</v>
      </c>
      <c r="E10" s="97">
        <v>50247.4</v>
      </c>
      <c r="F10" s="97">
        <v>4507.6000000000004</v>
      </c>
      <c r="G10" s="97">
        <v>8571.9</v>
      </c>
      <c r="H10" s="97">
        <v>38707.4</v>
      </c>
      <c r="I10" s="97"/>
      <c r="J10" s="95"/>
      <c r="K10" s="95"/>
      <c r="L10" s="95"/>
      <c r="M10" s="95"/>
      <c r="N10" s="98"/>
      <c r="O10" s="104">
        <f>SUM(C10:N10)</f>
        <v>382668.55000000005</v>
      </c>
      <c r="P10" s="41"/>
      <c r="Q10" s="42"/>
      <c r="R10" s="43"/>
    </row>
    <row r="11" spans="1:18" s="22" customFormat="1" ht="23.4">
      <c r="A11" s="235" t="s">
        <v>40</v>
      </c>
      <c r="B11" s="236"/>
      <c r="C11" s="97">
        <v>4912.9500000000016</v>
      </c>
      <c r="D11" s="97">
        <v>15025.009999999998</v>
      </c>
      <c r="E11" s="97">
        <v>5494.9</v>
      </c>
      <c r="F11" s="97">
        <v>2348.5</v>
      </c>
      <c r="G11" s="97">
        <v>1617.85</v>
      </c>
      <c r="H11" s="97">
        <v>3074</v>
      </c>
      <c r="I11" s="97"/>
      <c r="J11" s="96"/>
      <c r="K11" s="96"/>
      <c r="L11" s="96"/>
      <c r="M11" s="96"/>
      <c r="N11" s="99"/>
      <c r="O11" s="104">
        <f>SUM(C11:N11)</f>
        <v>32473.21</v>
      </c>
      <c r="P11" s="212"/>
      <c r="Q11" s="213"/>
      <c r="R11" s="214"/>
    </row>
    <row r="12" spans="1:18" s="22" customFormat="1" ht="23.4">
      <c r="A12" s="235" t="s">
        <v>41</v>
      </c>
      <c r="B12" s="236"/>
      <c r="C12" s="97">
        <f t="shared" ref="C12:J12" si="0">C11/C9*100</f>
        <v>6.3307540155532234</v>
      </c>
      <c r="D12" s="97">
        <f t="shared" si="0"/>
        <v>6.7386483899395122</v>
      </c>
      <c r="E12" s="97">
        <f t="shared" si="0"/>
        <v>9.8576843797259883</v>
      </c>
      <c r="F12" s="97">
        <f t="shared" si="0"/>
        <v>52.100896264087318</v>
      </c>
      <c r="G12" s="97">
        <f t="shared" si="0"/>
        <v>15.877229568929559</v>
      </c>
      <c r="H12" s="97">
        <f t="shared" si="0"/>
        <v>7.3573408263006987</v>
      </c>
      <c r="I12" s="97" t="e">
        <f t="shared" si="0"/>
        <v>#DIV/0!</v>
      </c>
      <c r="J12" s="97" t="e">
        <f t="shared" si="0"/>
        <v>#DIV/0!</v>
      </c>
      <c r="K12" s="97" t="e">
        <f>K11/K9*100</f>
        <v>#DIV/0!</v>
      </c>
      <c r="L12" s="97" t="e">
        <f>L11/L9*100</f>
        <v>#DIV/0!</v>
      </c>
      <c r="M12" s="97" t="e">
        <f>M11/M9*100</f>
        <v>#DIV/0!</v>
      </c>
      <c r="N12" s="97" t="e">
        <f>N11/N9*100</f>
        <v>#DIV/0!</v>
      </c>
      <c r="O12" s="104">
        <f>O11*100/O9</f>
        <v>7.8667006336295326</v>
      </c>
      <c r="P12" s="212"/>
      <c r="Q12" s="213"/>
      <c r="R12" s="214"/>
    </row>
    <row r="13" spans="1:18" s="51" customFormat="1" ht="30" customHeight="1">
      <c r="A13" s="48"/>
      <c r="B13" s="49"/>
      <c r="C13" s="50"/>
      <c r="D13" s="50"/>
      <c r="E13" s="50"/>
      <c r="F13" s="50"/>
      <c r="G13" s="50"/>
      <c r="H13" s="50"/>
      <c r="I13" s="50"/>
      <c r="J13" s="50"/>
      <c r="K13" s="50"/>
      <c r="M13" s="50"/>
      <c r="N13" s="50"/>
      <c r="O13" s="105"/>
      <c r="P13" s="212"/>
      <c r="Q13" s="213"/>
      <c r="R13" s="214"/>
    </row>
    <row r="14" spans="1:18" s="54" customFormat="1" ht="23.4">
      <c r="A14" s="52" t="s">
        <v>24</v>
      </c>
      <c r="B14" s="53"/>
      <c r="C14" s="102">
        <v>6.3299999999999995E-2</v>
      </c>
      <c r="D14" s="102">
        <v>6.7400000000000002E-2</v>
      </c>
      <c r="E14" s="102">
        <v>9.8599999999999993E-2</v>
      </c>
      <c r="F14" s="102">
        <v>0.52100000000000002</v>
      </c>
      <c r="G14" s="102">
        <v>0.1588</v>
      </c>
      <c r="H14" s="102">
        <v>7.3599999999999999E-2</v>
      </c>
      <c r="I14" s="102"/>
      <c r="J14" s="102"/>
      <c r="K14" s="102"/>
      <c r="L14" s="103"/>
      <c r="M14" s="102"/>
      <c r="N14" s="102"/>
      <c r="O14" s="104">
        <f>O11*100/O9</f>
        <v>7.8667006336295326</v>
      </c>
      <c r="P14" s="198"/>
      <c r="Q14" s="199"/>
      <c r="R14" s="200"/>
    </row>
    <row r="15" spans="1:18" s="59" customFormat="1" ht="23.4">
      <c r="A15" s="55"/>
      <c r="B15" s="56"/>
      <c r="C15" s="100" t="s">
        <v>44</v>
      </c>
      <c r="D15" s="100" t="s">
        <v>44</v>
      </c>
      <c r="E15" s="100" t="s">
        <v>44</v>
      </c>
      <c r="F15" s="100" t="s">
        <v>44</v>
      </c>
      <c r="G15" s="100" t="s">
        <v>44</v>
      </c>
      <c r="H15" s="100" t="s">
        <v>44</v>
      </c>
      <c r="I15" s="100" t="s">
        <v>44</v>
      </c>
      <c r="J15" s="100" t="s">
        <v>44</v>
      </c>
      <c r="K15" s="100" t="s">
        <v>44</v>
      </c>
      <c r="L15" s="100" t="s">
        <v>44</v>
      </c>
      <c r="M15" s="100" t="s">
        <v>44</v>
      </c>
      <c r="N15" s="100" t="s">
        <v>44</v>
      </c>
      <c r="O15" s="100" t="s">
        <v>44</v>
      </c>
      <c r="P15" s="57"/>
      <c r="Q15" s="57"/>
      <c r="R15" s="58"/>
    </row>
    <row r="16" spans="1:18" s="54" customFormat="1" ht="24.6">
      <c r="A16" s="60"/>
      <c r="B16" s="61"/>
      <c r="C16" s="62"/>
      <c r="D16" s="63"/>
      <c r="E16" s="63"/>
      <c r="F16" s="63"/>
      <c r="G16" s="62"/>
      <c r="H16" s="62"/>
      <c r="I16" s="62"/>
      <c r="J16" s="63"/>
      <c r="K16" s="63"/>
      <c r="L16" s="63"/>
      <c r="M16" s="64"/>
      <c r="N16" s="63"/>
      <c r="O16" s="63"/>
      <c r="P16" s="65"/>
      <c r="Q16" s="65"/>
      <c r="R16" s="66"/>
    </row>
    <row r="17" spans="1:18" ht="23.4">
      <c r="A17" s="67"/>
      <c r="B17" s="54"/>
      <c r="C17" s="20"/>
      <c r="D17" s="20"/>
      <c r="E17" s="20"/>
      <c r="F17" s="20"/>
      <c r="G17" s="20"/>
      <c r="H17" s="20"/>
      <c r="I17" s="20"/>
      <c r="J17" s="20"/>
      <c r="K17" s="20"/>
      <c r="L17" s="68"/>
      <c r="M17" s="68"/>
      <c r="N17" s="20"/>
      <c r="O17" s="20"/>
      <c r="P17" s="20"/>
      <c r="Q17" s="20"/>
      <c r="R17" s="69"/>
    </row>
    <row r="18" spans="1:18" ht="23.4">
      <c r="A18" s="70"/>
      <c r="B18" s="22"/>
      <c r="C18" s="20"/>
      <c r="D18" s="20"/>
      <c r="E18" s="20"/>
      <c r="F18" s="20"/>
      <c r="G18" s="20"/>
      <c r="H18" s="20"/>
      <c r="I18" s="20"/>
      <c r="J18" s="20"/>
      <c r="K18" s="20"/>
      <c r="L18" s="68"/>
      <c r="M18" s="68"/>
      <c r="N18" s="20"/>
      <c r="O18" s="20"/>
      <c r="P18" s="20"/>
      <c r="Q18" s="20"/>
      <c r="R18" s="69"/>
    </row>
    <row r="19" spans="1:18" ht="23.4">
      <c r="A19" s="70"/>
      <c r="B19" s="22"/>
      <c r="C19" s="20"/>
      <c r="D19" s="20"/>
      <c r="E19" s="20"/>
      <c r="F19" s="20"/>
      <c r="G19" s="20"/>
      <c r="H19" s="20"/>
      <c r="I19" s="20"/>
      <c r="J19" s="20"/>
      <c r="K19" s="20"/>
      <c r="L19" s="68"/>
      <c r="M19" s="68"/>
      <c r="N19" s="20"/>
      <c r="O19" s="20"/>
      <c r="P19" s="20"/>
      <c r="Q19" s="20"/>
      <c r="R19" s="69"/>
    </row>
    <row r="20" spans="1:18" ht="23.4">
      <c r="A20" s="70"/>
      <c r="B20" s="22"/>
      <c r="C20" s="20"/>
      <c r="D20" s="20"/>
      <c r="E20" s="20"/>
      <c r="F20" s="20"/>
      <c r="G20" s="20"/>
      <c r="H20" s="20"/>
      <c r="I20" s="20"/>
      <c r="J20" s="20"/>
      <c r="K20" s="20"/>
      <c r="L20" s="68"/>
      <c r="M20" s="68"/>
      <c r="N20" s="20"/>
      <c r="O20" s="20"/>
      <c r="P20" s="20"/>
      <c r="Q20" s="20"/>
      <c r="R20" s="69"/>
    </row>
    <row r="21" spans="1:18" ht="23.4">
      <c r="A21" s="70"/>
      <c r="B21" s="22"/>
      <c r="C21" s="20"/>
      <c r="D21" s="20"/>
      <c r="E21" s="20"/>
      <c r="F21" s="20"/>
      <c r="G21" s="20"/>
      <c r="H21" s="20"/>
      <c r="I21" s="20"/>
      <c r="J21" s="20"/>
      <c r="K21" s="20"/>
      <c r="L21" s="68"/>
      <c r="M21" s="68"/>
      <c r="N21" s="20"/>
      <c r="O21" s="20"/>
      <c r="P21" s="20"/>
      <c r="Q21" s="20"/>
      <c r="R21" s="69"/>
    </row>
    <row r="22" spans="1:18" ht="23.4">
      <c r="A22" s="70"/>
      <c r="B22" s="22"/>
      <c r="C22" s="20"/>
      <c r="D22" s="20"/>
      <c r="E22" s="20"/>
      <c r="F22" s="20"/>
      <c r="G22" s="20"/>
      <c r="H22" s="20"/>
      <c r="I22" s="20"/>
      <c r="J22" s="20"/>
      <c r="K22" s="20"/>
      <c r="L22" s="68"/>
      <c r="M22" s="68"/>
      <c r="N22" s="20"/>
      <c r="O22" s="20"/>
      <c r="P22" s="20"/>
      <c r="Q22" s="20"/>
      <c r="R22" s="69"/>
    </row>
    <row r="23" spans="1:18" s="3" customFormat="1" ht="23.4">
      <c r="A23" s="70"/>
      <c r="B23" s="22"/>
      <c r="C23" s="20"/>
      <c r="D23" s="20"/>
      <c r="E23" s="20"/>
      <c r="F23" s="20"/>
      <c r="G23" s="20"/>
      <c r="H23" s="20"/>
      <c r="I23" s="20"/>
      <c r="J23" s="20"/>
      <c r="K23" s="20"/>
      <c r="L23" s="68"/>
      <c r="M23" s="68"/>
      <c r="N23" s="20"/>
      <c r="O23" s="20"/>
      <c r="P23" s="20"/>
      <c r="Q23" s="20"/>
      <c r="R23" s="69"/>
    </row>
    <row r="24" spans="1:18" ht="15" customHeight="1">
      <c r="A24" s="70"/>
      <c r="B24" s="22"/>
      <c r="C24" s="20"/>
      <c r="D24" s="20"/>
      <c r="E24" s="20"/>
      <c r="F24" s="20"/>
      <c r="G24" s="20"/>
      <c r="H24" s="20"/>
      <c r="I24" s="20"/>
      <c r="J24" s="20"/>
      <c r="K24" s="20"/>
      <c r="L24" s="68"/>
      <c r="M24" s="68"/>
      <c r="N24" s="20"/>
      <c r="O24" s="20"/>
      <c r="P24" s="20"/>
      <c r="Q24" s="20"/>
      <c r="R24" s="69"/>
    </row>
    <row r="25" spans="1:18" ht="15" customHeight="1">
      <c r="A25" s="70"/>
      <c r="B25" s="22"/>
      <c r="C25" s="20"/>
      <c r="D25" s="20"/>
      <c r="E25" s="20"/>
      <c r="F25" s="20"/>
      <c r="G25" s="20"/>
      <c r="H25" s="20"/>
      <c r="I25" s="20"/>
      <c r="J25" s="20"/>
      <c r="K25" s="20"/>
      <c r="L25" s="68"/>
      <c r="M25" s="68"/>
      <c r="N25" s="20"/>
      <c r="O25" s="20"/>
      <c r="P25" s="20"/>
      <c r="Q25" s="20"/>
      <c r="R25" s="69"/>
    </row>
    <row r="26" spans="1:18" ht="15" customHeight="1">
      <c r="A26" s="70"/>
      <c r="B26" s="22"/>
      <c r="C26" s="20"/>
      <c r="D26" s="20"/>
      <c r="E26" s="20"/>
      <c r="F26" s="20"/>
      <c r="G26" s="20"/>
      <c r="H26" s="20"/>
      <c r="I26" s="20"/>
      <c r="J26" s="20"/>
      <c r="K26" s="20"/>
      <c r="L26" s="68"/>
      <c r="M26" s="68"/>
      <c r="N26" s="20"/>
      <c r="O26" s="20"/>
      <c r="P26" s="20"/>
      <c r="Q26" s="20"/>
      <c r="R26" s="69"/>
    </row>
    <row r="27" spans="1:18" ht="15" customHeight="1">
      <c r="A27" s="70"/>
      <c r="B27" s="22"/>
      <c r="C27" s="20"/>
      <c r="D27" s="20"/>
      <c r="E27" s="20"/>
      <c r="F27" s="20"/>
      <c r="G27" s="20"/>
      <c r="H27" s="20"/>
      <c r="I27" s="20"/>
      <c r="J27" s="20"/>
      <c r="K27" s="20"/>
      <c r="L27" s="68"/>
      <c r="M27" s="68"/>
      <c r="N27" s="20"/>
      <c r="O27" s="20"/>
      <c r="P27" s="20"/>
      <c r="Q27" s="20"/>
      <c r="R27" s="69"/>
    </row>
    <row r="28" spans="1:18" ht="15" customHeight="1">
      <c r="A28" s="70"/>
      <c r="B28" s="22"/>
      <c r="C28" s="20"/>
      <c r="D28" s="20"/>
      <c r="E28" s="20"/>
      <c r="F28" s="20"/>
      <c r="G28" s="20"/>
      <c r="H28" s="20"/>
      <c r="I28" s="20"/>
      <c r="J28" s="20"/>
      <c r="K28" s="20"/>
      <c r="L28" s="68"/>
      <c r="M28" s="68"/>
      <c r="N28" s="20"/>
      <c r="O28" s="20"/>
      <c r="P28" s="20"/>
      <c r="Q28" s="20"/>
      <c r="R28" s="69"/>
    </row>
    <row r="29" spans="1:18" ht="24" thickBot="1">
      <c r="A29" s="71" t="s">
        <v>25</v>
      </c>
      <c r="B29" s="22"/>
      <c r="C29" s="20"/>
      <c r="D29" s="20"/>
      <c r="E29" s="20"/>
      <c r="F29" s="20"/>
      <c r="G29" s="20"/>
      <c r="H29" s="20"/>
      <c r="I29" s="20"/>
      <c r="J29" s="20"/>
      <c r="K29" s="20"/>
      <c r="L29" s="68"/>
      <c r="M29" s="68"/>
      <c r="N29" s="20"/>
      <c r="O29" s="20"/>
      <c r="P29" s="20"/>
      <c r="Q29" s="20"/>
      <c r="R29" s="69"/>
    </row>
    <row r="30" spans="1:18" ht="24" customHeight="1" thickBot="1">
      <c r="A30" s="72" t="s">
        <v>26</v>
      </c>
      <c r="B30" s="219" t="s">
        <v>27</v>
      </c>
      <c r="C30" s="220"/>
      <c r="D30" s="221"/>
      <c r="E30" s="222" t="s">
        <v>28</v>
      </c>
      <c r="F30" s="223"/>
      <c r="G30" s="223"/>
      <c r="H30" s="224"/>
      <c r="I30" s="219" t="s">
        <v>29</v>
      </c>
      <c r="J30" s="220"/>
      <c r="K30" s="220"/>
      <c r="L30" s="221"/>
      <c r="M30" s="219" t="s">
        <v>30</v>
      </c>
      <c r="N30" s="221"/>
      <c r="O30" s="219" t="s">
        <v>31</v>
      </c>
      <c r="P30" s="221"/>
      <c r="Q30" s="219" t="s">
        <v>32</v>
      </c>
      <c r="R30" s="225"/>
    </row>
    <row r="31" spans="1:18" s="74" customFormat="1" ht="93.75" customHeight="1">
      <c r="A31" s="73">
        <v>1</v>
      </c>
      <c r="B31" s="237"/>
      <c r="C31" s="227"/>
      <c r="D31" s="228"/>
      <c r="E31" s="238"/>
      <c r="F31" s="238"/>
      <c r="G31" s="238"/>
      <c r="H31" s="238"/>
      <c r="I31" s="238"/>
      <c r="J31" s="238"/>
      <c r="K31" s="238"/>
      <c r="L31" s="238"/>
      <c r="M31" s="232"/>
      <c r="N31" s="233"/>
      <c r="O31" s="234"/>
      <c r="P31" s="234"/>
      <c r="Q31" s="217"/>
      <c r="R31" s="218"/>
    </row>
    <row r="32" spans="1:18" s="74" customFormat="1" ht="93.75" customHeight="1" thickBot="1">
      <c r="A32" s="75"/>
      <c r="B32" s="76"/>
      <c r="C32" s="77"/>
      <c r="D32" s="78"/>
      <c r="E32" s="76"/>
      <c r="F32" s="77"/>
      <c r="G32" s="77"/>
      <c r="H32" s="78"/>
      <c r="I32" s="76"/>
      <c r="J32" s="79"/>
      <c r="K32" s="79"/>
      <c r="L32" s="80"/>
      <c r="M32" s="81"/>
      <c r="N32" s="81"/>
      <c r="O32" s="82"/>
      <c r="P32" s="83"/>
      <c r="Q32" s="84"/>
      <c r="R32" s="85"/>
    </row>
    <row r="33" spans="1:18" ht="26.25" customHeight="1">
      <c r="A33" s="70" t="s">
        <v>33</v>
      </c>
      <c r="B33" s="22"/>
      <c r="C33" s="20"/>
      <c r="D33" s="20"/>
      <c r="E33" s="20"/>
      <c r="F33" s="20"/>
      <c r="G33" s="20"/>
      <c r="H33" s="20"/>
      <c r="I33" s="20"/>
      <c r="J33" s="20"/>
      <c r="K33" s="20"/>
      <c r="L33" s="68"/>
      <c r="M33" s="68"/>
      <c r="N33" s="20"/>
      <c r="O33" s="20"/>
      <c r="P33" s="20"/>
      <c r="Q33" s="20"/>
      <c r="R33" s="69"/>
    </row>
    <row r="34" spans="1:18" ht="26.25" customHeight="1">
      <c r="A34" s="67" t="s">
        <v>34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68"/>
      <c r="M34" s="68"/>
      <c r="N34" s="20"/>
      <c r="O34" s="20"/>
      <c r="P34" s="20"/>
      <c r="Q34" s="20"/>
      <c r="R34" s="69"/>
    </row>
    <row r="35" spans="1:18" ht="24" thickBot="1">
      <c r="A35" s="86"/>
      <c r="B35" s="87"/>
      <c r="C35" s="87"/>
      <c r="D35" s="87"/>
      <c r="E35" s="87"/>
      <c r="F35" s="87"/>
      <c r="G35" s="87"/>
      <c r="H35" s="87"/>
      <c r="I35" s="88"/>
      <c r="J35" s="88"/>
      <c r="K35" s="88"/>
      <c r="L35" s="89"/>
      <c r="M35" s="89"/>
      <c r="N35" s="88"/>
      <c r="O35" s="88"/>
      <c r="P35" s="88"/>
      <c r="Q35" s="88"/>
      <c r="R35" s="7"/>
    </row>
  </sheetData>
  <mergeCells count="32">
    <mergeCell ref="A10:B10"/>
    <mergeCell ref="B31:D31"/>
    <mergeCell ref="E31:H31"/>
    <mergeCell ref="I31:L31"/>
    <mergeCell ref="M31:N31"/>
    <mergeCell ref="A11:B11"/>
    <mergeCell ref="O31:P31"/>
    <mergeCell ref="Q31:R31"/>
    <mergeCell ref="B30:D30"/>
    <mergeCell ref="E30:H30"/>
    <mergeCell ref="I30:L30"/>
    <mergeCell ref="M30:N30"/>
    <mergeCell ref="O30:P30"/>
    <mergeCell ref="Q30:R30"/>
    <mergeCell ref="P11:R11"/>
    <mergeCell ref="A12:B12"/>
    <mergeCell ref="P12:R12"/>
    <mergeCell ref="P13:R13"/>
    <mergeCell ref="P14:R14"/>
    <mergeCell ref="M4:O6"/>
    <mergeCell ref="P5:Q5"/>
    <mergeCell ref="A8:B8"/>
    <mergeCell ref="P8:R8"/>
    <mergeCell ref="A9:B9"/>
    <mergeCell ref="P9:R9"/>
    <mergeCell ref="C1:K3"/>
    <mergeCell ref="L1:M1"/>
    <mergeCell ref="N1:O1"/>
    <mergeCell ref="P1:R1"/>
    <mergeCell ref="L2:M3"/>
    <mergeCell ref="N2:O3"/>
    <mergeCell ref="P2:R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orientation="landscape" r:id="rId1"/>
  <headerFooter>
    <oddFooter>&amp;RFM-QMR-08 Rev.00 15/08/2566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B4C9-4B99-4168-A168-F0D3FEC5B1F2}">
  <dimension ref="A1:R270"/>
  <sheetViews>
    <sheetView topLeftCell="A18" zoomScale="85" zoomScaleNormal="85" zoomScaleSheetLayoutView="85" workbookViewId="0">
      <selection activeCell="C31" sqref="C31"/>
    </sheetView>
  </sheetViews>
  <sheetFormatPr defaultColWidth="8" defaultRowHeight="26.4"/>
  <cols>
    <col min="1" max="1" width="12.44140625" style="140" customWidth="1"/>
    <col min="2" max="2" width="37.109375" style="140" customWidth="1"/>
    <col min="3" max="3" width="28" style="140" customWidth="1"/>
    <col min="4" max="4" width="64" style="140" customWidth="1"/>
    <col min="5" max="5" width="14.6640625" style="152" customWidth="1"/>
    <col min="6" max="6" width="11" style="144" customWidth="1"/>
    <col min="7" max="7" width="19" style="145" customWidth="1"/>
    <col min="8" max="8" width="15.88671875" style="145" customWidth="1"/>
    <col min="9" max="9" width="16" style="146" customWidth="1"/>
    <col min="10" max="10" width="16.88671875" style="147" customWidth="1"/>
    <col min="11" max="11" width="18.21875" style="144" customWidth="1"/>
    <col min="12" max="12" width="20.44140625" style="148" customWidth="1"/>
    <col min="13" max="13" width="18.5546875" style="149" customWidth="1"/>
    <col min="14" max="14" width="12.5546875" style="150" customWidth="1"/>
    <col min="15" max="15" width="10.109375" style="150" customWidth="1"/>
    <col min="16" max="16" width="40.33203125" style="151" hidden="1" customWidth="1"/>
    <col min="17" max="17" width="57.88671875" style="140" hidden="1" customWidth="1"/>
    <col min="18" max="18" width="6.21875" style="140" customWidth="1"/>
    <col min="19" max="16384" width="8" style="140"/>
  </cols>
  <sheetData>
    <row r="1" spans="1:18" ht="9" customHeight="1" thickBot="1">
      <c r="C1" s="175"/>
    </row>
    <row r="2" spans="1:18" ht="25.2" customHeight="1" thickBot="1">
      <c r="B2" s="109" t="s">
        <v>575</v>
      </c>
      <c r="C2" s="179" t="s">
        <v>574</v>
      </c>
      <c r="D2" s="178"/>
      <c r="E2" s="177"/>
      <c r="F2" s="176"/>
    </row>
    <row r="3" spans="1:18" s="109" customFormat="1" ht="25.2" customHeight="1" thickBot="1">
      <c r="B3" s="109" t="s">
        <v>573</v>
      </c>
      <c r="C3" s="175" t="s">
        <v>572</v>
      </c>
      <c r="D3" s="174"/>
      <c r="E3" s="173"/>
      <c r="F3" s="172"/>
      <c r="G3" s="171"/>
      <c r="H3" s="171"/>
      <c r="I3" s="146"/>
      <c r="J3" s="147"/>
      <c r="K3" s="147"/>
      <c r="L3" s="170"/>
      <c r="M3" s="149"/>
      <c r="N3" s="169"/>
      <c r="O3" s="169"/>
      <c r="P3" s="168" t="s">
        <v>571</v>
      </c>
      <c r="Q3" s="109" t="s">
        <v>570</v>
      </c>
    </row>
    <row r="4" spans="1:18" s="109" customFormat="1" ht="25.2" customHeight="1" thickBot="1">
      <c r="B4" s="109" t="s">
        <v>569</v>
      </c>
      <c r="C4" s="175" t="s">
        <v>568</v>
      </c>
      <c r="D4" s="174"/>
      <c r="E4" s="173"/>
      <c r="F4" s="172"/>
      <c r="G4" s="171"/>
      <c r="H4" s="171"/>
      <c r="I4" s="146"/>
      <c r="J4" s="147"/>
      <c r="K4" s="147"/>
      <c r="L4" s="170"/>
      <c r="M4" s="149"/>
      <c r="N4" s="169"/>
      <c r="O4" s="169"/>
      <c r="P4" s="168" t="s">
        <v>567</v>
      </c>
      <c r="Q4" s="109" t="s">
        <v>566</v>
      </c>
    </row>
    <row r="5" spans="1:18" s="108" customFormat="1" ht="25.2" customHeight="1" thickBot="1">
      <c r="C5" s="167" t="s">
        <v>565</v>
      </c>
      <c r="D5" s="110"/>
      <c r="E5" s="111"/>
      <c r="F5" s="112"/>
      <c r="G5" s="113"/>
      <c r="H5" s="113"/>
      <c r="I5" s="114"/>
      <c r="J5" s="115"/>
      <c r="K5" s="115"/>
      <c r="L5" s="116"/>
      <c r="M5" s="117"/>
      <c r="N5" s="118"/>
      <c r="O5" s="118"/>
      <c r="P5" s="119"/>
    </row>
    <row r="6" spans="1:18" s="108" customFormat="1" ht="25.2" customHeight="1" thickBot="1">
      <c r="B6" s="109"/>
      <c r="C6" s="167" t="s">
        <v>564</v>
      </c>
      <c r="D6" s="110"/>
      <c r="E6" s="111"/>
      <c r="F6" s="112"/>
      <c r="G6" s="113"/>
      <c r="H6" s="113"/>
      <c r="I6" s="114"/>
      <c r="J6" s="115"/>
      <c r="K6" s="115"/>
      <c r="L6" s="116"/>
      <c r="M6" s="117"/>
      <c r="N6" s="118"/>
      <c r="O6" s="118"/>
      <c r="P6" s="119"/>
    </row>
    <row r="7" spans="1:18" s="108" customFormat="1" ht="25.2" customHeight="1">
      <c r="B7" s="109"/>
      <c r="C7" s="110"/>
      <c r="D7" s="110"/>
      <c r="E7" s="111"/>
      <c r="F7" s="112"/>
      <c r="G7" s="113"/>
      <c r="H7" s="113"/>
      <c r="I7" s="114"/>
      <c r="J7" s="115"/>
      <c r="K7" s="115"/>
      <c r="L7" s="116"/>
      <c r="M7" s="117"/>
      <c r="N7" s="118"/>
      <c r="O7" s="118"/>
      <c r="P7" s="119"/>
    </row>
    <row r="8" spans="1:18" s="126" customFormat="1" ht="25.2" customHeight="1">
      <c r="A8" s="120" t="s">
        <v>50</v>
      </c>
      <c r="B8" s="120" t="s">
        <v>51</v>
      </c>
      <c r="C8" s="120" t="s">
        <v>52</v>
      </c>
      <c r="D8" s="120" t="s">
        <v>47</v>
      </c>
      <c r="E8" s="121" t="s">
        <v>48</v>
      </c>
      <c r="F8" s="120" t="s">
        <v>53</v>
      </c>
      <c r="G8" s="122" t="s">
        <v>54</v>
      </c>
      <c r="H8" s="122" t="s">
        <v>55</v>
      </c>
      <c r="I8" s="122" t="s">
        <v>56</v>
      </c>
      <c r="J8" s="120" t="s">
        <v>57</v>
      </c>
      <c r="K8" s="120" t="s">
        <v>58</v>
      </c>
      <c r="L8" s="123" t="s">
        <v>59</v>
      </c>
      <c r="M8" s="124" t="s">
        <v>60</v>
      </c>
      <c r="N8" s="125" t="s">
        <v>61</v>
      </c>
      <c r="O8" s="125" t="s">
        <v>62</v>
      </c>
      <c r="P8" s="123" t="s">
        <v>63</v>
      </c>
      <c r="Q8" s="120" t="s">
        <v>49</v>
      </c>
    </row>
    <row r="9" spans="1:18">
      <c r="A9" s="127">
        <v>1</v>
      </c>
      <c r="B9" s="128" t="s">
        <v>319</v>
      </c>
      <c r="C9" s="128" t="s">
        <v>99</v>
      </c>
      <c r="D9" s="129" t="s">
        <v>563</v>
      </c>
      <c r="E9" s="130">
        <v>5</v>
      </c>
      <c r="F9" s="131" t="s">
        <v>101</v>
      </c>
      <c r="G9" s="141">
        <v>36</v>
      </c>
      <c r="H9" s="128"/>
      <c r="I9" s="141">
        <v>180</v>
      </c>
      <c r="J9" s="132" t="s">
        <v>316</v>
      </c>
      <c r="K9" s="133">
        <v>46185</v>
      </c>
      <c r="L9" s="134">
        <v>46190</v>
      </c>
      <c r="M9" s="135">
        <v>46197</v>
      </c>
      <c r="N9" s="136">
        <f t="shared" ref="N9:N72" si="0">M9-K9</f>
        <v>12</v>
      </c>
      <c r="O9" s="136">
        <f t="shared" ref="O9:O72" si="1">L9-M9</f>
        <v>-7</v>
      </c>
      <c r="P9" s="137">
        <v>46197</v>
      </c>
      <c r="Q9" s="128"/>
      <c r="R9" s="139">
        <v>1</v>
      </c>
    </row>
    <row r="10" spans="1:18">
      <c r="A10" s="127">
        <v>2</v>
      </c>
      <c r="B10" s="128" t="s">
        <v>319</v>
      </c>
      <c r="C10" s="128" t="s">
        <v>99</v>
      </c>
      <c r="D10" s="129" t="s">
        <v>562</v>
      </c>
      <c r="E10" s="130">
        <v>10</v>
      </c>
      <c r="F10" s="131" t="s">
        <v>101</v>
      </c>
      <c r="G10" s="141">
        <v>36</v>
      </c>
      <c r="H10" s="128"/>
      <c r="I10" s="141">
        <v>360</v>
      </c>
      <c r="J10" s="132" t="s">
        <v>316</v>
      </c>
      <c r="K10" s="133">
        <v>46185</v>
      </c>
      <c r="L10" s="134">
        <v>46190</v>
      </c>
      <c r="M10" s="135">
        <v>46196</v>
      </c>
      <c r="N10" s="136">
        <f t="shared" si="0"/>
        <v>11</v>
      </c>
      <c r="O10" s="136">
        <f t="shared" si="1"/>
        <v>-6</v>
      </c>
      <c r="P10" s="137">
        <v>46196</v>
      </c>
      <c r="Q10" s="128"/>
      <c r="R10" s="139">
        <v>2</v>
      </c>
    </row>
    <row r="11" spans="1:18">
      <c r="A11" s="127">
        <v>3</v>
      </c>
      <c r="B11" s="128" t="s">
        <v>319</v>
      </c>
      <c r="C11" s="128" t="s">
        <v>99</v>
      </c>
      <c r="D11" s="129" t="s">
        <v>561</v>
      </c>
      <c r="E11" s="130">
        <v>5</v>
      </c>
      <c r="F11" s="131" t="s">
        <v>101</v>
      </c>
      <c r="G11" s="141">
        <v>36</v>
      </c>
      <c r="H11" s="128"/>
      <c r="I11" s="141">
        <v>180</v>
      </c>
      <c r="J11" s="132" t="s">
        <v>316</v>
      </c>
      <c r="K11" s="133">
        <v>46185</v>
      </c>
      <c r="L11" s="134">
        <v>46190</v>
      </c>
      <c r="M11" s="135">
        <v>46196</v>
      </c>
      <c r="N11" s="136">
        <f t="shared" si="0"/>
        <v>11</v>
      </c>
      <c r="O11" s="136">
        <f t="shared" si="1"/>
        <v>-6</v>
      </c>
      <c r="P11" s="137">
        <v>46196</v>
      </c>
      <c r="Q11" s="128"/>
      <c r="R11" s="139">
        <v>3</v>
      </c>
    </row>
    <row r="12" spans="1:18">
      <c r="A12" s="127">
        <v>4</v>
      </c>
      <c r="B12" s="128" t="s">
        <v>86</v>
      </c>
      <c r="C12" s="128" t="s">
        <v>560</v>
      </c>
      <c r="D12" s="129" t="s">
        <v>559</v>
      </c>
      <c r="E12" s="130">
        <v>1</v>
      </c>
      <c r="F12" s="131" t="s">
        <v>67</v>
      </c>
      <c r="G12" s="141">
        <v>12345</v>
      </c>
      <c r="H12" s="142">
        <v>495</v>
      </c>
      <c r="I12" s="141">
        <f>G12-H12</f>
        <v>11850</v>
      </c>
      <c r="J12" s="132" t="s">
        <v>558</v>
      </c>
      <c r="K12" s="133">
        <v>46142</v>
      </c>
      <c r="L12" s="134">
        <v>46174</v>
      </c>
      <c r="M12" s="135">
        <v>46178</v>
      </c>
      <c r="N12" s="136">
        <f t="shared" si="0"/>
        <v>36</v>
      </c>
      <c r="O12" s="136">
        <f t="shared" si="1"/>
        <v>-4</v>
      </c>
      <c r="P12" s="137">
        <v>46178</v>
      </c>
      <c r="Q12" s="128" t="s">
        <v>111</v>
      </c>
      <c r="R12" s="139">
        <v>4</v>
      </c>
    </row>
    <row r="13" spans="1:18">
      <c r="A13" s="127">
        <v>5</v>
      </c>
      <c r="B13" s="128" t="s">
        <v>557</v>
      </c>
      <c r="C13" s="128" t="s">
        <v>556</v>
      </c>
      <c r="D13" s="129" t="s">
        <v>555</v>
      </c>
      <c r="E13" s="130">
        <v>2</v>
      </c>
      <c r="F13" s="131" t="s">
        <v>67</v>
      </c>
      <c r="G13" s="141">
        <v>1180</v>
      </c>
      <c r="H13" s="128"/>
      <c r="I13" s="141">
        <v>2360</v>
      </c>
      <c r="J13" s="132" t="s">
        <v>554</v>
      </c>
      <c r="K13" s="133">
        <v>46181</v>
      </c>
      <c r="L13" s="134">
        <v>46191</v>
      </c>
      <c r="M13" s="135">
        <v>46195</v>
      </c>
      <c r="N13" s="136">
        <f t="shared" si="0"/>
        <v>14</v>
      </c>
      <c r="O13" s="136">
        <f t="shared" si="1"/>
        <v>-4</v>
      </c>
      <c r="P13" s="137">
        <v>46195</v>
      </c>
      <c r="Q13" s="128" t="s">
        <v>553</v>
      </c>
      <c r="R13" s="139">
        <v>5</v>
      </c>
    </row>
    <row r="14" spans="1:18">
      <c r="A14" s="127">
        <v>6</v>
      </c>
      <c r="B14" s="128" t="s">
        <v>550</v>
      </c>
      <c r="C14" s="128" t="s">
        <v>80</v>
      </c>
      <c r="D14" s="129" t="s">
        <v>552</v>
      </c>
      <c r="E14" s="130">
        <v>2</v>
      </c>
      <c r="F14" s="131" t="s">
        <v>67</v>
      </c>
      <c r="G14" s="141">
        <v>1500</v>
      </c>
      <c r="H14" s="142">
        <v>313.43</v>
      </c>
      <c r="I14" s="141">
        <v>2686.57</v>
      </c>
      <c r="J14" s="132" t="s">
        <v>548</v>
      </c>
      <c r="K14" s="133">
        <v>46168</v>
      </c>
      <c r="L14" s="134">
        <v>46182</v>
      </c>
      <c r="M14" s="135">
        <v>46184</v>
      </c>
      <c r="N14" s="136">
        <f t="shared" si="0"/>
        <v>16</v>
      </c>
      <c r="O14" s="136">
        <f t="shared" si="1"/>
        <v>-2</v>
      </c>
      <c r="P14" s="137">
        <v>46183</v>
      </c>
      <c r="Q14" s="128"/>
      <c r="R14" s="139">
        <v>6</v>
      </c>
    </row>
    <row r="15" spans="1:18">
      <c r="A15" s="127">
        <v>7</v>
      </c>
      <c r="B15" s="128" t="s">
        <v>550</v>
      </c>
      <c r="C15" s="128" t="s">
        <v>80</v>
      </c>
      <c r="D15" s="129" t="s">
        <v>551</v>
      </c>
      <c r="E15" s="130">
        <v>2</v>
      </c>
      <c r="F15" s="131" t="s">
        <v>67</v>
      </c>
      <c r="G15" s="141">
        <v>1000</v>
      </c>
      <c r="H15" s="142">
        <v>208.96</v>
      </c>
      <c r="I15" s="141">
        <v>1791.04</v>
      </c>
      <c r="J15" s="132" t="s">
        <v>548</v>
      </c>
      <c r="K15" s="133">
        <v>46168</v>
      </c>
      <c r="L15" s="134">
        <v>46182</v>
      </c>
      <c r="M15" s="135">
        <v>46184</v>
      </c>
      <c r="N15" s="136">
        <f t="shared" si="0"/>
        <v>16</v>
      </c>
      <c r="O15" s="136">
        <f t="shared" si="1"/>
        <v>-2</v>
      </c>
      <c r="P15" s="137">
        <v>46183</v>
      </c>
      <c r="Q15" s="128"/>
      <c r="R15" s="139">
        <v>7</v>
      </c>
    </row>
    <row r="16" spans="1:18">
      <c r="A16" s="127">
        <v>8</v>
      </c>
      <c r="B16" s="128" t="s">
        <v>550</v>
      </c>
      <c r="C16" s="128" t="s">
        <v>80</v>
      </c>
      <c r="D16" s="129" t="s">
        <v>549</v>
      </c>
      <c r="E16" s="130">
        <v>2</v>
      </c>
      <c r="F16" s="131" t="s">
        <v>67</v>
      </c>
      <c r="G16" s="141">
        <v>850</v>
      </c>
      <c r="H16" s="142">
        <v>177.61</v>
      </c>
      <c r="I16" s="141">
        <v>1522.39</v>
      </c>
      <c r="J16" s="132" t="s">
        <v>548</v>
      </c>
      <c r="K16" s="133">
        <v>46168</v>
      </c>
      <c r="L16" s="134">
        <v>46182</v>
      </c>
      <c r="M16" s="135">
        <v>46184</v>
      </c>
      <c r="N16" s="136">
        <f t="shared" si="0"/>
        <v>16</v>
      </c>
      <c r="O16" s="136">
        <f t="shared" si="1"/>
        <v>-2</v>
      </c>
      <c r="P16" s="137">
        <v>46183</v>
      </c>
      <c r="Q16" s="128"/>
      <c r="R16" s="139">
        <v>8</v>
      </c>
    </row>
    <row r="17" spans="1:18">
      <c r="A17" s="127">
        <v>9</v>
      </c>
      <c r="B17" s="128" t="s">
        <v>547</v>
      </c>
      <c r="C17" s="128" t="s">
        <v>93</v>
      </c>
      <c r="D17" s="129" t="s">
        <v>546</v>
      </c>
      <c r="E17" s="130">
        <v>6</v>
      </c>
      <c r="F17" s="131" t="s">
        <v>67</v>
      </c>
      <c r="G17" s="141">
        <v>900</v>
      </c>
      <c r="H17" s="142">
        <v>270</v>
      </c>
      <c r="I17" s="141">
        <v>5130</v>
      </c>
      <c r="J17" s="132" t="s">
        <v>545</v>
      </c>
      <c r="K17" s="133">
        <v>46183</v>
      </c>
      <c r="L17" s="134">
        <v>46186</v>
      </c>
      <c r="M17" s="135">
        <v>46188</v>
      </c>
      <c r="N17" s="136">
        <f t="shared" si="0"/>
        <v>5</v>
      </c>
      <c r="O17" s="136">
        <f t="shared" si="1"/>
        <v>-2</v>
      </c>
      <c r="P17" s="137">
        <v>46188</v>
      </c>
      <c r="Q17" s="128"/>
      <c r="R17" s="139">
        <v>9</v>
      </c>
    </row>
    <row r="18" spans="1:18">
      <c r="A18" s="127">
        <v>10</v>
      </c>
      <c r="B18" s="128" t="s">
        <v>544</v>
      </c>
      <c r="C18" s="128" t="s">
        <v>88</v>
      </c>
      <c r="D18" s="129" t="s">
        <v>543</v>
      </c>
      <c r="E18" s="130">
        <v>2</v>
      </c>
      <c r="F18" s="131" t="s">
        <v>67</v>
      </c>
      <c r="G18" s="141">
        <v>539</v>
      </c>
      <c r="H18" s="128"/>
      <c r="I18" s="141">
        <v>1078</v>
      </c>
      <c r="J18" s="132" t="s">
        <v>542</v>
      </c>
      <c r="K18" s="133">
        <v>46178</v>
      </c>
      <c r="L18" s="134">
        <v>46180</v>
      </c>
      <c r="M18" s="135">
        <v>46181</v>
      </c>
      <c r="N18" s="136">
        <f t="shared" si="0"/>
        <v>3</v>
      </c>
      <c r="O18" s="136">
        <f t="shared" si="1"/>
        <v>-1</v>
      </c>
      <c r="P18" s="137">
        <v>46181</v>
      </c>
      <c r="Q18" s="128" t="s">
        <v>448</v>
      </c>
      <c r="R18" s="139">
        <v>10</v>
      </c>
    </row>
    <row r="19" spans="1:18">
      <c r="A19" s="127">
        <v>11</v>
      </c>
      <c r="B19" s="128" t="s">
        <v>319</v>
      </c>
      <c r="C19" s="128" t="s">
        <v>541</v>
      </c>
      <c r="D19" s="129" t="s">
        <v>540</v>
      </c>
      <c r="E19" s="130">
        <v>200</v>
      </c>
      <c r="F19" s="131" t="s">
        <v>539</v>
      </c>
      <c r="G19" s="141">
        <v>7.5</v>
      </c>
      <c r="H19" s="128"/>
      <c r="I19" s="141">
        <v>1500</v>
      </c>
      <c r="J19" s="132" t="s">
        <v>538</v>
      </c>
      <c r="K19" s="133">
        <v>46184</v>
      </c>
      <c r="L19" s="153">
        <v>46195</v>
      </c>
      <c r="M19" s="135">
        <v>46195</v>
      </c>
      <c r="N19" s="136">
        <f t="shared" si="0"/>
        <v>11</v>
      </c>
      <c r="O19" s="136">
        <f t="shared" si="1"/>
        <v>0</v>
      </c>
      <c r="P19" s="137">
        <v>46192</v>
      </c>
      <c r="Q19" s="128"/>
      <c r="R19" s="139"/>
    </row>
    <row r="20" spans="1:18">
      <c r="A20" s="127">
        <v>12</v>
      </c>
      <c r="B20" s="128" t="s">
        <v>537</v>
      </c>
      <c r="C20" s="128" t="s">
        <v>536</v>
      </c>
      <c r="D20" s="129" t="s">
        <v>535</v>
      </c>
      <c r="E20" s="130">
        <v>1</v>
      </c>
      <c r="F20" s="131" t="s">
        <v>67</v>
      </c>
      <c r="G20" s="141">
        <v>450</v>
      </c>
      <c r="H20" s="128"/>
      <c r="I20" s="141">
        <v>450</v>
      </c>
      <c r="J20" s="132" t="s">
        <v>534</v>
      </c>
      <c r="K20" s="133">
        <v>46199</v>
      </c>
      <c r="L20" s="153">
        <v>46200</v>
      </c>
      <c r="M20" s="135">
        <v>46200</v>
      </c>
      <c r="N20" s="136">
        <f t="shared" si="0"/>
        <v>1</v>
      </c>
      <c r="O20" s="136">
        <f t="shared" si="1"/>
        <v>0</v>
      </c>
      <c r="P20" s="137">
        <v>46200</v>
      </c>
      <c r="Q20" s="128"/>
      <c r="R20" s="139"/>
    </row>
    <row r="21" spans="1:18">
      <c r="A21" s="127">
        <v>13</v>
      </c>
      <c r="B21" s="128" t="s">
        <v>532</v>
      </c>
      <c r="C21" s="128" t="s">
        <v>531</v>
      </c>
      <c r="D21" s="129" t="s">
        <v>533</v>
      </c>
      <c r="E21" s="130">
        <v>1</v>
      </c>
      <c r="F21" s="131" t="s">
        <v>75</v>
      </c>
      <c r="G21" s="130">
        <v>1090000</v>
      </c>
      <c r="H21" s="142">
        <v>25000</v>
      </c>
      <c r="I21" s="130">
        <v>1065000</v>
      </c>
      <c r="J21" s="132" t="s">
        <v>529</v>
      </c>
      <c r="K21" s="133">
        <v>46056</v>
      </c>
      <c r="L21" s="153">
        <v>46202</v>
      </c>
      <c r="M21" s="135">
        <v>46202</v>
      </c>
      <c r="N21" s="136">
        <f t="shared" si="0"/>
        <v>146</v>
      </c>
      <c r="O21" s="136">
        <f t="shared" si="1"/>
        <v>0</v>
      </c>
      <c r="P21" s="137">
        <v>46198</v>
      </c>
      <c r="Q21" s="128"/>
      <c r="R21" s="139"/>
    </row>
    <row r="22" spans="1:18">
      <c r="A22" s="127">
        <v>14</v>
      </c>
      <c r="B22" s="128" t="s">
        <v>532</v>
      </c>
      <c r="C22" s="128" t="s">
        <v>531</v>
      </c>
      <c r="D22" s="129" t="s">
        <v>530</v>
      </c>
      <c r="E22" s="130">
        <v>1</v>
      </c>
      <c r="F22" s="131" t="s">
        <v>75</v>
      </c>
      <c r="G22" s="130">
        <v>235000</v>
      </c>
      <c r="H22" s="142"/>
      <c r="I22" s="130">
        <v>235000</v>
      </c>
      <c r="J22" s="132" t="s">
        <v>529</v>
      </c>
      <c r="K22" s="133">
        <v>46056</v>
      </c>
      <c r="L22" s="153">
        <v>46202</v>
      </c>
      <c r="M22" s="135">
        <v>46202</v>
      </c>
      <c r="N22" s="136">
        <f t="shared" si="0"/>
        <v>146</v>
      </c>
      <c r="O22" s="136">
        <f t="shared" si="1"/>
        <v>0</v>
      </c>
      <c r="P22" s="137">
        <v>46198</v>
      </c>
      <c r="Q22" s="128"/>
      <c r="R22" s="139"/>
    </row>
    <row r="23" spans="1:18">
      <c r="A23" s="127">
        <v>15</v>
      </c>
      <c r="B23" s="128" t="s">
        <v>526</v>
      </c>
      <c r="C23" s="128" t="s">
        <v>521</v>
      </c>
      <c r="D23" s="129" t="s">
        <v>528</v>
      </c>
      <c r="E23" s="130">
        <v>1</v>
      </c>
      <c r="F23" s="131" t="s">
        <v>67</v>
      </c>
      <c r="G23" s="141">
        <v>8567.4500000000007</v>
      </c>
      <c r="H23" s="128"/>
      <c r="I23" s="141">
        <v>8567.4500000000007</v>
      </c>
      <c r="J23" s="132" t="s">
        <v>524</v>
      </c>
      <c r="K23" s="133">
        <v>46157</v>
      </c>
      <c r="L23" s="153">
        <v>46186</v>
      </c>
      <c r="M23" s="135">
        <v>46186</v>
      </c>
      <c r="N23" s="136">
        <f t="shared" si="0"/>
        <v>29</v>
      </c>
      <c r="O23" s="136">
        <f t="shared" si="1"/>
        <v>0</v>
      </c>
      <c r="P23" s="137">
        <v>46186</v>
      </c>
      <c r="Q23" s="128" t="s">
        <v>518</v>
      </c>
      <c r="R23" s="139"/>
    </row>
    <row r="24" spans="1:18">
      <c r="A24" s="127">
        <v>16</v>
      </c>
      <c r="B24" s="128" t="s">
        <v>526</v>
      </c>
      <c r="C24" s="128" t="s">
        <v>521</v>
      </c>
      <c r="D24" s="129" t="s">
        <v>527</v>
      </c>
      <c r="E24" s="130">
        <v>1</v>
      </c>
      <c r="F24" s="131" t="s">
        <v>67</v>
      </c>
      <c r="G24" s="141">
        <v>9537.35</v>
      </c>
      <c r="H24" s="128"/>
      <c r="I24" s="141">
        <v>9537.35</v>
      </c>
      <c r="J24" s="132" t="s">
        <v>524</v>
      </c>
      <c r="K24" s="133">
        <v>46157</v>
      </c>
      <c r="L24" s="153">
        <v>46186</v>
      </c>
      <c r="M24" s="135">
        <v>46186</v>
      </c>
      <c r="N24" s="136">
        <f t="shared" si="0"/>
        <v>29</v>
      </c>
      <c r="O24" s="136">
        <f t="shared" si="1"/>
        <v>0</v>
      </c>
      <c r="P24" s="137">
        <v>46186</v>
      </c>
      <c r="Q24" s="128" t="s">
        <v>518</v>
      </c>
      <c r="R24" s="139"/>
    </row>
    <row r="25" spans="1:18">
      <c r="A25" s="127">
        <v>17</v>
      </c>
      <c r="B25" s="128" t="s">
        <v>526</v>
      </c>
      <c r="C25" s="128" t="s">
        <v>521</v>
      </c>
      <c r="D25" s="129" t="s">
        <v>525</v>
      </c>
      <c r="E25" s="130">
        <v>1</v>
      </c>
      <c r="F25" s="131" t="s">
        <v>67</v>
      </c>
      <c r="G25" s="141">
        <v>2974.36</v>
      </c>
      <c r="H25" s="128"/>
      <c r="I25" s="141">
        <v>2974.36</v>
      </c>
      <c r="J25" s="132" t="s">
        <v>524</v>
      </c>
      <c r="K25" s="133">
        <v>46157</v>
      </c>
      <c r="L25" s="153">
        <v>46186</v>
      </c>
      <c r="M25" s="135">
        <v>46186</v>
      </c>
      <c r="N25" s="136">
        <f t="shared" si="0"/>
        <v>29</v>
      </c>
      <c r="O25" s="136">
        <f t="shared" si="1"/>
        <v>0</v>
      </c>
      <c r="P25" s="137">
        <v>46186</v>
      </c>
      <c r="Q25" s="128" t="s">
        <v>518</v>
      </c>
      <c r="R25" s="139"/>
    </row>
    <row r="26" spans="1:18">
      <c r="A26" s="127">
        <v>18</v>
      </c>
      <c r="B26" s="128" t="s">
        <v>522</v>
      </c>
      <c r="C26" s="128" t="s">
        <v>521</v>
      </c>
      <c r="D26" s="129" t="s">
        <v>523</v>
      </c>
      <c r="E26" s="130">
        <v>2</v>
      </c>
      <c r="F26" s="131" t="s">
        <v>67</v>
      </c>
      <c r="G26" s="141">
        <v>2974.36</v>
      </c>
      <c r="H26" s="128"/>
      <c r="I26" s="141">
        <v>5948.72</v>
      </c>
      <c r="J26" s="132" t="s">
        <v>519</v>
      </c>
      <c r="K26" s="133">
        <v>46157</v>
      </c>
      <c r="L26" s="153">
        <v>46186</v>
      </c>
      <c r="M26" s="135">
        <v>46186</v>
      </c>
      <c r="N26" s="136">
        <f t="shared" si="0"/>
        <v>29</v>
      </c>
      <c r="O26" s="136">
        <f t="shared" si="1"/>
        <v>0</v>
      </c>
      <c r="P26" s="137">
        <v>46186</v>
      </c>
      <c r="Q26" s="128" t="s">
        <v>518</v>
      </c>
      <c r="R26" s="139"/>
    </row>
    <row r="27" spans="1:18">
      <c r="A27" s="127">
        <v>19</v>
      </c>
      <c r="B27" s="128" t="s">
        <v>522</v>
      </c>
      <c r="C27" s="128" t="s">
        <v>521</v>
      </c>
      <c r="D27" s="129" t="s">
        <v>520</v>
      </c>
      <c r="E27" s="130">
        <v>2</v>
      </c>
      <c r="F27" s="131" t="s">
        <v>67</v>
      </c>
      <c r="G27" s="141">
        <v>3168.34</v>
      </c>
      <c r="H27" s="128"/>
      <c r="I27" s="141">
        <v>6336.68</v>
      </c>
      <c r="J27" s="132" t="s">
        <v>519</v>
      </c>
      <c r="K27" s="133">
        <v>46157</v>
      </c>
      <c r="L27" s="153">
        <v>46186</v>
      </c>
      <c r="M27" s="135">
        <v>46186</v>
      </c>
      <c r="N27" s="136">
        <f t="shared" si="0"/>
        <v>29</v>
      </c>
      <c r="O27" s="136">
        <f t="shared" si="1"/>
        <v>0</v>
      </c>
      <c r="P27" s="137">
        <v>46186</v>
      </c>
      <c r="Q27" s="128" t="s">
        <v>518</v>
      </c>
      <c r="R27" s="139"/>
    </row>
    <row r="28" spans="1:18">
      <c r="A28" s="127">
        <v>20</v>
      </c>
      <c r="B28" s="128" t="s">
        <v>479</v>
      </c>
      <c r="C28" s="128" t="s">
        <v>478</v>
      </c>
      <c r="D28" s="129" t="s">
        <v>517</v>
      </c>
      <c r="E28" s="130">
        <v>1</v>
      </c>
      <c r="F28" s="131" t="s">
        <v>92</v>
      </c>
      <c r="G28" s="141">
        <v>2800</v>
      </c>
      <c r="H28" s="128"/>
      <c r="I28" s="141">
        <v>2800</v>
      </c>
      <c r="J28" s="132" t="s">
        <v>476</v>
      </c>
      <c r="K28" s="133">
        <v>46171</v>
      </c>
      <c r="L28" s="153">
        <v>46195</v>
      </c>
      <c r="M28" s="135">
        <v>46195</v>
      </c>
      <c r="N28" s="136">
        <f t="shared" si="0"/>
        <v>24</v>
      </c>
      <c r="O28" s="136">
        <f t="shared" si="1"/>
        <v>0</v>
      </c>
      <c r="P28" s="137">
        <v>46195</v>
      </c>
      <c r="Q28" s="128" t="s">
        <v>516</v>
      </c>
      <c r="R28" s="139"/>
    </row>
    <row r="29" spans="1:18">
      <c r="A29" s="127">
        <v>21</v>
      </c>
      <c r="B29" s="128" t="s">
        <v>508</v>
      </c>
      <c r="C29" s="128" t="s">
        <v>78</v>
      </c>
      <c r="D29" s="129" t="s">
        <v>511</v>
      </c>
      <c r="E29" s="130">
        <v>1</v>
      </c>
      <c r="F29" s="131" t="s">
        <v>146</v>
      </c>
      <c r="G29" s="130">
        <v>8000</v>
      </c>
      <c r="H29" s="142"/>
      <c r="I29" s="130">
        <v>8000</v>
      </c>
      <c r="J29" s="132" t="s">
        <v>512</v>
      </c>
      <c r="K29" s="133">
        <v>46031</v>
      </c>
      <c r="L29" s="153">
        <v>46197</v>
      </c>
      <c r="M29" s="135">
        <v>46197</v>
      </c>
      <c r="N29" s="136">
        <f t="shared" si="0"/>
        <v>166</v>
      </c>
      <c r="O29" s="136">
        <f t="shared" si="1"/>
        <v>0</v>
      </c>
      <c r="P29" s="137">
        <v>46197</v>
      </c>
      <c r="Q29" s="128" t="s">
        <v>515</v>
      </c>
      <c r="R29" s="139"/>
    </row>
    <row r="30" spans="1:18">
      <c r="A30" s="127">
        <v>22</v>
      </c>
      <c r="B30" s="128" t="s">
        <v>508</v>
      </c>
      <c r="C30" s="128" t="s">
        <v>78</v>
      </c>
      <c r="D30" s="129" t="s">
        <v>510</v>
      </c>
      <c r="E30" s="130">
        <v>3.5</v>
      </c>
      <c r="F30" s="131" t="s">
        <v>146</v>
      </c>
      <c r="G30" s="130">
        <v>2000</v>
      </c>
      <c r="H30" s="142"/>
      <c r="I30" s="130">
        <v>7000</v>
      </c>
      <c r="J30" s="132" t="s">
        <v>512</v>
      </c>
      <c r="K30" s="133">
        <v>46031</v>
      </c>
      <c r="L30" s="153">
        <v>46197</v>
      </c>
      <c r="M30" s="135">
        <v>46197</v>
      </c>
      <c r="N30" s="136">
        <f t="shared" si="0"/>
        <v>166</v>
      </c>
      <c r="O30" s="136">
        <f t="shared" si="1"/>
        <v>0</v>
      </c>
      <c r="P30" s="137">
        <v>46197</v>
      </c>
      <c r="Q30" s="128"/>
      <c r="R30" s="139"/>
    </row>
    <row r="31" spans="1:18">
      <c r="A31" s="127">
        <v>23</v>
      </c>
      <c r="B31" s="128" t="s">
        <v>508</v>
      </c>
      <c r="C31" s="128" t="s">
        <v>78</v>
      </c>
      <c r="D31" s="129" t="s">
        <v>509</v>
      </c>
      <c r="E31" s="130">
        <v>1</v>
      </c>
      <c r="F31" s="131" t="s">
        <v>146</v>
      </c>
      <c r="G31" s="130">
        <v>2500</v>
      </c>
      <c r="H31" s="142"/>
      <c r="I31" s="130">
        <v>2500</v>
      </c>
      <c r="J31" s="132" t="s">
        <v>512</v>
      </c>
      <c r="K31" s="133">
        <v>46031</v>
      </c>
      <c r="L31" s="153">
        <v>46197</v>
      </c>
      <c r="M31" s="135">
        <v>46197</v>
      </c>
      <c r="N31" s="136">
        <f t="shared" si="0"/>
        <v>166</v>
      </c>
      <c r="O31" s="136">
        <f t="shared" si="1"/>
        <v>0</v>
      </c>
      <c r="P31" s="137">
        <v>46197</v>
      </c>
      <c r="Q31" s="128"/>
      <c r="R31" s="139"/>
    </row>
    <row r="32" spans="1:18">
      <c r="A32" s="127">
        <v>24</v>
      </c>
      <c r="B32" s="128" t="s">
        <v>508</v>
      </c>
      <c r="C32" s="128" t="s">
        <v>78</v>
      </c>
      <c r="D32" s="129" t="s">
        <v>514</v>
      </c>
      <c r="E32" s="130">
        <v>1</v>
      </c>
      <c r="F32" s="131" t="s">
        <v>53</v>
      </c>
      <c r="G32" s="130">
        <v>23960</v>
      </c>
      <c r="H32" s="142"/>
      <c r="I32" s="130">
        <v>23960</v>
      </c>
      <c r="J32" s="132" t="s">
        <v>512</v>
      </c>
      <c r="K32" s="133">
        <v>46031</v>
      </c>
      <c r="L32" s="153">
        <v>46197</v>
      </c>
      <c r="M32" s="135">
        <v>46197</v>
      </c>
      <c r="N32" s="136">
        <f t="shared" si="0"/>
        <v>166</v>
      </c>
      <c r="O32" s="136">
        <f t="shared" si="1"/>
        <v>0</v>
      </c>
      <c r="P32" s="137">
        <v>46197</v>
      </c>
      <c r="Q32" s="128"/>
      <c r="R32" s="139"/>
    </row>
    <row r="33" spans="1:18">
      <c r="A33" s="127">
        <v>25</v>
      </c>
      <c r="B33" s="128" t="s">
        <v>508</v>
      </c>
      <c r="C33" s="128" t="s">
        <v>78</v>
      </c>
      <c r="D33" s="129" t="s">
        <v>513</v>
      </c>
      <c r="E33" s="130">
        <v>1</v>
      </c>
      <c r="F33" s="131" t="s">
        <v>53</v>
      </c>
      <c r="G33" s="130">
        <v>1910</v>
      </c>
      <c r="H33" s="142"/>
      <c r="I33" s="130">
        <v>1910</v>
      </c>
      <c r="J33" s="132" t="s">
        <v>512</v>
      </c>
      <c r="K33" s="133">
        <v>46031</v>
      </c>
      <c r="L33" s="153">
        <v>46197</v>
      </c>
      <c r="M33" s="135">
        <v>46197</v>
      </c>
      <c r="N33" s="136">
        <f t="shared" si="0"/>
        <v>166</v>
      </c>
      <c r="O33" s="136">
        <f t="shared" si="1"/>
        <v>0</v>
      </c>
      <c r="P33" s="137">
        <v>46197</v>
      </c>
      <c r="Q33" s="128"/>
      <c r="R33" s="139"/>
    </row>
    <row r="34" spans="1:18">
      <c r="A34" s="127">
        <v>26</v>
      </c>
      <c r="B34" s="128" t="s">
        <v>508</v>
      </c>
      <c r="C34" s="128" t="s">
        <v>78</v>
      </c>
      <c r="D34" s="129" t="s">
        <v>511</v>
      </c>
      <c r="E34" s="130">
        <v>1</v>
      </c>
      <c r="F34" s="131" t="s">
        <v>146</v>
      </c>
      <c r="G34" s="130">
        <v>8000</v>
      </c>
      <c r="H34" s="142"/>
      <c r="I34" s="130">
        <v>8000</v>
      </c>
      <c r="J34" s="132" t="s">
        <v>506</v>
      </c>
      <c r="K34" s="133">
        <v>46031</v>
      </c>
      <c r="L34" s="153">
        <v>46197</v>
      </c>
      <c r="M34" s="135">
        <v>46197</v>
      </c>
      <c r="N34" s="136">
        <f t="shared" si="0"/>
        <v>166</v>
      </c>
      <c r="O34" s="136">
        <f t="shared" si="1"/>
        <v>0</v>
      </c>
      <c r="P34" s="137">
        <v>46197</v>
      </c>
      <c r="Q34" s="128"/>
      <c r="R34" s="139"/>
    </row>
    <row r="35" spans="1:18">
      <c r="A35" s="127">
        <v>27</v>
      </c>
      <c r="B35" s="128" t="s">
        <v>508</v>
      </c>
      <c r="C35" s="128" t="s">
        <v>78</v>
      </c>
      <c r="D35" s="129" t="s">
        <v>510</v>
      </c>
      <c r="E35" s="130">
        <v>2</v>
      </c>
      <c r="F35" s="131" t="s">
        <v>146</v>
      </c>
      <c r="G35" s="130">
        <v>2000</v>
      </c>
      <c r="H35" s="142"/>
      <c r="I35" s="130">
        <v>4000</v>
      </c>
      <c r="J35" s="132" t="s">
        <v>506</v>
      </c>
      <c r="K35" s="133">
        <v>46031</v>
      </c>
      <c r="L35" s="153">
        <v>46197</v>
      </c>
      <c r="M35" s="135">
        <v>46197</v>
      </c>
      <c r="N35" s="136">
        <f t="shared" si="0"/>
        <v>166</v>
      </c>
      <c r="O35" s="136">
        <f t="shared" si="1"/>
        <v>0</v>
      </c>
      <c r="P35" s="137">
        <v>46197</v>
      </c>
      <c r="Q35" s="128"/>
      <c r="R35" s="139"/>
    </row>
    <row r="36" spans="1:18">
      <c r="A36" s="127">
        <v>28</v>
      </c>
      <c r="B36" s="128" t="s">
        <v>508</v>
      </c>
      <c r="C36" s="128" t="s">
        <v>78</v>
      </c>
      <c r="D36" s="129" t="s">
        <v>509</v>
      </c>
      <c r="E36" s="130">
        <v>1</v>
      </c>
      <c r="F36" s="131" t="s">
        <v>146</v>
      </c>
      <c r="G36" s="130">
        <v>2500</v>
      </c>
      <c r="H36" s="142"/>
      <c r="I36" s="130">
        <v>2500</v>
      </c>
      <c r="J36" s="132" t="s">
        <v>506</v>
      </c>
      <c r="K36" s="133">
        <v>46031</v>
      </c>
      <c r="L36" s="153">
        <v>46197</v>
      </c>
      <c r="M36" s="135">
        <v>46197</v>
      </c>
      <c r="N36" s="136">
        <f t="shared" si="0"/>
        <v>166</v>
      </c>
      <c r="O36" s="136">
        <f t="shared" si="1"/>
        <v>0</v>
      </c>
      <c r="P36" s="137">
        <v>46197</v>
      </c>
      <c r="Q36" s="128"/>
      <c r="R36" s="139"/>
    </row>
    <row r="37" spans="1:18">
      <c r="A37" s="127">
        <v>29</v>
      </c>
      <c r="B37" s="128" t="s">
        <v>508</v>
      </c>
      <c r="C37" s="128" t="s">
        <v>78</v>
      </c>
      <c r="D37" s="129" t="s">
        <v>507</v>
      </c>
      <c r="E37" s="130">
        <v>1</v>
      </c>
      <c r="F37" s="131" t="s">
        <v>53</v>
      </c>
      <c r="G37" s="130">
        <v>630</v>
      </c>
      <c r="H37" s="142"/>
      <c r="I37" s="130">
        <v>630</v>
      </c>
      <c r="J37" s="132" t="s">
        <v>506</v>
      </c>
      <c r="K37" s="133">
        <v>46031</v>
      </c>
      <c r="L37" s="153">
        <v>46197</v>
      </c>
      <c r="M37" s="135">
        <v>46197</v>
      </c>
      <c r="N37" s="136">
        <f t="shared" si="0"/>
        <v>166</v>
      </c>
      <c r="O37" s="136">
        <f t="shared" si="1"/>
        <v>0</v>
      </c>
      <c r="P37" s="137">
        <v>46197</v>
      </c>
      <c r="Q37" s="128"/>
      <c r="R37" s="139"/>
    </row>
    <row r="38" spans="1:18">
      <c r="A38" s="127">
        <v>30</v>
      </c>
      <c r="B38" s="128" t="s">
        <v>503</v>
      </c>
      <c r="C38" s="128" t="s">
        <v>80</v>
      </c>
      <c r="D38" s="129" t="s">
        <v>505</v>
      </c>
      <c r="E38" s="130">
        <v>1</v>
      </c>
      <c r="F38" s="131" t="s">
        <v>67</v>
      </c>
      <c r="G38" s="141">
        <v>500</v>
      </c>
      <c r="H38" s="128"/>
      <c r="I38" s="141">
        <v>500</v>
      </c>
      <c r="J38" s="132" t="s">
        <v>501</v>
      </c>
      <c r="K38" s="133">
        <v>46163</v>
      </c>
      <c r="L38" s="134">
        <v>46175</v>
      </c>
      <c r="M38" s="135">
        <v>46175</v>
      </c>
      <c r="N38" s="136">
        <f t="shared" si="0"/>
        <v>12</v>
      </c>
      <c r="O38" s="136">
        <f t="shared" si="1"/>
        <v>0</v>
      </c>
      <c r="P38" s="137">
        <v>46175</v>
      </c>
      <c r="Q38" s="128"/>
    </row>
    <row r="39" spans="1:18">
      <c r="A39" s="127">
        <v>31</v>
      </c>
      <c r="B39" s="128" t="s">
        <v>503</v>
      </c>
      <c r="C39" s="128" t="s">
        <v>80</v>
      </c>
      <c r="D39" s="129" t="s">
        <v>504</v>
      </c>
      <c r="E39" s="130">
        <v>1</v>
      </c>
      <c r="F39" s="131" t="s">
        <v>67</v>
      </c>
      <c r="G39" s="141">
        <v>500</v>
      </c>
      <c r="H39" s="128"/>
      <c r="I39" s="141">
        <v>500</v>
      </c>
      <c r="J39" s="132" t="s">
        <v>501</v>
      </c>
      <c r="K39" s="133">
        <v>46163</v>
      </c>
      <c r="L39" s="134">
        <v>46175</v>
      </c>
      <c r="M39" s="135">
        <v>46175</v>
      </c>
      <c r="N39" s="136">
        <f t="shared" si="0"/>
        <v>12</v>
      </c>
      <c r="O39" s="136">
        <f t="shared" si="1"/>
        <v>0</v>
      </c>
      <c r="P39" s="137">
        <v>46175</v>
      </c>
      <c r="Q39" s="128"/>
    </row>
    <row r="40" spans="1:18">
      <c r="A40" s="127">
        <v>32</v>
      </c>
      <c r="B40" s="128" t="s">
        <v>503</v>
      </c>
      <c r="C40" s="128" t="s">
        <v>80</v>
      </c>
      <c r="D40" s="129" t="s">
        <v>502</v>
      </c>
      <c r="E40" s="130">
        <v>1</v>
      </c>
      <c r="F40" s="131" t="s">
        <v>67</v>
      </c>
      <c r="G40" s="141">
        <v>450</v>
      </c>
      <c r="H40" s="128"/>
      <c r="I40" s="141">
        <v>450</v>
      </c>
      <c r="J40" s="132" t="s">
        <v>501</v>
      </c>
      <c r="K40" s="133">
        <v>46163</v>
      </c>
      <c r="L40" s="134">
        <v>46175</v>
      </c>
      <c r="M40" s="135">
        <v>46175</v>
      </c>
      <c r="N40" s="136">
        <f t="shared" si="0"/>
        <v>12</v>
      </c>
      <c r="O40" s="136">
        <f t="shared" si="1"/>
        <v>0</v>
      </c>
      <c r="P40" s="137">
        <v>46175</v>
      </c>
      <c r="Q40" s="128"/>
    </row>
    <row r="41" spans="1:18">
      <c r="A41" s="127">
        <v>33</v>
      </c>
      <c r="B41" s="128" t="s">
        <v>499</v>
      </c>
      <c r="C41" s="128" t="s">
        <v>80</v>
      </c>
      <c r="D41" s="129" t="s">
        <v>500</v>
      </c>
      <c r="E41" s="130">
        <v>2</v>
      </c>
      <c r="F41" s="131" t="s">
        <v>67</v>
      </c>
      <c r="G41" s="141">
        <v>350</v>
      </c>
      <c r="H41" s="128"/>
      <c r="I41" s="141">
        <v>700</v>
      </c>
      <c r="J41" s="132" t="s">
        <v>497</v>
      </c>
      <c r="K41" s="133">
        <v>46163</v>
      </c>
      <c r="L41" s="134">
        <v>46175</v>
      </c>
      <c r="M41" s="135">
        <v>46175</v>
      </c>
      <c r="N41" s="136">
        <f t="shared" si="0"/>
        <v>12</v>
      </c>
      <c r="O41" s="136">
        <f t="shared" si="1"/>
        <v>0</v>
      </c>
      <c r="P41" s="137">
        <v>46175</v>
      </c>
      <c r="Q41" s="128"/>
    </row>
    <row r="42" spans="1:18">
      <c r="A42" s="127">
        <v>34</v>
      </c>
      <c r="B42" s="128" t="s">
        <v>499</v>
      </c>
      <c r="C42" s="128" t="s">
        <v>80</v>
      </c>
      <c r="D42" s="129" t="s">
        <v>498</v>
      </c>
      <c r="E42" s="130">
        <v>2</v>
      </c>
      <c r="F42" s="131" t="s">
        <v>67</v>
      </c>
      <c r="G42" s="141">
        <v>350</v>
      </c>
      <c r="H42" s="128"/>
      <c r="I42" s="141">
        <v>700</v>
      </c>
      <c r="J42" s="132" t="s">
        <v>497</v>
      </c>
      <c r="K42" s="133">
        <v>46163</v>
      </c>
      <c r="L42" s="134">
        <v>46175</v>
      </c>
      <c r="M42" s="135">
        <v>46175</v>
      </c>
      <c r="N42" s="136">
        <f t="shared" si="0"/>
        <v>12</v>
      </c>
      <c r="O42" s="136">
        <f t="shared" si="1"/>
        <v>0</v>
      </c>
      <c r="P42" s="137">
        <v>46175</v>
      </c>
      <c r="Q42" s="128"/>
    </row>
    <row r="43" spans="1:18">
      <c r="A43" s="127">
        <v>35</v>
      </c>
      <c r="B43" s="128" t="s">
        <v>485</v>
      </c>
      <c r="C43" s="128" t="s">
        <v>71</v>
      </c>
      <c r="D43" s="129" t="s">
        <v>496</v>
      </c>
      <c r="E43" s="130">
        <v>50</v>
      </c>
      <c r="F43" s="131" t="s">
        <v>67</v>
      </c>
      <c r="G43" s="141">
        <v>1.9</v>
      </c>
      <c r="H43" s="128"/>
      <c r="I43" s="141">
        <v>95</v>
      </c>
      <c r="J43" s="132" t="s">
        <v>483</v>
      </c>
      <c r="K43" s="133">
        <v>46170</v>
      </c>
      <c r="L43" s="134">
        <v>46175</v>
      </c>
      <c r="M43" s="135">
        <v>46175</v>
      </c>
      <c r="N43" s="136">
        <f t="shared" si="0"/>
        <v>5</v>
      </c>
      <c r="O43" s="136">
        <f t="shared" si="1"/>
        <v>0</v>
      </c>
      <c r="P43" s="137">
        <v>46175</v>
      </c>
      <c r="Q43" s="128"/>
    </row>
    <row r="44" spans="1:18">
      <c r="A44" s="127">
        <v>36</v>
      </c>
      <c r="B44" s="128" t="s">
        <v>485</v>
      </c>
      <c r="C44" s="128" t="s">
        <v>71</v>
      </c>
      <c r="D44" s="129" t="s">
        <v>495</v>
      </c>
      <c r="E44" s="130">
        <v>50</v>
      </c>
      <c r="F44" s="131" t="s">
        <v>67</v>
      </c>
      <c r="G44" s="141">
        <v>1.17</v>
      </c>
      <c r="H44" s="128"/>
      <c r="I44" s="141">
        <v>58.5</v>
      </c>
      <c r="J44" s="132" t="s">
        <v>483</v>
      </c>
      <c r="K44" s="133">
        <v>46170</v>
      </c>
      <c r="L44" s="134">
        <v>46175</v>
      </c>
      <c r="M44" s="135">
        <v>46175</v>
      </c>
      <c r="N44" s="136">
        <f t="shared" si="0"/>
        <v>5</v>
      </c>
      <c r="O44" s="136">
        <f t="shared" si="1"/>
        <v>0</v>
      </c>
      <c r="P44" s="137">
        <v>46175</v>
      </c>
      <c r="Q44" s="128"/>
    </row>
    <row r="45" spans="1:18">
      <c r="A45" s="127">
        <v>37</v>
      </c>
      <c r="B45" s="128" t="s">
        <v>485</v>
      </c>
      <c r="C45" s="128" t="s">
        <v>71</v>
      </c>
      <c r="D45" s="129" t="s">
        <v>494</v>
      </c>
      <c r="E45" s="130">
        <v>50</v>
      </c>
      <c r="F45" s="131" t="s">
        <v>67</v>
      </c>
      <c r="G45" s="141">
        <v>1.17</v>
      </c>
      <c r="H45" s="128"/>
      <c r="I45" s="141">
        <v>58.5</v>
      </c>
      <c r="J45" s="132" t="s">
        <v>483</v>
      </c>
      <c r="K45" s="133">
        <v>46170</v>
      </c>
      <c r="L45" s="134">
        <v>46175</v>
      </c>
      <c r="M45" s="135">
        <v>46175</v>
      </c>
      <c r="N45" s="136">
        <f t="shared" si="0"/>
        <v>5</v>
      </c>
      <c r="O45" s="136">
        <f t="shared" si="1"/>
        <v>0</v>
      </c>
      <c r="P45" s="137">
        <v>46175</v>
      </c>
      <c r="Q45" s="128"/>
    </row>
    <row r="46" spans="1:18">
      <c r="A46" s="127">
        <v>38</v>
      </c>
      <c r="B46" s="128" t="s">
        <v>485</v>
      </c>
      <c r="C46" s="128" t="s">
        <v>71</v>
      </c>
      <c r="D46" s="129" t="s">
        <v>493</v>
      </c>
      <c r="E46" s="130">
        <v>50</v>
      </c>
      <c r="F46" s="131" t="s">
        <v>67</v>
      </c>
      <c r="G46" s="141">
        <v>1.1399999999999999</v>
      </c>
      <c r="H46" s="128"/>
      <c r="I46" s="141">
        <v>57</v>
      </c>
      <c r="J46" s="132" t="s">
        <v>483</v>
      </c>
      <c r="K46" s="133">
        <v>46170</v>
      </c>
      <c r="L46" s="134">
        <v>46175</v>
      </c>
      <c r="M46" s="135">
        <v>46175</v>
      </c>
      <c r="N46" s="136">
        <f t="shared" si="0"/>
        <v>5</v>
      </c>
      <c r="O46" s="136">
        <f t="shared" si="1"/>
        <v>0</v>
      </c>
      <c r="P46" s="137">
        <v>46175</v>
      </c>
      <c r="Q46" s="128"/>
    </row>
    <row r="47" spans="1:18">
      <c r="A47" s="127">
        <v>39</v>
      </c>
      <c r="B47" s="128" t="s">
        <v>485</v>
      </c>
      <c r="C47" s="128" t="s">
        <v>71</v>
      </c>
      <c r="D47" s="129" t="s">
        <v>492</v>
      </c>
      <c r="E47" s="130">
        <v>50</v>
      </c>
      <c r="F47" s="131" t="s">
        <v>67</v>
      </c>
      <c r="G47" s="141">
        <v>1.37</v>
      </c>
      <c r="H47" s="128"/>
      <c r="I47" s="141">
        <v>68.5</v>
      </c>
      <c r="J47" s="132" t="s">
        <v>483</v>
      </c>
      <c r="K47" s="133">
        <v>46170</v>
      </c>
      <c r="L47" s="134">
        <v>46175</v>
      </c>
      <c r="M47" s="135">
        <v>46175</v>
      </c>
      <c r="N47" s="136">
        <f t="shared" si="0"/>
        <v>5</v>
      </c>
      <c r="O47" s="136">
        <f t="shared" si="1"/>
        <v>0</v>
      </c>
      <c r="P47" s="137">
        <v>46175</v>
      </c>
      <c r="Q47" s="128"/>
    </row>
    <row r="48" spans="1:18">
      <c r="A48" s="127">
        <v>40</v>
      </c>
      <c r="B48" s="128" t="s">
        <v>485</v>
      </c>
      <c r="C48" s="128" t="s">
        <v>71</v>
      </c>
      <c r="D48" s="129" t="s">
        <v>491</v>
      </c>
      <c r="E48" s="130">
        <v>100</v>
      </c>
      <c r="F48" s="131" t="s">
        <v>67</v>
      </c>
      <c r="G48" s="141">
        <v>1.1100000000000001</v>
      </c>
      <c r="H48" s="128"/>
      <c r="I48" s="141">
        <v>111</v>
      </c>
      <c r="J48" s="132" t="s">
        <v>483</v>
      </c>
      <c r="K48" s="133">
        <v>46170</v>
      </c>
      <c r="L48" s="134">
        <v>46175</v>
      </c>
      <c r="M48" s="135">
        <v>46175</v>
      </c>
      <c r="N48" s="136">
        <f t="shared" si="0"/>
        <v>5</v>
      </c>
      <c r="O48" s="136">
        <f t="shared" si="1"/>
        <v>0</v>
      </c>
      <c r="P48" s="137">
        <v>46175</v>
      </c>
      <c r="Q48" s="128"/>
    </row>
    <row r="49" spans="1:17">
      <c r="A49" s="127">
        <v>41</v>
      </c>
      <c r="B49" s="128" t="s">
        <v>485</v>
      </c>
      <c r="C49" s="128" t="s">
        <v>71</v>
      </c>
      <c r="D49" s="129" t="s">
        <v>490</v>
      </c>
      <c r="E49" s="130">
        <v>100</v>
      </c>
      <c r="F49" s="131" t="s">
        <v>67</v>
      </c>
      <c r="G49" s="141">
        <v>1.04</v>
      </c>
      <c r="H49" s="128"/>
      <c r="I49" s="141">
        <v>104</v>
      </c>
      <c r="J49" s="132" t="s">
        <v>483</v>
      </c>
      <c r="K49" s="133">
        <v>46170</v>
      </c>
      <c r="L49" s="134">
        <v>46175</v>
      </c>
      <c r="M49" s="135">
        <v>46175</v>
      </c>
      <c r="N49" s="136">
        <f t="shared" si="0"/>
        <v>5</v>
      </c>
      <c r="O49" s="136">
        <f t="shared" si="1"/>
        <v>0</v>
      </c>
      <c r="P49" s="137">
        <v>46175</v>
      </c>
      <c r="Q49" s="128"/>
    </row>
    <row r="50" spans="1:17">
      <c r="A50" s="127">
        <v>42</v>
      </c>
      <c r="B50" s="128" t="s">
        <v>485</v>
      </c>
      <c r="C50" s="128" t="s">
        <v>71</v>
      </c>
      <c r="D50" s="129" t="s">
        <v>489</v>
      </c>
      <c r="E50" s="130">
        <v>100</v>
      </c>
      <c r="F50" s="131" t="s">
        <v>67</v>
      </c>
      <c r="G50" s="141">
        <v>1.24</v>
      </c>
      <c r="H50" s="128"/>
      <c r="I50" s="141">
        <v>124</v>
      </c>
      <c r="J50" s="132" t="s">
        <v>483</v>
      </c>
      <c r="K50" s="133">
        <v>46170</v>
      </c>
      <c r="L50" s="134">
        <v>46175</v>
      </c>
      <c r="M50" s="135">
        <v>46175</v>
      </c>
      <c r="N50" s="136">
        <f t="shared" si="0"/>
        <v>5</v>
      </c>
      <c r="O50" s="136">
        <f t="shared" si="1"/>
        <v>0</v>
      </c>
      <c r="P50" s="137">
        <v>46175</v>
      </c>
      <c r="Q50" s="128"/>
    </row>
    <row r="51" spans="1:17">
      <c r="A51" s="127">
        <v>43</v>
      </c>
      <c r="B51" s="128" t="s">
        <v>485</v>
      </c>
      <c r="C51" s="128" t="s">
        <v>71</v>
      </c>
      <c r="D51" s="129" t="s">
        <v>488</v>
      </c>
      <c r="E51" s="130">
        <v>100</v>
      </c>
      <c r="F51" s="131" t="s">
        <v>67</v>
      </c>
      <c r="G51" s="141">
        <v>1.24</v>
      </c>
      <c r="H51" s="128"/>
      <c r="I51" s="141">
        <v>124</v>
      </c>
      <c r="J51" s="132" t="s">
        <v>483</v>
      </c>
      <c r="K51" s="133">
        <v>46170</v>
      </c>
      <c r="L51" s="134">
        <v>46175</v>
      </c>
      <c r="M51" s="135">
        <v>46175</v>
      </c>
      <c r="N51" s="136">
        <f t="shared" si="0"/>
        <v>5</v>
      </c>
      <c r="O51" s="136">
        <f t="shared" si="1"/>
        <v>0</v>
      </c>
      <c r="P51" s="137">
        <v>46175</v>
      </c>
      <c r="Q51" s="128"/>
    </row>
    <row r="52" spans="1:17">
      <c r="A52" s="127">
        <v>44</v>
      </c>
      <c r="B52" s="128" t="s">
        <v>485</v>
      </c>
      <c r="C52" s="128" t="s">
        <v>71</v>
      </c>
      <c r="D52" s="129" t="s">
        <v>487</v>
      </c>
      <c r="E52" s="130">
        <v>100</v>
      </c>
      <c r="F52" s="131" t="s">
        <v>67</v>
      </c>
      <c r="G52" s="141">
        <v>1.24</v>
      </c>
      <c r="H52" s="128"/>
      <c r="I52" s="141">
        <v>124</v>
      </c>
      <c r="J52" s="132" t="s">
        <v>483</v>
      </c>
      <c r="K52" s="133">
        <v>46170</v>
      </c>
      <c r="L52" s="134">
        <v>46175</v>
      </c>
      <c r="M52" s="135">
        <v>46175</v>
      </c>
      <c r="N52" s="136">
        <f t="shared" si="0"/>
        <v>5</v>
      </c>
      <c r="O52" s="136">
        <f t="shared" si="1"/>
        <v>0</v>
      </c>
      <c r="P52" s="137">
        <v>46175</v>
      </c>
      <c r="Q52" s="128"/>
    </row>
    <row r="53" spans="1:17">
      <c r="A53" s="127">
        <v>45</v>
      </c>
      <c r="B53" s="128" t="s">
        <v>485</v>
      </c>
      <c r="C53" s="128" t="s">
        <v>71</v>
      </c>
      <c r="D53" s="129" t="s">
        <v>486</v>
      </c>
      <c r="E53" s="130">
        <v>100</v>
      </c>
      <c r="F53" s="131" t="s">
        <v>67</v>
      </c>
      <c r="G53" s="141">
        <v>1.4</v>
      </c>
      <c r="H53" s="128"/>
      <c r="I53" s="141">
        <v>140</v>
      </c>
      <c r="J53" s="132" t="s">
        <v>483</v>
      </c>
      <c r="K53" s="133">
        <v>46170</v>
      </c>
      <c r="L53" s="134">
        <v>46175</v>
      </c>
      <c r="M53" s="135">
        <v>46175</v>
      </c>
      <c r="N53" s="136">
        <f t="shared" si="0"/>
        <v>5</v>
      </c>
      <c r="O53" s="136">
        <f t="shared" si="1"/>
        <v>0</v>
      </c>
      <c r="P53" s="137">
        <v>46175</v>
      </c>
      <c r="Q53" s="128"/>
    </row>
    <row r="54" spans="1:17">
      <c r="A54" s="127">
        <v>46</v>
      </c>
      <c r="B54" s="128" t="s">
        <v>485</v>
      </c>
      <c r="C54" s="128" t="s">
        <v>71</v>
      </c>
      <c r="D54" s="129" t="s">
        <v>484</v>
      </c>
      <c r="E54" s="130">
        <v>50</v>
      </c>
      <c r="F54" s="131" t="s">
        <v>67</v>
      </c>
      <c r="G54" s="141">
        <v>1.5</v>
      </c>
      <c r="H54" s="128"/>
      <c r="I54" s="141">
        <v>75</v>
      </c>
      <c r="J54" s="132" t="s">
        <v>483</v>
      </c>
      <c r="K54" s="133">
        <v>46170</v>
      </c>
      <c r="L54" s="134">
        <v>46175</v>
      </c>
      <c r="M54" s="135">
        <v>46175</v>
      </c>
      <c r="N54" s="136">
        <f t="shared" si="0"/>
        <v>5</v>
      </c>
      <c r="O54" s="136">
        <f t="shared" si="1"/>
        <v>0</v>
      </c>
      <c r="P54" s="137">
        <v>46175</v>
      </c>
      <c r="Q54" s="128"/>
    </row>
    <row r="55" spans="1:17">
      <c r="A55" s="127">
        <v>47</v>
      </c>
      <c r="B55" s="128" t="s">
        <v>482</v>
      </c>
      <c r="C55" s="128" t="s">
        <v>112</v>
      </c>
      <c r="D55" s="128" t="s">
        <v>481</v>
      </c>
      <c r="E55" s="130">
        <v>8</v>
      </c>
      <c r="F55" s="131" t="s">
        <v>64</v>
      </c>
      <c r="G55" s="130">
        <v>72.8</v>
      </c>
      <c r="H55" s="130"/>
      <c r="I55" s="143">
        <v>582.4</v>
      </c>
      <c r="J55" s="132" t="s">
        <v>480</v>
      </c>
      <c r="K55" s="133">
        <v>46171</v>
      </c>
      <c r="L55" s="134">
        <v>46177</v>
      </c>
      <c r="M55" s="135">
        <v>46177</v>
      </c>
      <c r="N55" s="136">
        <f t="shared" si="0"/>
        <v>6</v>
      </c>
      <c r="O55" s="136">
        <f t="shared" si="1"/>
        <v>0</v>
      </c>
      <c r="P55" s="137">
        <v>46177</v>
      </c>
      <c r="Q55" s="128"/>
    </row>
    <row r="56" spans="1:17">
      <c r="A56" s="127">
        <v>48</v>
      </c>
      <c r="B56" s="128" t="s">
        <v>479</v>
      </c>
      <c r="C56" s="128" t="s">
        <v>478</v>
      </c>
      <c r="D56" s="129" t="s">
        <v>477</v>
      </c>
      <c r="E56" s="130">
        <v>1</v>
      </c>
      <c r="F56" s="131" t="s">
        <v>92</v>
      </c>
      <c r="G56" s="141">
        <v>2800</v>
      </c>
      <c r="H56" s="128"/>
      <c r="I56" s="141">
        <v>2800</v>
      </c>
      <c r="J56" s="132" t="s">
        <v>476</v>
      </c>
      <c r="K56" s="133">
        <v>46171</v>
      </c>
      <c r="L56" s="134">
        <v>46177</v>
      </c>
      <c r="M56" s="135">
        <v>46177</v>
      </c>
      <c r="N56" s="136">
        <f t="shared" si="0"/>
        <v>6</v>
      </c>
      <c r="O56" s="136">
        <f t="shared" si="1"/>
        <v>0</v>
      </c>
      <c r="P56" s="137">
        <v>46177</v>
      </c>
      <c r="Q56" s="128"/>
    </row>
    <row r="57" spans="1:17">
      <c r="A57" s="127">
        <v>49</v>
      </c>
      <c r="B57" s="128" t="s">
        <v>81</v>
      </c>
      <c r="C57" s="128" t="s">
        <v>76</v>
      </c>
      <c r="D57" s="129" t="s">
        <v>475</v>
      </c>
      <c r="E57" s="130">
        <v>2</v>
      </c>
      <c r="F57" s="131" t="s">
        <v>98</v>
      </c>
      <c r="G57" s="141">
        <v>5780</v>
      </c>
      <c r="H57" s="128"/>
      <c r="I57" s="141">
        <v>11560</v>
      </c>
      <c r="J57" s="132" t="s">
        <v>474</v>
      </c>
      <c r="K57" s="133">
        <v>46177</v>
      </c>
      <c r="L57" s="134">
        <v>46178</v>
      </c>
      <c r="M57" s="135">
        <v>46178</v>
      </c>
      <c r="N57" s="136">
        <f t="shared" si="0"/>
        <v>1</v>
      </c>
      <c r="O57" s="136">
        <f t="shared" si="1"/>
        <v>0</v>
      </c>
      <c r="P57" s="137">
        <v>46178</v>
      </c>
      <c r="Q57" s="128"/>
    </row>
    <row r="58" spans="1:17">
      <c r="A58" s="127">
        <v>50</v>
      </c>
      <c r="B58" s="128" t="s">
        <v>72</v>
      </c>
      <c r="C58" s="128" t="s">
        <v>73</v>
      </c>
      <c r="D58" s="129" t="s">
        <v>473</v>
      </c>
      <c r="E58" s="130">
        <v>28</v>
      </c>
      <c r="F58" s="131" t="s">
        <v>67</v>
      </c>
      <c r="G58" s="141">
        <v>36</v>
      </c>
      <c r="H58" s="128"/>
      <c r="I58" s="141">
        <v>1008</v>
      </c>
      <c r="J58" s="132" t="s">
        <v>472</v>
      </c>
      <c r="K58" s="133">
        <v>46178</v>
      </c>
      <c r="L58" s="134">
        <v>46178</v>
      </c>
      <c r="M58" s="135">
        <v>46178</v>
      </c>
      <c r="N58" s="136">
        <f t="shared" si="0"/>
        <v>0</v>
      </c>
      <c r="O58" s="136">
        <f t="shared" si="1"/>
        <v>0</v>
      </c>
      <c r="P58" s="137">
        <v>46178</v>
      </c>
      <c r="Q58" s="128"/>
    </row>
    <row r="59" spans="1:17">
      <c r="A59" s="127">
        <v>51</v>
      </c>
      <c r="B59" s="128" t="s">
        <v>469</v>
      </c>
      <c r="C59" s="128" t="s">
        <v>468</v>
      </c>
      <c r="D59" s="129" t="s">
        <v>471</v>
      </c>
      <c r="E59" s="130">
        <v>10</v>
      </c>
      <c r="F59" s="131" t="s">
        <v>64</v>
      </c>
      <c r="G59" s="130">
        <v>126.87</v>
      </c>
      <c r="H59" s="142"/>
      <c r="I59" s="130">
        <v>1268.7</v>
      </c>
      <c r="J59" s="132" t="s">
        <v>466</v>
      </c>
      <c r="K59" s="133">
        <v>46097</v>
      </c>
      <c r="L59" s="153">
        <v>46178</v>
      </c>
      <c r="M59" s="135">
        <v>46178</v>
      </c>
      <c r="N59" s="136">
        <f t="shared" si="0"/>
        <v>81</v>
      </c>
      <c r="O59" s="136">
        <f t="shared" si="1"/>
        <v>0</v>
      </c>
      <c r="P59" s="137">
        <v>46178</v>
      </c>
      <c r="Q59" s="128" t="s">
        <v>465</v>
      </c>
    </row>
    <row r="60" spans="1:17">
      <c r="A60" s="127">
        <v>52</v>
      </c>
      <c r="B60" s="128" t="s">
        <v>469</v>
      </c>
      <c r="C60" s="128" t="s">
        <v>468</v>
      </c>
      <c r="D60" s="129" t="s">
        <v>470</v>
      </c>
      <c r="E60" s="130">
        <v>1</v>
      </c>
      <c r="F60" s="131" t="s">
        <v>64</v>
      </c>
      <c r="G60" s="130">
        <v>570.91</v>
      </c>
      <c r="H60" s="142"/>
      <c r="I60" s="130">
        <v>570.91</v>
      </c>
      <c r="J60" s="132" t="s">
        <v>466</v>
      </c>
      <c r="K60" s="133">
        <v>46097</v>
      </c>
      <c r="L60" s="153">
        <v>46178</v>
      </c>
      <c r="M60" s="135">
        <v>46178</v>
      </c>
      <c r="N60" s="136">
        <f t="shared" si="0"/>
        <v>81</v>
      </c>
      <c r="O60" s="136">
        <f t="shared" si="1"/>
        <v>0</v>
      </c>
      <c r="P60" s="137">
        <v>46178</v>
      </c>
      <c r="Q60" s="128" t="s">
        <v>465</v>
      </c>
    </row>
    <row r="61" spans="1:17">
      <c r="A61" s="127">
        <v>53</v>
      </c>
      <c r="B61" s="128" t="s">
        <v>469</v>
      </c>
      <c r="C61" s="128" t="s">
        <v>468</v>
      </c>
      <c r="D61" s="129" t="s">
        <v>467</v>
      </c>
      <c r="E61" s="130">
        <v>1</v>
      </c>
      <c r="F61" s="131" t="s">
        <v>75</v>
      </c>
      <c r="G61" s="130">
        <v>191255.92</v>
      </c>
      <c r="H61" s="142"/>
      <c r="I61" s="130">
        <v>191255.92</v>
      </c>
      <c r="J61" s="132" t="s">
        <v>466</v>
      </c>
      <c r="K61" s="133">
        <v>46097</v>
      </c>
      <c r="L61" s="153">
        <v>46178</v>
      </c>
      <c r="M61" s="135">
        <v>46178</v>
      </c>
      <c r="N61" s="136">
        <f t="shared" si="0"/>
        <v>81</v>
      </c>
      <c r="O61" s="136">
        <f t="shared" si="1"/>
        <v>0</v>
      </c>
      <c r="P61" s="137">
        <v>46178</v>
      </c>
      <c r="Q61" s="128" t="s">
        <v>465</v>
      </c>
    </row>
    <row r="62" spans="1:17">
      <c r="A62" s="127">
        <v>54</v>
      </c>
      <c r="B62" s="128" t="s">
        <v>463</v>
      </c>
      <c r="C62" s="128" t="s">
        <v>462</v>
      </c>
      <c r="D62" s="129" t="s">
        <v>464</v>
      </c>
      <c r="E62" s="130">
        <v>1</v>
      </c>
      <c r="F62" s="131" t="s">
        <v>64</v>
      </c>
      <c r="G62" s="141">
        <v>53270.26</v>
      </c>
      <c r="H62" s="128"/>
      <c r="I62" s="141">
        <v>53270.26</v>
      </c>
      <c r="J62" s="132" t="s">
        <v>460</v>
      </c>
      <c r="K62" s="133">
        <v>46119</v>
      </c>
      <c r="L62" s="153">
        <v>46178</v>
      </c>
      <c r="M62" s="135">
        <v>46178</v>
      </c>
      <c r="N62" s="136">
        <f t="shared" si="0"/>
        <v>59</v>
      </c>
      <c r="O62" s="136">
        <f t="shared" si="1"/>
        <v>0</v>
      </c>
      <c r="P62" s="137">
        <v>46178</v>
      </c>
      <c r="Q62" s="128" t="s">
        <v>459</v>
      </c>
    </row>
    <row r="63" spans="1:17">
      <c r="A63" s="127">
        <v>55</v>
      </c>
      <c r="B63" s="128" t="s">
        <v>463</v>
      </c>
      <c r="C63" s="128" t="s">
        <v>462</v>
      </c>
      <c r="D63" s="129" t="s">
        <v>461</v>
      </c>
      <c r="E63" s="130">
        <v>2</v>
      </c>
      <c r="F63" s="131" t="s">
        <v>64</v>
      </c>
      <c r="G63" s="141">
        <v>10916.31</v>
      </c>
      <c r="H63" s="142">
        <v>0.01</v>
      </c>
      <c r="I63" s="141">
        <v>21832.61</v>
      </c>
      <c r="J63" s="132" t="s">
        <v>460</v>
      </c>
      <c r="K63" s="133">
        <v>46119</v>
      </c>
      <c r="L63" s="153">
        <v>46178</v>
      </c>
      <c r="M63" s="135">
        <v>46178</v>
      </c>
      <c r="N63" s="136">
        <f t="shared" si="0"/>
        <v>59</v>
      </c>
      <c r="O63" s="136">
        <f t="shared" si="1"/>
        <v>0</v>
      </c>
      <c r="P63" s="137">
        <v>46178</v>
      </c>
      <c r="Q63" s="128" t="s">
        <v>459</v>
      </c>
    </row>
    <row r="64" spans="1:17">
      <c r="A64" s="127">
        <v>56</v>
      </c>
      <c r="B64" s="128" t="s">
        <v>458</v>
      </c>
      <c r="C64" s="128" t="s">
        <v>457</v>
      </c>
      <c r="D64" s="129" t="s">
        <v>456</v>
      </c>
      <c r="E64" s="130">
        <v>1</v>
      </c>
      <c r="F64" s="131" t="s">
        <v>92</v>
      </c>
      <c r="G64" s="141">
        <v>9000</v>
      </c>
      <c r="H64" s="128"/>
      <c r="I64" s="141">
        <v>9000</v>
      </c>
      <c r="J64" s="132" t="s">
        <v>455</v>
      </c>
      <c r="K64" s="133">
        <v>46119</v>
      </c>
      <c r="L64" s="153">
        <v>46181</v>
      </c>
      <c r="M64" s="135">
        <v>46181</v>
      </c>
      <c r="N64" s="136">
        <f t="shared" si="0"/>
        <v>62</v>
      </c>
      <c r="O64" s="136">
        <f t="shared" si="1"/>
        <v>0</v>
      </c>
      <c r="P64" s="137">
        <v>46181</v>
      </c>
      <c r="Q64" s="128" t="s">
        <v>454</v>
      </c>
    </row>
    <row r="65" spans="1:17">
      <c r="A65" s="127">
        <v>57</v>
      </c>
      <c r="B65" s="128" t="s">
        <v>452</v>
      </c>
      <c r="C65" s="128" t="s">
        <v>451</v>
      </c>
      <c r="D65" s="129" t="s">
        <v>453</v>
      </c>
      <c r="E65" s="130">
        <v>2</v>
      </c>
      <c r="F65" s="131" t="s">
        <v>64</v>
      </c>
      <c r="G65" s="141">
        <v>1960</v>
      </c>
      <c r="H65" s="142">
        <v>2430.4</v>
      </c>
      <c r="I65" s="141">
        <v>1489.6</v>
      </c>
      <c r="J65" s="132" t="s">
        <v>449</v>
      </c>
      <c r="K65" s="133">
        <v>46178</v>
      </c>
      <c r="L65" s="134">
        <v>46181</v>
      </c>
      <c r="M65" s="135">
        <v>46181</v>
      </c>
      <c r="N65" s="136">
        <f t="shared" si="0"/>
        <v>3</v>
      </c>
      <c r="O65" s="136">
        <f t="shared" si="1"/>
        <v>0</v>
      </c>
      <c r="P65" s="137">
        <v>46178</v>
      </c>
      <c r="Q65" s="128" t="s">
        <v>448</v>
      </c>
    </row>
    <row r="66" spans="1:17">
      <c r="A66" s="127">
        <v>58</v>
      </c>
      <c r="B66" s="128" t="s">
        <v>452</v>
      </c>
      <c r="C66" s="128" t="s">
        <v>451</v>
      </c>
      <c r="D66" s="129" t="s">
        <v>450</v>
      </c>
      <c r="E66" s="130">
        <v>4</v>
      </c>
      <c r="F66" s="131" t="s">
        <v>64</v>
      </c>
      <c r="G66" s="141">
        <v>3000</v>
      </c>
      <c r="H66" s="142">
        <v>7440</v>
      </c>
      <c r="I66" s="141">
        <v>4560</v>
      </c>
      <c r="J66" s="132" t="s">
        <v>449</v>
      </c>
      <c r="K66" s="133">
        <v>46178</v>
      </c>
      <c r="L66" s="134">
        <v>46181</v>
      </c>
      <c r="M66" s="135">
        <v>46181</v>
      </c>
      <c r="N66" s="136">
        <f t="shared" si="0"/>
        <v>3</v>
      </c>
      <c r="O66" s="136">
        <f t="shared" si="1"/>
        <v>0</v>
      </c>
      <c r="P66" s="137">
        <v>46178</v>
      </c>
      <c r="Q66" s="128" t="s">
        <v>448</v>
      </c>
    </row>
    <row r="67" spans="1:17">
      <c r="A67" s="127">
        <v>59</v>
      </c>
      <c r="B67" s="128" t="s">
        <v>81</v>
      </c>
      <c r="C67" s="128" t="s">
        <v>82</v>
      </c>
      <c r="D67" s="129" t="s">
        <v>94</v>
      </c>
      <c r="E67" s="130">
        <v>5</v>
      </c>
      <c r="F67" s="131" t="s">
        <v>67</v>
      </c>
      <c r="G67" s="141">
        <v>240</v>
      </c>
      <c r="H67" s="128"/>
      <c r="I67" s="141">
        <v>1200</v>
      </c>
      <c r="J67" s="132" t="s">
        <v>444</v>
      </c>
      <c r="K67" s="133">
        <v>46182</v>
      </c>
      <c r="L67" s="134">
        <v>46182</v>
      </c>
      <c r="M67" s="135">
        <v>46182</v>
      </c>
      <c r="N67" s="136">
        <f t="shared" si="0"/>
        <v>0</v>
      </c>
      <c r="O67" s="136">
        <f t="shared" si="1"/>
        <v>0</v>
      </c>
      <c r="P67" s="137">
        <v>46182</v>
      </c>
      <c r="Q67" s="128"/>
    </row>
    <row r="68" spans="1:17">
      <c r="A68" s="127">
        <v>60</v>
      </c>
      <c r="B68" s="128" t="s">
        <v>81</v>
      </c>
      <c r="C68" s="128" t="s">
        <v>82</v>
      </c>
      <c r="D68" s="129" t="s">
        <v>447</v>
      </c>
      <c r="E68" s="130">
        <v>1</v>
      </c>
      <c r="F68" s="131" t="s">
        <v>67</v>
      </c>
      <c r="G68" s="141">
        <v>350</v>
      </c>
      <c r="H68" s="128"/>
      <c r="I68" s="141">
        <v>350</v>
      </c>
      <c r="J68" s="132" t="s">
        <v>444</v>
      </c>
      <c r="K68" s="133">
        <v>46182</v>
      </c>
      <c r="L68" s="134">
        <v>46182</v>
      </c>
      <c r="M68" s="135">
        <v>46182</v>
      </c>
      <c r="N68" s="136">
        <f t="shared" si="0"/>
        <v>0</v>
      </c>
      <c r="O68" s="136">
        <f t="shared" si="1"/>
        <v>0</v>
      </c>
      <c r="P68" s="137">
        <v>46182</v>
      </c>
      <c r="Q68" s="128"/>
    </row>
    <row r="69" spans="1:17">
      <c r="A69" s="127">
        <v>61</v>
      </c>
      <c r="B69" s="128" t="s">
        <v>81</v>
      </c>
      <c r="C69" s="128" t="s">
        <v>82</v>
      </c>
      <c r="D69" s="129" t="s">
        <v>446</v>
      </c>
      <c r="E69" s="130">
        <v>1</v>
      </c>
      <c r="F69" s="131" t="s">
        <v>67</v>
      </c>
      <c r="G69" s="141">
        <v>750</v>
      </c>
      <c r="H69" s="128"/>
      <c r="I69" s="141">
        <v>750</v>
      </c>
      <c r="J69" s="132" t="s">
        <v>444</v>
      </c>
      <c r="K69" s="133">
        <v>46182</v>
      </c>
      <c r="L69" s="134">
        <v>46182</v>
      </c>
      <c r="M69" s="135">
        <v>46182</v>
      </c>
      <c r="N69" s="136">
        <f t="shared" si="0"/>
        <v>0</v>
      </c>
      <c r="O69" s="136">
        <f t="shared" si="1"/>
        <v>0</v>
      </c>
      <c r="P69" s="137">
        <v>46182</v>
      </c>
      <c r="Q69" s="128"/>
    </row>
    <row r="70" spans="1:17">
      <c r="A70" s="127">
        <v>62</v>
      </c>
      <c r="B70" s="128" t="s">
        <v>81</v>
      </c>
      <c r="C70" s="128" t="s">
        <v>82</v>
      </c>
      <c r="D70" s="129" t="s">
        <v>445</v>
      </c>
      <c r="E70" s="130">
        <v>1</v>
      </c>
      <c r="F70" s="131" t="s">
        <v>67</v>
      </c>
      <c r="G70" s="141">
        <v>170</v>
      </c>
      <c r="H70" s="128"/>
      <c r="I70" s="141">
        <v>170</v>
      </c>
      <c r="J70" s="132" t="s">
        <v>444</v>
      </c>
      <c r="K70" s="133">
        <v>46182</v>
      </c>
      <c r="L70" s="134">
        <v>46182</v>
      </c>
      <c r="M70" s="135">
        <v>46182</v>
      </c>
      <c r="N70" s="136">
        <f t="shared" si="0"/>
        <v>0</v>
      </c>
      <c r="O70" s="136">
        <f t="shared" si="1"/>
        <v>0</v>
      </c>
      <c r="P70" s="137">
        <v>46182</v>
      </c>
      <c r="Q70" s="128"/>
    </row>
    <row r="71" spans="1:17">
      <c r="A71" s="127">
        <v>63</v>
      </c>
      <c r="B71" s="128" t="s">
        <v>89</v>
      </c>
      <c r="C71" s="128" t="s">
        <v>440</v>
      </c>
      <c r="D71" s="129" t="s">
        <v>443</v>
      </c>
      <c r="E71" s="130">
        <v>2</v>
      </c>
      <c r="F71" s="131" t="s">
        <v>67</v>
      </c>
      <c r="G71" s="142">
        <v>243.31</v>
      </c>
      <c r="H71" s="142">
        <v>115.38</v>
      </c>
      <c r="I71" s="142">
        <f>E71*G71-H71</f>
        <v>371.24</v>
      </c>
      <c r="J71" s="132" t="s">
        <v>438</v>
      </c>
      <c r="K71" s="133">
        <v>46168</v>
      </c>
      <c r="L71" s="153">
        <v>46183</v>
      </c>
      <c r="M71" s="135">
        <v>46183</v>
      </c>
      <c r="N71" s="136">
        <f t="shared" si="0"/>
        <v>15</v>
      </c>
      <c r="O71" s="136">
        <f t="shared" si="1"/>
        <v>0</v>
      </c>
      <c r="P71" s="137">
        <v>46183</v>
      </c>
      <c r="Q71" s="128"/>
    </row>
    <row r="72" spans="1:17">
      <c r="A72" s="127">
        <v>64</v>
      </c>
      <c r="B72" s="128" t="s">
        <v>89</v>
      </c>
      <c r="C72" s="128" t="s">
        <v>440</v>
      </c>
      <c r="D72" s="129" t="s">
        <v>442</v>
      </c>
      <c r="E72" s="130">
        <v>2</v>
      </c>
      <c r="F72" s="131" t="s">
        <v>67</v>
      </c>
      <c r="G72" s="142">
        <v>928.71</v>
      </c>
      <c r="H72" s="142">
        <v>115.39</v>
      </c>
      <c r="I72" s="142">
        <f>E72*G72-H72</f>
        <v>1742.03</v>
      </c>
      <c r="J72" s="132" t="s">
        <v>438</v>
      </c>
      <c r="K72" s="133">
        <v>46168</v>
      </c>
      <c r="L72" s="153">
        <v>46183</v>
      </c>
      <c r="M72" s="135">
        <v>46183</v>
      </c>
      <c r="N72" s="136">
        <f t="shared" si="0"/>
        <v>15</v>
      </c>
      <c r="O72" s="136">
        <f t="shared" si="1"/>
        <v>0</v>
      </c>
      <c r="P72" s="137">
        <v>46183</v>
      </c>
      <c r="Q72" s="128"/>
    </row>
    <row r="73" spans="1:17">
      <c r="A73" s="127">
        <v>65</v>
      </c>
      <c r="B73" s="128" t="s">
        <v>89</v>
      </c>
      <c r="C73" s="128" t="s">
        <v>440</v>
      </c>
      <c r="D73" s="129" t="s">
        <v>441</v>
      </c>
      <c r="E73" s="130">
        <v>2</v>
      </c>
      <c r="F73" s="131" t="s">
        <v>67</v>
      </c>
      <c r="G73" s="142">
        <v>1284.76</v>
      </c>
      <c r="H73" s="142">
        <v>115.39</v>
      </c>
      <c r="I73" s="142">
        <f>E73*G73-H73</f>
        <v>2454.13</v>
      </c>
      <c r="J73" s="132" t="s">
        <v>438</v>
      </c>
      <c r="K73" s="133">
        <v>46168</v>
      </c>
      <c r="L73" s="153">
        <v>46183</v>
      </c>
      <c r="M73" s="135">
        <v>46183</v>
      </c>
      <c r="N73" s="136">
        <f t="shared" ref="N73:N136" si="2">M73-K73</f>
        <v>15</v>
      </c>
      <c r="O73" s="136">
        <f t="shared" ref="O73:O136" si="3">L73-M73</f>
        <v>0</v>
      </c>
      <c r="P73" s="137">
        <v>46183</v>
      </c>
      <c r="Q73" s="128"/>
    </row>
    <row r="74" spans="1:17">
      <c r="A74" s="127">
        <v>66</v>
      </c>
      <c r="B74" s="128" t="s">
        <v>89</v>
      </c>
      <c r="C74" s="128" t="s">
        <v>440</v>
      </c>
      <c r="D74" s="129" t="s">
        <v>439</v>
      </c>
      <c r="E74" s="130">
        <v>1</v>
      </c>
      <c r="F74" s="131" t="s">
        <v>106</v>
      </c>
      <c r="G74" s="142">
        <v>108.6</v>
      </c>
      <c r="H74" s="142"/>
      <c r="I74" s="142">
        <v>108.6</v>
      </c>
      <c r="J74" s="132" t="s">
        <v>438</v>
      </c>
      <c r="K74" s="133">
        <v>46168</v>
      </c>
      <c r="L74" s="153">
        <v>46183</v>
      </c>
      <c r="M74" s="135">
        <v>46183</v>
      </c>
      <c r="N74" s="136">
        <f t="shared" si="2"/>
        <v>15</v>
      </c>
      <c r="O74" s="136">
        <f t="shared" si="3"/>
        <v>0</v>
      </c>
      <c r="P74" s="137">
        <v>46183</v>
      </c>
      <c r="Q74" s="128"/>
    </row>
    <row r="75" spans="1:17">
      <c r="A75" s="127">
        <v>67</v>
      </c>
      <c r="B75" s="128" t="s">
        <v>437</v>
      </c>
      <c r="C75" s="128" t="s">
        <v>74</v>
      </c>
      <c r="D75" s="129" t="s">
        <v>410</v>
      </c>
      <c r="E75" s="130">
        <v>20</v>
      </c>
      <c r="F75" s="131" t="s">
        <v>109</v>
      </c>
      <c r="G75" s="141">
        <v>400</v>
      </c>
      <c r="H75" s="128"/>
      <c r="I75" s="141">
        <v>8000</v>
      </c>
      <c r="J75" s="132" t="s">
        <v>436</v>
      </c>
      <c r="K75" s="133">
        <v>46184</v>
      </c>
      <c r="L75" s="134">
        <v>46184</v>
      </c>
      <c r="M75" s="135">
        <v>46184</v>
      </c>
      <c r="N75" s="136">
        <f t="shared" si="2"/>
        <v>0</v>
      </c>
      <c r="O75" s="136">
        <f t="shared" si="3"/>
        <v>0</v>
      </c>
      <c r="P75" s="137">
        <v>46184</v>
      </c>
      <c r="Q75" s="128"/>
    </row>
    <row r="76" spans="1:17">
      <c r="A76" s="127">
        <v>68</v>
      </c>
      <c r="B76" s="128" t="s">
        <v>434</v>
      </c>
      <c r="C76" s="128" t="s">
        <v>84</v>
      </c>
      <c r="D76" s="129" t="s">
        <v>435</v>
      </c>
      <c r="E76" s="130">
        <v>1</v>
      </c>
      <c r="F76" s="131" t="s">
        <v>67</v>
      </c>
      <c r="G76" s="141">
        <v>1600</v>
      </c>
      <c r="H76" s="128"/>
      <c r="I76" s="141">
        <v>1600</v>
      </c>
      <c r="J76" s="132" t="s">
        <v>432</v>
      </c>
      <c r="K76" s="133">
        <v>46182</v>
      </c>
      <c r="L76" s="134">
        <v>46185</v>
      </c>
      <c r="M76" s="135">
        <v>46185</v>
      </c>
      <c r="N76" s="136">
        <f t="shared" si="2"/>
        <v>3</v>
      </c>
      <c r="O76" s="136">
        <f t="shared" si="3"/>
        <v>0</v>
      </c>
      <c r="P76" s="137">
        <v>46185</v>
      </c>
      <c r="Q76" s="128"/>
    </row>
    <row r="77" spans="1:17">
      <c r="A77" s="127">
        <v>69</v>
      </c>
      <c r="B77" s="128" t="s">
        <v>434</v>
      </c>
      <c r="C77" s="128" t="s">
        <v>84</v>
      </c>
      <c r="D77" s="129" t="s">
        <v>433</v>
      </c>
      <c r="E77" s="130">
        <v>1</v>
      </c>
      <c r="F77" s="131" t="s">
        <v>67</v>
      </c>
      <c r="G77" s="141">
        <v>1600</v>
      </c>
      <c r="H77" s="128"/>
      <c r="I77" s="141">
        <v>1600</v>
      </c>
      <c r="J77" s="132" t="s">
        <v>432</v>
      </c>
      <c r="K77" s="133">
        <v>46182</v>
      </c>
      <c r="L77" s="134">
        <v>46185</v>
      </c>
      <c r="M77" s="135">
        <v>46185</v>
      </c>
      <c r="N77" s="136">
        <f t="shared" si="2"/>
        <v>3</v>
      </c>
      <c r="O77" s="136">
        <f t="shared" si="3"/>
        <v>0</v>
      </c>
      <c r="P77" s="137">
        <v>46185</v>
      </c>
      <c r="Q77" s="128"/>
    </row>
    <row r="78" spans="1:17">
      <c r="A78" s="127">
        <v>70</v>
      </c>
      <c r="B78" s="128" t="s">
        <v>430</v>
      </c>
      <c r="C78" s="128" t="s">
        <v>76</v>
      </c>
      <c r="D78" s="129" t="s">
        <v>431</v>
      </c>
      <c r="E78" s="130">
        <v>1</v>
      </c>
      <c r="F78" s="131" t="s">
        <v>98</v>
      </c>
      <c r="G78" s="141">
        <v>2930</v>
      </c>
      <c r="H78" s="128"/>
      <c r="I78" s="141">
        <v>2930</v>
      </c>
      <c r="J78" s="132" t="s">
        <v>428</v>
      </c>
      <c r="K78" s="133">
        <v>46183</v>
      </c>
      <c r="L78" s="134">
        <v>46185</v>
      </c>
      <c r="M78" s="135">
        <v>46185</v>
      </c>
      <c r="N78" s="136">
        <f t="shared" si="2"/>
        <v>2</v>
      </c>
      <c r="O78" s="136">
        <f t="shared" si="3"/>
        <v>0</v>
      </c>
      <c r="P78" s="137">
        <v>46185</v>
      </c>
      <c r="Q78" s="128"/>
    </row>
    <row r="79" spans="1:17">
      <c r="A79" s="127">
        <v>71</v>
      </c>
      <c r="B79" s="128" t="s">
        <v>430</v>
      </c>
      <c r="C79" s="128" t="s">
        <v>76</v>
      </c>
      <c r="D79" s="129" t="s">
        <v>429</v>
      </c>
      <c r="E79" s="130">
        <v>1</v>
      </c>
      <c r="F79" s="131" t="s">
        <v>98</v>
      </c>
      <c r="G79" s="141">
        <v>3815</v>
      </c>
      <c r="H79" s="128"/>
      <c r="I79" s="141">
        <v>3815</v>
      </c>
      <c r="J79" s="132" t="s">
        <v>428</v>
      </c>
      <c r="K79" s="133">
        <v>46183</v>
      </c>
      <c r="L79" s="134">
        <v>46185</v>
      </c>
      <c r="M79" s="135">
        <v>46185</v>
      </c>
      <c r="N79" s="136">
        <f t="shared" si="2"/>
        <v>2</v>
      </c>
      <c r="O79" s="136">
        <f t="shared" si="3"/>
        <v>0</v>
      </c>
      <c r="P79" s="137">
        <v>46185</v>
      </c>
      <c r="Q79" s="128"/>
    </row>
    <row r="80" spans="1:17">
      <c r="A80" s="127">
        <v>72</v>
      </c>
      <c r="B80" s="128" t="s">
        <v>422</v>
      </c>
      <c r="C80" s="128" t="s">
        <v>80</v>
      </c>
      <c r="D80" s="129" t="s">
        <v>427</v>
      </c>
      <c r="E80" s="130">
        <v>1</v>
      </c>
      <c r="F80" s="131" t="s">
        <v>67</v>
      </c>
      <c r="G80" s="141">
        <v>795</v>
      </c>
      <c r="H80" s="166">
        <v>86.25</v>
      </c>
      <c r="I80" s="141">
        <v>708.75</v>
      </c>
      <c r="J80" s="132" t="s">
        <v>420</v>
      </c>
      <c r="K80" s="133">
        <v>46178</v>
      </c>
      <c r="L80" s="134">
        <v>46186</v>
      </c>
      <c r="M80" s="135">
        <v>46186</v>
      </c>
      <c r="N80" s="136">
        <f t="shared" si="2"/>
        <v>8</v>
      </c>
      <c r="O80" s="136">
        <f t="shared" si="3"/>
        <v>0</v>
      </c>
      <c r="P80" s="137">
        <v>46185</v>
      </c>
      <c r="Q80" s="128"/>
    </row>
    <row r="81" spans="1:17">
      <c r="A81" s="127">
        <v>73</v>
      </c>
      <c r="B81" s="128" t="s">
        <v>422</v>
      </c>
      <c r="C81" s="128" t="s">
        <v>80</v>
      </c>
      <c r="D81" s="129" t="s">
        <v>426</v>
      </c>
      <c r="E81" s="130">
        <v>1</v>
      </c>
      <c r="F81" s="131" t="s">
        <v>67</v>
      </c>
      <c r="G81" s="141">
        <v>880</v>
      </c>
      <c r="H81" s="166">
        <v>95.48</v>
      </c>
      <c r="I81" s="141">
        <v>784.52</v>
      </c>
      <c r="J81" s="132" t="s">
        <v>420</v>
      </c>
      <c r="K81" s="133">
        <v>46178</v>
      </c>
      <c r="L81" s="134">
        <v>46186</v>
      </c>
      <c r="M81" s="135">
        <v>46186</v>
      </c>
      <c r="N81" s="136">
        <f t="shared" si="2"/>
        <v>8</v>
      </c>
      <c r="O81" s="136">
        <f t="shared" si="3"/>
        <v>0</v>
      </c>
      <c r="P81" s="137">
        <v>46185</v>
      </c>
      <c r="Q81" s="128"/>
    </row>
    <row r="82" spans="1:17">
      <c r="A82" s="127">
        <v>74</v>
      </c>
      <c r="B82" s="128" t="s">
        <v>422</v>
      </c>
      <c r="C82" s="128" t="s">
        <v>80</v>
      </c>
      <c r="D82" s="129" t="s">
        <v>425</v>
      </c>
      <c r="E82" s="130">
        <v>1</v>
      </c>
      <c r="F82" s="131" t="s">
        <v>67</v>
      </c>
      <c r="G82" s="141">
        <v>650</v>
      </c>
      <c r="H82" s="166">
        <v>70.52</v>
      </c>
      <c r="I82" s="141">
        <v>579.48</v>
      </c>
      <c r="J82" s="132" t="s">
        <v>420</v>
      </c>
      <c r="K82" s="133">
        <v>46178</v>
      </c>
      <c r="L82" s="134">
        <v>46186</v>
      </c>
      <c r="M82" s="135">
        <v>46186</v>
      </c>
      <c r="N82" s="136">
        <f t="shared" si="2"/>
        <v>8</v>
      </c>
      <c r="O82" s="136">
        <f t="shared" si="3"/>
        <v>0</v>
      </c>
      <c r="P82" s="137">
        <v>46185</v>
      </c>
      <c r="Q82" s="128"/>
    </row>
    <row r="83" spans="1:17">
      <c r="A83" s="127">
        <v>75</v>
      </c>
      <c r="B83" s="128" t="s">
        <v>422</v>
      </c>
      <c r="C83" s="128" t="s">
        <v>80</v>
      </c>
      <c r="D83" s="129" t="s">
        <v>424</v>
      </c>
      <c r="E83" s="130">
        <v>1</v>
      </c>
      <c r="F83" s="131" t="s">
        <v>67</v>
      </c>
      <c r="G83" s="141">
        <v>1100</v>
      </c>
      <c r="H83" s="166">
        <v>119.35</v>
      </c>
      <c r="I83" s="141">
        <v>980.65</v>
      </c>
      <c r="J83" s="132" t="s">
        <v>420</v>
      </c>
      <c r="K83" s="133">
        <v>46178</v>
      </c>
      <c r="L83" s="134">
        <v>46186</v>
      </c>
      <c r="M83" s="135">
        <v>46186</v>
      </c>
      <c r="N83" s="136">
        <f t="shared" si="2"/>
        <v>8</v>
      </c>
      <c r="O83" s="136">
        <f t="shared" si="3"/>
        <v>0</v>
      </c>
      <c r="P83" s="137">
        <v>46185</v>
      </c>
      <c r="Q83" s="128"/>
    </row>
    <row r="84" spans="1:17">
      <c r="A84" s="127">
        <v>76</v>
      </c>
      <c r="B84" s="128" t="s">
        <v>422</v>
      </c>
      <c r="C84" s="128" t="s">
        <v>80</v>
      </c>
      <c r="D84" s="129" t="s">
        <v>423</v>
      </c>
      <c r="E84" s="130">
        <v>3</v>
      </c>
      <c r="F84" s="131" t="s">
        <v>67</v>
      </c>
      <c r="G84" s="141">
        <v>420</v>
      </c>
      <c r="H84" s="166">
        <v>136.69999999999999</v>
      </c>
      <c r="I84" s="141">
        <v>1123.3</v>
      </c>
      <c r="J84" s="132" t="s">
        <v>420</v>
      </c>
      <c r="K84" s="133">
        <v>46178</v>
      </c>
      <c r="L84" s="134">
        <v>46186</v>
      </c>
      <c r="M84" s="135">
        <v>46186</v>
      </c>
      <c r="N84" s="136">
        <f t="shared" si="2"/>
        <v>8</v>
      </c>
      <c r="O84" s="136">
        <f t="shared" si="3"/>
        <v>0</v>
      </c>
      <c r="P84" s="137">
        <v>46185</v>
      </c>
      <c r="Q84" s="128"/>
    </row>
    <row r="85" spans="1:17">
      <c r="A85" s="127">
        <v>77</v>
      </c>
      <c r="B85" s="128" t="s">
        <v>422</v>
      </c>
      <c r="C85" s="128" t="s">
        <v>80</v>
      </c>
      <c r="D85" s="129" t="s">
        <v>421</v>
      </c>
      <c r="E85" s="165">
        <v>2</v>
      </c>
      <c r="F85" s="164" t="s">
        <v>67</v>
      </c>
      <c r="G85" s="162">
        <v>420</v>
      </c>
      <c r="H85" s="163">
        <v>91.16</v>
      </c>
      <c r="I85" s="162">
        <f>374.4333*2</f>
        <v>748.86659999999995</v>
      </c>
      <c r="J85" s="132" t="s">
        <v>420</v>
      </c>
      <c r="K85" s="133">
        <v>46178</v>
      </c>
      <c r="L85" s="134">
        <v>46186</v>
      </c>
      <c r="M85" s="135">
        <v>46186</v>
      </c>
      <c r="N85" s="136">
        <f t="shared" si="2"/>
        <v>8</v>
      </c>
      <c r="O85" s="136">
        <f t="shared" si="3"/>
        <v>0</v>
      </c>
      <c r="P85" s="137">
        <v>46185</v>
      </c>
      <c r="Q85" s="128"/>
    </row>
    <row r="86" spans="1:17">
      <c r="A86" s="127">
        <v>78</v>
      </c>
      <c r="B86" s="128" t="s">
        <v>414</v>
      </c>
      <c r="C86" s="128" t="s">
        <v>80</v>
      </c>
      <c r="D86" s="129" t="s">
        <v>419</v>
      </c>
      <c r="E86" s="130">
        <v>1</v>
      </c>
      <c r="F86" s="131" t="s">
        <v>67</v>
      </c>
      <c r="G86" s="141">
        <v>795</v>
      </c>
      <c r="H86" s="142">
        <v>86.25</v>
      </c>
      <c r="I86" s="141">
        <v>708.75</v>
      </c>
      <c r="J86" s="132" t="s">
        <v>412</v>
      </c>
      <c r="K86" s="133">
        <v>46178</v>
      </c>
      <c r="L86" s="134">
        <v>46186</v>
      </c>
      <c r="M86" s="135">
        <v>46186</v>
      </c>
      <c r="N86" s="136">
        <f t="shared" si="2"/>
        <v>8</v>
      </c>
      <c r="O86" s="136">
        <f t="shared" si="3"/>
        <v>0</v>
      </c>
      <c r="P86" s="137">
        <v>46185</v>
      </c>
      <c r="Q86" s="128"/>
    </row>
    <row r="87" spans="1:17">
      <c r="A87" s="127">
        <v>79</v>
      </c>
      <c r="B87" s="128" t="s">
        <v>414</v>
      </c>
      <c r="C87" s="128" t="s">
        <v>80</v>
      </c>
      <c r="D87" s="129" t="s">
        <v>418</v>
      </c>
      <c r="E87" s="130">
        <v>1</v>
      </c>
      <c r="F87" s="131" t="s">
        <v>67</v>
      </c>
      <c r="G87" s="141">
        <v>880</v>
      </c>
      <c r="H87" s="142">
        <v>95.48</v>
      </c>
      <c r="I87" s="141">
        <v>784.52</v>
      </c>
      <c r="J87" s="132" t="s">
        <v>412</v>
      </c>
      <c r="K87" s="133">
        <v>46178</v>
      </c>
      <c r="L87" s="134">
        <v>46186</v>
      </c>
      <c r="M87" s="135">
        <v>46186</v>
      </c>
      <c r="N87" s="136">
        <f t="shared" si="2"/>
        <v>8</v>
      </c>
      <c r="O87" s="136">
        <f t="shared" si="3"/>
        <v>0</v>
      </c>
      <c r="P87" s="137">
        <v>46185</v>
      </c>
      <c r="Q87" s="128"/>
    </row>
    <row r="88" spans="1:17">
      <c r="A88" s="127">
        <v>80</v>
      </c>
      <c r="B88" s="128" t="s">
        <v>414</v>
      </c>
      <c r="C88" s="128" t="s">
        <v>80</v>
      </c>
      <c r="D88" s="129" t="s">
        <v>417</v>
      </c>
      <c r="E88" s="130">
        <v>1</v>
      </c>
      <c r="F88" s="131" t="s">
        <v>67</v>
      </c>
      <c r="G88" s="141">
        <v>650</v>
      </c>
      <c r="H88" s="142">
        <v>70.52</v>
      </c>
      <c r="I88" s="141">
        <v>579.48</v>
      </c>
      <c r="J88" s="132" t="s">
        <v>412</v>
      </c>
      <c r="K88" s="133">
        <v>46178</v>
      </c>
      <c r="L88" s="134">
        <v>46186</v>
      </c>
      <c r="M88" s="135">
        <v>46186</v>
      </c>
      <c r="N88" s="136">
        <f t="shared" si="2"/>
        <v>8</v>
      </c>
      <c r="O88" s="136">
        <f t="shared" si="3"/>
        <v>0</v>
      </c>
      <c r="P88" s="137">
        <v>46185</v>
      </c>
      <c r="Q88" s="128"/>
    </row>
    <row r="89" spans="1:17">
      <c r="A89" s="127">
        <v>81</v>
      </c>
      <c r="B89" s="128" t="s">
        <v>414</v>
      </c>
      <c r="C89" s="128" t="s">
        <v>80</v>
      </c>
      <c r="D89" s="129" t="s">
        <v>416</v>
      </c>
      <c r="E89" s="130">
        <v>1</v>
      </c>
      <c r="F89" s="131" t="s">
        <v>67</v>
      </c>
      <c r="G89" s="141">
        <v>1100</v>
      </c>
      <c r="H89" s="142">
        <v>119.35</v>
      </c>
      <c r="I89" s="141">
        <v>980.65</v>
      </c>
      <c r="J89" s="132" t="s">
        <v>412</v>
      </c>
      <c r="K89" s="133">
        <v>46178</v>
      </c>
      <c r="L89" s="134">
        <v>46186</v>
      </c>
      <c r="M89" s="135">
        <v>46186</v>
      </c>
      <c r="N89" s="136">
        <f t="shared" si="2"/>
        <v>8</v>
      </c>
      <c r="O89" s="136">
        <f t="shared" si="3"/>
        <v>0</v>
      </c>
      <c r="P89" s="137">
        <v>46185</v>
      </c>
      <c r="Q89" s="128"/>
    </row>
    <row r="90" spans="1:17">
      <c r="A90" s="127">
        <v>82</v>
      </c>
      <c r="B90" s="128" t="s">
        <v>414</v>
      </c>
      <c r="C90" s="128" t="s">
        <v>80</v>
      </c>
      <c r="D90" s="129" t="s">
        <v>415</v>
      </c>
      <c r="E90" s="165">
        <v>2</v>
      </c>
      <c r="F90" s="164" t="s">
        <v>67</v>
      </c>
      <c r="G90" s="162">
        <v>420</v>
      </c>
      <c r="H90" s="163">
        <v>91.16</v>
      </c>
      <c r="I90" s="162">
        <v>748.87</v>
      </c>
      <c r="J90" s="132" t="s">
        <v>412</v>
      </c>
      <c r="K90" s="133">
        <v>46178</v>
      </c>
      <c r="L90" s="134">
        <v>46186</v>
      </c>
      <c r="M90" s="135">
        <v>46186</v>
      </c>
      <c r="N90" s="136">
        <f t="shared" si="2"/>
        <v>8</v>
      </c>
      <c r="O90" s="136">
        <f t="shared" si="3"/>
        <v>0</v>
      </c>
      <c r="P90" s="137">
        <v>46185</v>
      </c>
      <c r="Q90" s="128"/>
    </row>
    <row r="91" spans="1:17">
      <c r="A91" s="127">
        <v>83</v>
      </c>
      <c r="B91" s="128" t="s">
        <v>414</v>
      </c>
      <c r="C91" s="128" t="s">
        <v>80</v>
      </c>
      <c r="D91" s="129" t="s">
        <v>413</v>
      </c>
      <c r="E91" s="130">
        <v>3</v>
      </c>
      <c r="F91" s="131" t="s">
        <v>67</v>
      </c>
      <c r="G91" s="141">
        <v>420</v>
      </c>
      <c r="H91" s="142">
        <v>136.69999999999999</v>
      </c>
      <c r="I91" s="141">
        <v>1123.3</v>
      </c>
      <c r="J91" s="132" t="s">
        <v>412</v>
      </c>
      <c r="K91" s="133">
        <v>46178</v>
      </c>
      <c r="L91" s="134">
        <v>46186</v>
      </c>
      <c r="M91" s="135">
        <v>46186</v>
      </c>
      <c r="N91" s="136">
        <f t="shared" si="2"/>
        <v>8</v>
      </c>
      <c r="O91" s="136">
        <f t="shared" si="3"/>
        <v>0</v>
      </c>
      <c r="P91" s="137">
        <v>46185</v>
      </c>
      <c r="Q91" s="128"/>
    </row>
    <row r="92" spans="1:17">
      <c r="A92" s="127">
        <v>84</v>
      </c>
      <c r="B92" s="128" t="s">
        <v>411</v>
      </c>
      <c r="C92" s="128" t="s">
        <v>74</v>
      </c>
      <c r="D92" s="129" t="s">
        <v>410</v>
      </c>
      <c r="E92" s="130">
        <v>80</v>
      </c>
      <c r="F92" s="131" t="s">
        <v>109</v>
      </c>
      <c r="G92" s="141">
        <v>400</v>
      </c>
      <c r="H92" s="128"/>
      <c r="I92" s="141">
        <v>32000</v>
      </c>
      <c r="J92" s="132" t="s">
        <v>409</v>
      </c>
      <c r="K92" s="133">
        <v>46190</v>
      </c>
      <c r="L92" s="134">
        <v>46190</v>
      </c>
      <c r="M92" s="135">
        <v>46190</v>
      </c>
      <c r="N92" s="136">
        <f t="shared" si="2"/>
        <v>0</v>
      </c>
      <c r="O92" s="136">
        <f t="shared" si="3"/>
        <v>0</v>
      </c>
      <c r="P92" s="137">
        <v>46190</v>
      </c>
      <c r="Q92" s="128"/>
    </row>
    <row r="93" spans="1:17">
      <c r="A93" s="127">
        <v>85</v>
      </c>
      <c r="B93" s="128" t="s">
        <v>405</v>
      </c>
      <c r="C93" s="128" t="s">
        <v>110</v>
      </c>
      <c r="D93" s="129" t="s">
        <v>408</v>
      </c>
      <c r="E93" s="130">
        <v>10</v>
      </c>
      <c r="F93" s="131" t="s">
        <v>67</v>
      </c>
      <c r="G93" s="141">
        <v>3.5</v>
      </c>
      <c r="H93" s="142">
        <v>3.5</v>
      </c>
      <c r="I93" s="141">
        <v>31.5</v>
      </c>
      <c r="J93" s="132" t="s">
        <v>403</v>
      </c>
      <c r="K93" s="133">
        <v>46189</v>
      </c>
      <c r="L93" s="134">
        <v>46190</v>
      </c>
      <c r="M93" s="135">
        <v>46190</v>
      </c>
      <c r="N93" s="136">
        <f t="shared" si="2"/>
        <v>1</v>
      </c>
      <c r="O93" s="136">
        <f t="shared" si="3"/>
        <v>0</v>
      </c>
      <c r="P93" s="137">
        <v>46190</v>
      </c>
      <c r="Q93" s="128"/>
    </row>
    <row r="94" spans="1:17">
      <c r="A94" s="127">
        <v>86</v>
      </c>
      <c r="B94" s="128" t="s">
        <v>405</v>
      </c>
      <c r="C94" s="128" t="s">
        <v>110</v>
      </c>
      <c r="D94" s="129" t="s">
        <v>407</v>
      </c>
      <c r="E94" s="130">
        <v>4</v>
      </c>
      <c r="F94" s="131" t="s">
        <v>67</v>
      </c>
      <c r="G94" s="141">
        <v>32</v>
      </c>
      <c r="H94" s="142">
        <v>12.8</v>
      </c>
      <c r="I94" s="141">
        <v>115.2</v>
      </c>
      <c r="J94" s="132" t="s">
        <v>403</v>
      </c>
      <c r="K94" s="133">
        <v>46189</v>
      </c>
      <c r="L94" s="134">
        <v>46190</v>
      </c>
      <c r="M94" s="135">
        <v>46190</v>
      </c>
      <c r="N94" s="136">
        <f t="shared" si="2"/>
        <v>1</v>
      </c>
      <c r="O94" s="136">
        <f t="shared" si="3"/>
        <v>0</v>
      </c>
      <c r="P94" s="137">
        <v>46190</v>
      </c>
      <c r="Q94" s="128"/>
    </row>
    <row r="95" spans="1:17">
      <c r="A95" s="127">
        <v>87</v>
      </c>
      <c r="B95" s="128" t="s">
        <v>405</v>
      </c>
      <c r="C95" s="128" t="s">
        <v>110</v>
      </c>
      <c r="D95" s="129" t="s">
        <v>406</v>
      </c>
      <c r="E95" s="130">
        <v>4</v>
      </c>
      <c r="F95" s="131" t="s">
        <v>67</v>
      </c>
      <c r="G95" s="141">
        <v>80</v>
      </c>
      <c r="H95" s="142">
        <v>32</v>
      </c>
      <c r="I95" s="141">
        <v>288</v>
      </c>
      <c r="J95" s="132" t="s">
        <v>403</v>
      </c>
      <c r="K95" s="133">
        <v>46189</v>
      </c>
      <c r="L95" s="134">
        <v>46190</v>
      </c>
      <c r="M95" s="135">
        <v>46190</v>
      </c>
      <c r="N95" s="136">
        <f t="shared" si="2"/>
        <v>1</v>
      </c>
      <c r="O95" s="136">
        <f t="shared" si="3"/>
        <v>0</v>
      </c>
      <c r="P95" s="137">
        <v>46190</v>
      </c>
      <c r="Q95" s="128"/>
    </row>
    <row r="96" spans="1:17">
      <c r="A96" s="127">
        <v>88</v>
      </c>
      <c r="B96" s="128" t="s">
        <v>405</v>
      </c>
      <c r="C96" s="128" t="s">
        <v>110</v>
      </c>
      <c r="D96" s="129" t="s">
        <v>404</v>
      </c>
      <c r="E96" s="130">
        <v>1</v>
      </c>
      <c r="F96" s="131" t="s">
        <v>77</v>
      </c>
      <c r="G96" s="141">
        <v>33</v>
      </c>
      <c r="H96" s="142">
        <v>3.3</v>
      </c>
      <c r="I96" s="141">
        <v>29.7</v>
      </c>
      <c r="J96" s="132" t="s">
        <v>403</v>
      </c>
      <c r="K96" s="133">
        <v>46189</v>
      </c>
      <c r="L96" s="134">
        <v>46190</v>
      </c>
      <c r="M96" s="135">
        <v>46190</v>
      </c>
      <c r="N96" s="136">
        <f t="shared" si="2"/>
        <v>1</v>
      </c>
      <c r="O96" s="136">
        <f t="shared" si="3"/>
        <v>0</v>
      </c>
      <c r="P96" s="137">
        <v>46190</v>
      </c>
      <c r="Q96" s="128"/>
    </row>
    <row r="97" spans="1:17">
      <c r="A97" s="127">
        <v>89</v>
      </c>
      <c r="B97" s="128" t="s">
        <v>399</v>
      </c>
      <c r="C97" s="128" t="s">
        <v>84</v>
      </c>
      <c r="D97" s="129" t="s">
        <v>402</v>
      </c>
      <c r="E97" s="130">
        <v>1</v>
      </c>
      <c r="F97" s="131" t="s">
        <v>67</v>
      </c>
      <c r="G97" s="141">
        <v>5200</v>
      </c>
      <c r="H97" s="128"/>
      <c r="I97" s="141">
        <v>5200</v>
      </c>
      <c r="J97" s="132" t="s">
        <v>397</v>
      </c>
      <c r="K97" s="133">
        <v>46189</v>
      </c>
      <c r="L97" s="134">
        <v>46190</v>
      </c>
      <c r="M97" s="135">
        <v>46190</v>
      </c>
      <c r="N97" s="136">
        <f t="shared" si="2"/>
        <v>1</v>
      </c>
      <c r="O97" s="136">
        <f t="shared" si="3"/>
        <v>0</v>
      </c>
      <c r="P97" s="137">
        <v>46190</v>
      </c>
      <c r="Q97" s="128"/>
    </row>
    <row r="98" spans="1:17">
      <c r="A98" s="127">
        <v>90</v>
      </c>
      <c r="B98" s="128" t="s">
        <v>399</v>
      </c>
      <c r="C98" s="128" t="s">
        <v>84</v>
      </c>
      <c r="D98" s="129" t="s">
        <v>401</v>
      </c>
      <c r="E98" s="130">
        <v>2</v>
      </c>
      <c r="F98" s="131" t="s">
        <v>67</v>
      </c>
      <c r="G98" s="141">
        <v>580</v>
      </c>
      <c r="H98" s="128"/>
      <c r="I98" s="141">
        <v>1160</v>
      </c>
      <c r="J98" s="132" t="s">
        <v>397</v>
      </c>
      <c r="K98" s="133">
        <v>46189</v>
      </c>
      <c r="L98" s="134">
        <v>46190</v>
      </c>
      <c r="M98" s="135">
        <v>46190</v>
      </c>
      <c r="N98" s="136">
        <f t="shared" si="2"/>
        <v>1</v>
      </c>
      <c r="O98" s="136">
        <f t="shared" si="3"/>
        <v>0</v>
      </c>
      <c r="P98" s="137">
        <v>46190</v>
      </c>
      <c r="Q98" s="128"/>
    </row>
    <row r="99" spans="1:17">
      <c r="A99" s="127">
        <v>91</v>
      </c>
      <c r="B99" s="128" t="s">
        <v>399</v>
      </c>
      <c r="C99" s="128" t="s">
        <v>84</v>
      </c>
      <c r="D99" s="129" t="s">
        <v>400</v>
      </c>
      <c r="E99" s="130">
        <v>2</v>
      </c>
      <c r="F99" s="131" t="s">
        <v>67</v>
      </c>
      <c r="G99" s="141">
        <v>350</v>
      </c>
      <c r="H99" s="128"/>
      <c r="I99" s="141">
        <v>700</v>
      </c>
      <c r="J99" s="132" t="s">
        <v>397</v>
      </c>
      <c r="K99" s="133">
        <v>46189</v>
      </c>
      <c r="L99" s="134">
        <v>46190</v>
      </c>
      <c r="M99" s="135">
        <v>46190</v>
      </c>
      <c r="N99" s="136">
        <f t="shared" si="2"/>
        <v>1</v>
      </c>
      <c r="O99" s="136">
        <f t="shared" si="3"/>
        <v>0</v>
      </c>
      <c r="P99" s="137">
        <v>46190</v>
      </c>
      <c r="Q99" s="128"/>
    </row>
    <row r="100" spans="1:17">
      <c r="A100" s="127">
        <v>92</v>
      </c>
      <c r="B100" s="128" t="s">
        <v>399</v>
      </c>
      <c r="C100" s="128" t="s">
        <v>84</v>
      </c>
      <c r="D100" s="129" t="s">
        <v>398</v>
      </c>
      <c r="E100" s="130">
        <v>1</v>
      </c>
      <c r="F100" s="131" t="s">
        <v>67</v>
      </c>
      <c r="G100" s="141">
        <v>1500</v>
      </c>
      <c r="H100" s="128"/>
      <c r="I100" s="141">
        <v>1500</v>
      </c>
      <c r="J100" s="132" t="s">
        <v>397</v>
      </c>
      <c r="K100" s="133">
        <v>46189</v>
      </c>
      <c r="L100" s="134">
        <v>46190</v>
      </c>
      <c r="M100" s="135">
        <v>46190</v>
      </c>
      <c r="N100" s="136">
        <f t="shared" si="2"/>
        <v>1</v>
      </c>
      <c r="O100" s="136">
        <f t="shared" si="3"/>
        <v>0</v>
      </c>
      <c r="P100" s="137">
        <v>46190</v>
      </c>
      <c r="Q100" s="128"/>
    </row>
    <row r="101" spans="1:17">
      <c r="A101" s="127">
        <v>93</v>
      </c>
      <c r="B101" s="128" t="s">
        <v>284</v>
      </c>
      <c r="C101" s="128" t="s">
        <v>97</v>
      </c>
      <c r="D101" s="129" t="s">
        <v>396</v>
      </c>
      <c r="E101" s="130">
        <v>5</v>
      </c>
      <c r="F101" s="131" t="s">
        <v>66</v>
      </c>
      <c r="G101" s="141">
        <v>160</v>
      </c>
      <c r="H101" s="128"/>
      <c r="I101" s="141">
        <v>800</v>
      </c>
      <c r="J101" s="132" t="s">
        <v>395</v>
      </c>
      <c r="K101" s="133">
        <v>46183</v>
      </c>
      <c r="L101" s="134">
        <v>46190</v>
      </c>
      <c r="M101" s="135">
        <v>46190</v>
      </c>
      <c r="N101" s="136">
        <f t="shared" si="2"/>
        <v>7</v>
      </c>
      <c r="O101" s="136">
        <f t="shared" si="3"/>
        <v>0</v>
      </c>
      <c r="P101" s="137">
        <v>46190</v>
      </c>
      <c r="Q101" s="128"/>
    </row>
    <row r="102" spans="1:17">
      <c r="A102" s="127">
        <v>94</v>
      </c>
      <c r="B102" s="128" t="s">
        <v>284</v>
      </c>
      <c r="C102" s="128" t="s">
        <v>393</v>
      </c>
      <c r="D102" s="129" t="s">
        <v>394</v>
      </c>
      <c r="E102" s="130">
        <v>3</v>
      </c>
      <c r="F102" s="131" t="s">
        <v>67</v>
      </c>
      <c r="G102" s="141">
        <v>715</v>
      </c>
      <c r="H102" s="128"/>
      <c r="I102" s="141">
        <v>2145</v>
      </c>
      <c r="J102" s="132" t="s">
        <v>391</v>
      </c>
      <c r="K102" s="133">
        <v>46184</v>
      </c>
      <c r="L102" s="134">
        <v>46190</v>
      </c>
      <c r="M102" s="135">
        <v>46190</v>
      </c>
      <c r="N102" s="136">
        <f t="shared" si="2"/>
        <v>6</v>
      </c>
      <c r="O102" s="136">
        <f t="shared" si="3"/>
        <v>0</v>
      </c>
      <c r="P102" s="137">
        <v>46190</v>
      </c>
      <c r="Q102" s="128"/>
    </row>
    <row r="103" spans="1:17">
      <c r="A103" s="127">
        <v>95</v>
      </c>
      <c r="B103" s="128" t="s">
        <v>284</v>
      </c>
      <c r="C103" s="128" t="s">
        <v>393</v>
      </c>
      <c r="D103" s="129" t="s">
        <v>392</v>
      </c>
      <c r="E103" s="130">
        <v>24</v>
      </c>
      <c r="F103" s="131" t="s">
        <v>104</v>
      </c>
      <c r="G103" s="141">
        <v>3.5</v>
      </c>
      <c r="H103" s="128"/>
      <c r="I103" s="141">
        <v>84</v>
      </c>
      <c r="J103" s="132" t="s">
        <v>391</v>
      </c>
      <c r="K103" s="133">
        <v>46184</v>
      </c>
      <c r="L103" s="134">
        <v>46190</v>
      </c>
      <c r="M103" s="135">
        <v>46190</v>
      </c>
      <c r="N103" s="136">
        <f t="shared" si="2"/>
        <v>6</v>
      </c>
      <c r="O103" s="136">
        <f t="shared" si="3"/>
        <v>0</v>
      </c>
      <c r="P103" s="137">
        <v>46190</v>
      </c>
      <c r="Q103" s="128"/>
    </row>
    <row r="104" spans="1:17">
      <c r="A104" s="127">
        <v>96</v>
      </c>
      <c r="B104" s="128" t="s">
        <v>389</v>
      </c>
      <c r="C104" s="128" t="s">
        <v>388</v>
      </c>
      <c r="D104" s="129" t="s">
        <v>390</v>
      </c>
      <c r="E104" s="130">
        <v>1</v>
      </c>
      <c r="F104" s="131" t="s">
        <v>270</v>
      </c>
      <c r="G104" s="141">
        <v>3420</v>
      </c>
      <c r="H104" s="130"/>
      <c r="I104" s="141">
        <v>3420</v>
      </c>
      <c r="J104" s="132" t="s">
        <v>385</v>
      </c>
      <c r="K104" s="133">
        <v>46191</v>
      </c>
      <c r="L104" s="134">
        <v>46192</v>
      </c>
      <c r="M104" s="135">
        <v>46192</v>
      </c>
      <c r="N104" s="136">
        <f t="shared" si="2"/>
        <v>1</v>
      </c>
      <c r="O104" s="136">
        <f t="shared" si="3"/>
        <v>0</v>
      </c>
      <c r="P104" s="137">
        <v>46192</v>
      </c>
      <c r="Q104" s="128"/>
    </row>
    <row r="105" spans="1:17">
      <c r="A105" s="127">
        <v>97</v>
      </c>
      <c r="B105" s="128" t="s">
        <v>389</v>
      </c>
      <c r="C105" s="128" t="s">
        <v>388</v>
      </c>
      <c r="D105" s="129" t="s">
        <v>387</v>
      </c>
      <c r="E105" s="130">
        <v>1</v>
      </c>
      <c r="F105" s="131" t="s">
        <v>386</v>
      </c>
      <c r="G105" s="141">
        <v>102.6</v>
      </c>
      <c r="H105" s="130"/>
      <c r="I105" s="141">
        <v>102.6</v>
      </c>
      <c r="J105" s="132" t="s">
        <v>385</v>
      </c>
      <c r="K105" s="133">
        <v>46191</v>
      </c>
      <c r="L105" s="134">
        <v>46192</v>
      </c>
      <c r="M105" s="135">
        <v>46192</v>
      </c>
      <c r="N105" s="136">
        <f t="shared" si="2"/>
        <v>1</v>
      </c>
      <c r="O105" s="136">
        <f t="shared" si="3"/>
        <v>0</v>
      </c>
      <c r="P105" s="137">
        <v>46192</v>
      </c>
      <c r="Q105" s="128"/>
    </row>
    <row r="106" spans="1:17">
      <c r="A106" s="127">
        <v>98</v>
      </c>
      <c r="B106" s="128" t="s">
        <v>177</v>
      </c>
      <c r="C106" s="128" t="s">
        <v>68</v>
      </c>
      <c r="D106" s="129" t="s">
        <v>384</v>
      </c>
      <c r="E106" s="130">
        <v>20</v>
      </c>
      <c r="F106" s="131" t="s">
        <v>64</v>
      </c>
      <c r="G106" s="141">
        <v>9.7200000000000006</v>
      </c>
      <c r="H106" s="128"/>
      <c r="I106" s="141">
        <v>194.4</v>
      </c>
      <c r="J106" s="132" t="s">
        <v>175</v>
      </c>
      <c r="K106" s="133">
        <v>46184</v>
      </c>
      <c r="L106" s="134">
        <v>46195</v>
      </c>
      <c r="M106" s="135">
        <v>46195</v>
      </c>
      <c r="N106" s="136">
        <f t="shared" si="2"/>
        <v>11</v>
      </c>
      <c r="O106" s="136">
        <f t="shared" si="3"/>
        <v>0</v>
      </c>
      <c r="P106" s="137">
        <v>46195</v>
      </c>
      <c r="Q106" s="128"/>
    </row>
    <row r="107" spans="1:17">
      <c r="A107" s="127">
        <v>99</v>
      </c>
      <c r="B107" s="128" t="s">
        <v>383</v>
      </c>
      <c r="C107" s="128" t="s">
        <v>382</v>
      </c>
      <c r="D107" s="129" t="s">
        <v>381</v>
      </c>
      <c r="E107" s="130">
        <v>610</v>
      </c>
      <c r="F107" s="131" t="s">
        <v>102</v>
      </c>
      <c r="G107" s="141">
        <v>16</v>
      </c>
      <c r="H107" s="128"/>
      <c r="I107" s="141">
        <v>9760</v>
      </c>
      <c r="J107" s="132" t="s">
        <v>380</v>
      </c>
      <c r="K107" s="133">
        <v>46184</v>
      </c>
      <c r="L107" s="134">
        <v>46195</v>
      </c>
      <c r="M107" s="135">
        <v>46195</v>
      </c>
      <c r="N107" s="136">
        <f t="shared" si="2"/>
        <v>11</v>
      </c>
      <c r="O107" s="136">
        <f t="shared" si="3"/>
        <v>0</v>
      </c>
      <c r="P107" s="137">
        <v>46195</v>
      </c>
      <c r="Q107" s="128"/>
    </row>
    <row r="108" spans="1:17">
      <c r="A108" s="127">
        <v>100</v>
      </c>
      <c r="B108" s="128" t="s">
        <v>378</v>
      </c>
      <c r="C108" s="128" t="s">
        <v>93</v>
      </c>
      <c r="D108" s="129" t="s">
        <v>379</v>
      </c>
      <c r="E108" s="130">
        <v>4</v>
      </c>
      <c r="F108" s="131" t="s">
        <v>67</v>
      </c>
      <c r="G108" s="141">
        <v>800</v>
      </c>
      <c r="H108" s="128"/>
      <c r="I108" s="141">
        <v>3200</v>
      </c>
      <c r="J108" s="132" t="s">
        <v>376</v>
      </c>
      <c r="K108" s="133">
        <v>46189</v>
      </c>
      <c r="L108" s="134">
        <v>46195</v>
      </c>
      <c r="M108" s="135">
        <v>46195</v>
      </c>
      <c r="N108" s="136">
        <f t="shared" si="2"/>
        <v>6</v>
      </c>
      <c r="O108" s="136">
        <f t="shared" si="3"/>
        <v>0</v>
      </c>
      <c r="P108" s="137">
        <v>46193</v>
      </c>
      <c r="Q108" s="128"/>
    </row>
    <row r="109" spans="1:17">
      <c r="A109" s="127">
        <v>101</v>
      </c>
      <c r="B109" s="128" t="s">
        <v>378</v>
      </c>
      <c r="C109" s="128" t="s">
        <v>93</v>
      </c>
      <c r="D109" s="129" t="s">
        <v>377</v>
      </c>
      <c r="E109" s="130">
        <v>4</v>
      </c>
      <c r="F109" s="131" t="s">
        <v>67</v>
      </c>
      <c r="G109" s="141">
        <v>800</v>
      </c>
      <c r="H109" s="128"/>
      <c r="I109" s="141">
        <v>3200</v>
      </c>
      <c r="J109" s="132" t="s">
        <v>376</v>
      </c>
      <c r="K109" s="133">
        <v>46189</v>
      </c>
      <c r="L109" s="134">
        <v>46195</v>
      </c>
      <c r="M109" s="135">
        <v>46195</v>
      </c>
      <c r="N109" s="136">
        <f t="shared" si="2"/>
        <v>6</v>
      </c>
      <c r="O109" s="136">
        <f t="shared" si="3"/>
        <v>0</v>
      </c>
      <c r="P109" s="137">
        <v>46193</v>
      </c>
      <c r="Q109" s="128"/>
    </row>
    <row r="110" spans="1:17">
      <c r="A110" s="127">
        <v>102</v>
      </c>
      <c r="B110" s="128" t="s">
        <v>374</v>
      </c>
      <c r="C110" s="128" t="s">
        <v>93</v>
      </c>
      <c r="D110" s="129" t="s">
        <v>375</v>
      </c>
      <c r="E110" s="130">
        <v>3</v>
      </c>
      <c r="F110" s="131" t="s">
        <v>67</v>
      </c>
      <c r="G110" s="141">
        <v>800</v>
      </c>
      <c r="H110" s="128"/>
      <c r="I110" s="141">
        <v>2400</v>
      </c>
      <c r="J110" s="132" t="s">
        <v>372</v>
      </c>
      <c r="K110" s="133">
        <v>46189</v>
      </c>
      <c r="L110" s="134">
        <v>46195</v>
      </c>
      <c r="M110" s="135">
        <v>46195</v>
      </c>
      <c r="N110" s="136">
        <f t="shared" si="2"/>
        <v>6</v>
      </c>
      <c r="O110" s="136">
        <f t="shared" si="3"/>
        <v>0</v>
      </c>
      <c r="P110" s="137">
        <v>46193</v>
      </c>
      <c r="Q110" s="128"/>
    </row>
    <row r="111" spans="1:17">
      <c r="A111" s="127">
        <v>103</v>
      </c>
      <c r="B111" s="128" t="s">
        <v>374</v>
      </c>
      <c r="C111" s="128" t="s">
        <v>93</v>
      </c>
      <c r="D111" s="129" t="s">
        <v>373</v>
      </c>
      <c r="E111" s="130">
        <v>3</v>
      </c>
      <c r="F111" s="131" t="s">
        <v>67</v>
      </c>
      <c r="G111" s="141">
        <v>800</v>
      </c>
      <c r="H111" s="128"/>
      <c r="I111" s="141">
        <v>2400</v>
      </c>
      <c r="J111" s="132" t="s">
        <v>372</v>
      </c>
      <c r="K111" s="133">
        <v>46189</v>
      </c>
      <c r="L111" s="134">
        <v>46195</v>
      </c>
      <c r="M111" s="135">
        <v>46195</v>
      </c>
      <c r="N111" s="136">
        <f t="shared" si="2"/>
        <v>6</v>
      </c>
      <c r="O111" s="136">
        <f t="shared" si="3"/>
        <v>0</v>
      </c>
      <c r="P111" s="137">
        <v>46193</v>
      </c>
      <c r="Q111" s="128"/>
    </row>
    <row r="112" spans="1:17">
      <c r="A112" s="127">
        <v>104</v>
      </c>
      <c r="B112" s="128" t="s">
        <v>371</v>
      </c>
      <c r="C112" s="128" t="s">
        <v>368</v>
      </c>
      <c r="D112" s="129" t="s">
        <v>367</v>
      </c>
      <c r="E112" s="130">
        <v>1</v>
      </c>
      <c r="F112" s="131" t="s">
        <v>67</v>
      </c>
      <c r="G112" s="141">
        <v>850</v>
      </c>
      <c r="H112" s="128"/>
      <c r="I112" s="141">
        <v>850</v>
      </c>
      <c r="J112" s="132" t="s">
        <v>370</v>
      </c>
      <c r="K112" s="133">
        <v>46190</v>
      </c>
      <c r="L112" s="134">
        <v>46196</v>
      </c>
      <c r="M112" s="135">
        <v>46196</v>
      </c>
      <c r="N112" s="136">
        <f t="shared" si="2"/>
        <v>6</v>
      </c>
      <c r="O112" s="136">
        <f t="shared" si="3"/>
        <v>0</v>
      </c>
      <c r="P112" s="137">
        <v>46196</v>
      </c>
      <c r="Q112" s="128"/>
    </row>
    <row r="113" spans="1:17">
      <c r="A113" s="127">
        <v>105</v>
      </c>
      <c r="B113" s="128" t="s">
        <v>369</v>
      </c>
      <c r="C113" s="128" t="s">
        <v>368</v>
      </c>
      <c r="D113" s="129" t="s">
        <v>367</v>
      </c>
      <c r="E113" s="130">
        <v>2</v>
      </c>
      <c r="F113" s="131" t="s">
        <v>67</v>
      </c>
      <c r="G113" s="141">
        <v>850</v>
      </c>
      <c r="H113" s="128"/>
      <c r="I113" s="141">
        <v>1700</v>
      </c>
      <c r="J113" s="132" t="s">
        <v>366</v>
      </c>
      <c r="K113" s="133">
        <v>46190</v>
      </c>
      <c r="L113" s="134">
        <v>46196</v>
      </c>
      <c r="M113" s="135">
        <v>46196</v>
      </c>
      <c r="N113" s="136">
        <f t="shared" si="2"/>
        <v>6</v>
      </c>
      <c r="O113" s="136">
        <f t="shared" si="3"/>
        <v>0</v>
      </c>
      <c r="P113" s="137">
        <v>46196</v>
      </c>
      <c r="Q113" s="128"/>
    </row>
    <row r="114" spans="1:17">
      <c r="A114" s="127">
        <v>106</v>
      </c>
      <c r="B114" s="128" t="s">
        <v>363</v>
      </c>
      <c r="C114" s="128" t="s">
        <v>76</v>
      </c>
      <c r="D114" s="129" t="s">
        <v>365</v>
      </c>
      <c r="E114" s="130">
        <v>1</v>
      </c>
      <c r="F114" s="131" t="s">
        <v>67</v>
      </c>
      <c r="G114" s="141">
        <v>1185</v>
      </c>
      <c r="H114" s="128"/>
      <c r="I114" s="141">
        <v>1185</v>
      </c>
      <c r="J114" s="132" t="s">
        <v>361</v>
      </c>
      <c r="K114" s="133">
        <v>46196</v>
      </c>
      <c r="L114" s="134">
        <v>46197</v>
      </c>
      <c r="M114" s="135">
        <v>46197</v>
      </c>
      <c r="N114" s="136">
        <f t="shared" si="2"/>
        <v>1</v>
      </c>
      <c r="O114" s="136">
        <f t="shared" si="3"/>
        <v>0</v>
      </c>
      <c r="P114" s="137">
        <v>46197</v>
      </c>
      <c r="Q114" s="128"/>
    </row>
    <row r="115" spans="1:17">
      <c r="A115" s="127">
        <v>107</v>
      </c>
      <c r="B115" s="128" t="s">
        <v>363</v>
      </c>
      <c r="C115" s="128" t="s">
        <v>76</v>
      </c>
      <c r="D115" s="129" t="s">
        <v>364</v>
      </c>
      <c r="E115" s="130">
        <v>5</v>
      </c>
      <c r="F115" s="131" t="s">
        <v>77</v>
      </c>
      <c r="G115" s="141">
        <v>510</v>
      </c>
      <c r="H115" s="128"/>
      <c r="I115" s="141">
        <v>2550</v>
      </c>
      <c r="J115" s="132" t="s">
        <v>361</v>
      </c>
      <c r="K115" s="133">
        <v>46196</v>
      </c>
      <c r="L115" s="134">
        <v>46197</v>
      </c>
      <c r="M115" s="135">
        <v>46197</v>
      </c>
      <c r="N115" s="136">
        <f t="shared" si="2"/>
        <v>1</v>
      </c>
      <c r="O115" s="136">
        <f t="shared" si="3"/>
        <v>0</v>
      </c>
      <c r="P115" s="137">
        <v>46197</v>
      </c>
      <c r="Q115" s="128"/>
    </row>
    <row r="116" spans="1:17">
      <c r="A116" s="127">
        <v>108</v>
      </c>
      <c r="B116" s="128" t="s">
        <v>363</v>
      </c>
      <c r="C116" s="128" t="s">
        <v>76</v>
      </c>
      <c r="D116" s="129" t="s">
        <v>362</v>
      </c>
      <c r="E116" s="130">
        <v>1</v>
      </c>
      <c r="F116" s="131" t="s">
        <v>98</v>
      </c>
      <c r="G116" s="141">
        <v>1800</v>
      </c>
      <c r="H116" s="128"/>
      <c r="I116" s="141">
        <v>1800</v>
      </c>
      <c r="J116" s="132" t="s">
        <v>361</v>
      </c>
      <c r="K116" s="133">
        <v>46196</v>
      </c>
      <c r="L116" s="134">
        <v>46197</v>
      </c>
      <c r="M116" s="135">
        <v>46197</v>
      </c>
      <c r="N116" s="136">
        <f t="shared" si="2"/>
        <v>1</v>
      </c>
      <c r="O116" s="136">
        <f t="shared" si="3"/>
        <v>0</v>
      </c>
      <c r="P116" s="137">
        <v>46197</v>
      </c>
      <c r="Q116" s="128"/>
    </row>
    <row r="117" spans="1:17">
      <c r="A117" s="127">
        <v>109</v>
      </c>
      <c r="B117" s="128" t="s">
        <v>81</v>
      </c>
      <c r="C117" s="128" t="s">
        <v>82</v>
      </c>
      <c r="D117" s="129" t="s">
        <v>94</v>
      </c>
      <c r="E117" s="130">
        <v>3</v>
      </c>
      <c r="F117" s="131" t="s">
        <v>67</v>
      </c>
      <c r="G117" s="141">
        <v>240</v>
      </c>
      <c r="H117" s="128"/>
      <c r="I117" s="141">
        <v>720</v>
      </c>
      <c r="J117" s="132" t="s">
        <v>358</v>
      </c>
      <c r="K117" s="133">
        <v>46198</v>
      </c>
      <c r="L117" s="134">
        <v>46198</v>
      </c>
      <c r="M117" s="135">
        <v>46198</v>
      </c>
      <c r="N117" s="136">
        <f t="shared" si="2"/>
        <v>0</v>
      </c>
      <c r="O117" s="136">
        <f t="shared" si="3"/>
        <v>0</v>
      </c>
      <c r="P117" s="137">
        <v>46198</v>
      </c>
      <c r="Q117" s="128"/>
    </row>
    <row r="118" spans="1:17">
      <c r="A118" s="127">
        <v>110</v>
      </c>
      <c r="B118" s="128" t="s">
        <v>81</v>
      </c>
      <c r="C118" s="128" t="s">
        <v>82</v>
      </c>
      <c r="D118" s="129" t="s">
        <v>360</v>
      </c>
      <c r="E118" s="130">
        <v>1</v>
      </c>
      <c r="F118" s="131" t="s">
        <v>67</v>
      </c>
      <c r="G118" s="141">
        <v>750</v>
      </c>
      <c r="H118" s="128"/>
      <c r="I118" s="141">
        <v>750</v>
      </c>
      <c r="J118" s="132" t="s">
        <v>358</v>
      </c>
      <c r="K118" s="133">
        <v>46198</v>
      </c>
      <c r="L118" s="134">
        <v>46198</v>
      </c>
      <c r="M118" s="135">
        <v>46198</v>
      </c>
      <c r="N118" s="136">
        <f t="shared" si="2"/>
        <v>0</v>
      </c>
      <c r="O118" s="136">
        <f t="shared" si="3"/>
        <v>0</v>
      </c>
      <c r="P118" s="137">
        <v>46198</v>
      </c>
      <c r="Q118" s="128"/>
    </row>
    <row r="119" spans="1:17">
      <c r="A119" s="127">
        <v>111</v>
      </c>
      <c r="B119" s="128" t="s">
        <v>81</v>
      </c>
      <c r="C119" s="128" t="s">
        <v>82</v>
      </c>
      <c r="D119" s="129" t="s">
        <v>359</v>
      </c>
      <c r="E119" s="130">
        <v>1</v>
      </c>
      <c r="F119" s="131" t="s">
        <v>67</v>
      </c>
      <c r="G119" s="141">
        <v>350</v>
      </c>
      <c r="H119" s="128"/>
      <c r="I119" s="141">
        <v>350</v>
      </c>
      <c r="J119" s="132" t="s">
        <v>358</v>
      </c>
      <c r="K119" s="133">
        <v>46198</v>
      </c>
      <c r="L119" s="134">
        <v>46198</v>
      </c>
      <c r="M119" s="135">
        <v>46198</v>
      </c>
      <c r="N119" s="136">
        <f t="shared" si="2"/>
        <v>0</v>
      </c>
      <c r="O119" s="136">
        <f t="shared" si="3"/>
        <v>0</v>
      </c>
      <c r="P119" s="137">
        <v>46198</v>
      </c>
      <c r="Q119" s="128"/>
    </row>
    <row r="120" spans="1:17">
      <c r="A120" s="127">
        <v>112</v>
      </c>
      <c r="B120" s="128" t="s">
        <v>357</v>
      </c>
      <c r="C120" s="128" t="s">
        <v>69</v>
      </c>
      <c r="D120" s="129" t="s">
        <v>356</v>
      </c>
      <c r="E120" s="130">
        <v>2</v>
      </c>
      <c r="F120" s="131" t="s">
        <v>67</v>
      </c>
      <c r="G120" s="141">
        <v>3818</v>
      </c>
      <c r="H120" s="130">
        <v>1527.2</v>
      </c>
      <c r="I120" s="141">
        <v>6108.8</v>
      </c>
      <c r="J120" s="132" t="s">
        <v>355</v>
      </c>
      <c r="K120" s="133">
        <v>46191</v>
      </c>
      <c r="L120" s="134">
        <v>46198</v>
      </c>
      <c r="M120" s="135">
        <v>46198</v>
      </c>
      <c r="N120" s="136">
        <f t="shared" si="2"/>
        <v>7</v>
      </c>
      <c r="O120" s="136">
        <f t="shared" si="3"/>
        <v>0</v>
      </c>
      <c r="P120" s="137">
        <v>46198</v>
      </c>
      <c r="Q120" s="128"/>
    </row>
    <row r="121" spans="1:17">
      <c r="A121" s="127">
        <v>113</v>
      </c>
      <c r="B121" s="128" t="s">
        <v>354</v>
      </c>
      <c r="C121" s="128" t="s">
        <v>96</v>
      </c>
      <c r="D121" s="129" t="s">
        <v>353</v>
      </c>
      <c r="E121" s="130">
        <v>5</v>
      </c>
      <c r="F121" s="131" t="s">
        <v>67</v>
      </c>
      <c r="G121" s="141">
        <v>654</v>
      </c>
      <c r="H121" s="128"/>
      <c r="I121" s="141">
        <v>3270</v>
      </c>
      <c r="J121" s="132" t="s">
        <v>352</v>
      </c>
      <c r="K121" s="133">
        <v>46192</v>
      </c>
      <c r="L121" s="134">
        <v>46199</v>
      </c>
      <c r="M121" s="135">
        <v>46199</v>
      </c>
      <c r="N121" s="136">
        <f t="shared" si="2"/>
        <v>7</v>
      </c>
      <c r="O121" s="136">
        <f t="shared" si="3"/>
        <v>0</v>
      </c>
      <c r="P121" s="137">
        <v>46199</v>
      </c>
      <c r="Q121" s="128"/>
    </row>
    <row r="122" spans="1:17" ht="23.4">
      <c r="A122" s="127">
        <v>114</v>
      </c>
      <c r="B122" s="128" t="s">
        <v>350</v>
      </c>
      <c r="C122" s="128" t="s">
        <v>65</v>
      </c>
      <c r="D122" s="129" t="s">
        <v>351</v>
      </c>
      <c r="E122" s="130">
        <v>1</v>
      </c>
      <c r="F122" s="131" t="s">
        <v>100</v>
      </c>
      <c r="G122" s="141">
        <v>83</v>
      </c>
      <c r="H122" s="128"/>
      <c r="I122" s="141">
        <v>83</v>
      </c>
      <c r="J122" s="132" t="s">
        <v>348</v>
      </c>
      <c r="K122" s="133">
        <v>46202</v>
      </c>
      <c r="L122" s="134">
        <v>46202</v>
      </c>
      <c r="M122" s="161">
        <v>46202</v>
      </c>
      <c r="N122" s="136">
        <f t="shared" si="2"/>
        <v>0</v>
      </c>
      <c r="O122" s="136">
        <f t="shared" si="3"/>
        <v>0</v>
      </c>
      <c r="P122" s="160">
        <v>46202</v>
      </c>
      <c r="Q122" s="128"/>
    </row>
    <row r="123" spans="1:17" ht="23.4">
      <c r="A123" s="127">
        <v>115</v>
      </c>
      <c r="B123" s="128" t="s">
        <v>350</v>
      </c>
      <c r="C123" s="128" t="s">
        <v>65</v>
      </c>
      <c r="D123" s="129" t="s">
        <v>349</v>
      </c>
      <c r="E123" s="130">
        <v>1</v>
      </c>
      <c r="F123" s="131" t="s">
        <v>101</v>
      </c>
      <c r="G123" s="141">
        <v>60</v>
      </c>
      <c r="H123" s="128"/>
      <c r="I123" s="141">
        <v>60</v>
      </c>
      <c r="J123" s="132" t="s">
        <v>348</v>
      </c>
      <c r="K123" s="133">
        <v>46202</v>
      </c>
      <c r="L123" s="134">
        <v>46202</v>
      </c>
      <c r="M123" s="161">
        <v>46202</v>
      </c>
      <c r="N123" s="136">
        <f t="shared" si="2"/>
        <v>0</v>
      </c>
      <c r="O123" s="136">
        <f t="shared" si="3"/>
        <v>0</v>
      </c>
      <c r="P123" s="160">
        <v>46202</v>
      </c>
      <c r="Q123" s="128"/>
    </row>
    <row r="124" spans="1:17" ht="23.4">
      <c r="A124" s="127">
        <v>116</v>
      </c>
      <c r="B124" s="128" t="s">
        <v>72</v>
      </c>
      <c r="C124" s="128" t="s">
        <v>120</v>
      </c>
      <c r="D124" s="129" t="s">
        <v>135</v>
      </c>
      <c r="E124" s="130">
        <v>2</v>
      </c>
      <c r="F124" s="131" t="s">
        <v>70</v>
      </c>
      <c r="G124" s="141">
        <v>33</v>
      </c>
      <c r="H124" s="128"/>
      <c r="I124" s="141">
        <v>66</v>
      </c>
      <c r="J124" s="132" t="s">
        <v>124</v>
      </c>
      <c r="K124" s="133">
        <v>46202</v>
      </c>
      <c r="L124" s="134">
        <v>46202</v>
      </c>
      <c r="M124" s="161">
        <v>46202</v>
      </c>
      <c r="N124" s="136">
        <f t="shared" si="2"/>
        <v>0</v>
      </c>
      <c r="O124" s="136">
        <f t="shared" si="3"/>
        <v>0</v>
      </c>
      <c r="P124" s="160">
        <v>46202</v>
      </c>
      <c r="Q124" s="128"/>
    </row>
    <row r="125" spans="1:17" ht="23.4">
      <c r="A125" s="127">
        <v>117</v>
      </c>
      <c r="B125" s="128" t="s">
        <v>72</v>
      </c>
      <c r="C125" s="128" t="s">
        <v>120</v>
      </c>
      <c r="D125" s="129" t="s">
        <v>134</v>
      </c>
      <c r="E125" s="130">
        <v>6</v>
      </c>
      <c r="F125" s="131" t="s">
        <v>109</v>
      </c>
      <c r="G125" s="141">
        <v>23</v>
      </c>
      <c r="H125" s="128"/>
      <c r="I125" s="141">
        <v>138</v>
      </c>
      <c r="J125" s="132" t="s">
        <v>124</v>
      </c>
      <c r="K125" s="133">
        <v>46202</v>
      </c>
      <c r="L125" s="134">
        <v>46202</v>
      </c>
      <c r="M125" s="161">
        <v>46202</v>
      </c>
      <c r="N125" s="136">
        <f t="shared" si="2"/>
        <v>0</v>
      </c>
      <c r="O125" s="136">
        <f t="shared" si="3"/>
        <v>0</v>
      </c>
      <c r="P125" s="160">
        <v>46202</v>
      </c>
      <c r="Q125" s="128"/>
    </row>
    <row r="126" spans="1:17" ht="23.4">
      <c r="A126" s="127">
        <v>118</v>
      </c>
      <c r="B126" s="128" t="s">
        <v>72</v>
      </c>
      <c r="C126" s="128" t="s">
        <v>120</v>
      </c>
      <c r="D126" s="129" t="s">
        <v>133</v>
      </c>
      <c r="E126" s="130">
        <v>1</v>
      </c>
      <c r="F126" s="131" t="s">
        <v>101</v>
      </c>
      <c r="G126" s="141">
        <v>98</v>
      </c>
      <c r="H126" s="128"/>
      <c r="I126" s="141">
        <v>98</v>
      </c>
      <c r="J126" s="132" t="s">
        <v>124</v>
      </c>
      <c r="K126" s="133">
        <v>46202</v>
      </c>
      <c r="L126" s="134">
        <v>46202</v>
      </c>
      <c r="M126" s="161">
        <v>46202</v>
      </c>
      <c r="N126" s="136">
        <f t="shared" si="2"/>
        <v>0</v>
      </c>
      <c r="O126" s="136">
        <f t="shared" si="3"/>
        <v>0</v>
      </c>
      <c r="P126" s="160">
        <v>46202</v>
      </c>
      <c r="Q126" s="128"/>
    </row>
    <row r="127" spans="1:17" ht="23.4">
      <c r="A127" s="127">
        <v>119</v>
      </c>
      <c r="B127" s="128" t="s">
        <v>72</v>
      </c>
      <c r="C127" s="128" t="s">
        <v>120</v>
      </c>
      <c r="D127" s="129" t="s">
        <v>132</v>
      </c>
      <c r="E127" s="130">
        <v>1</v>
      </c>
      <c r="F127" s="131" t="s">
        <v>131</v>
      </c>
      <c r="G127" s="141">
        <v>185</v>
      </c>
      <c r="H127" s="128"/>
      <c r="I127" s="141">
        <v>185</v>
      </c>
      <c r="J127" s="132" t="s">
        <v>124</v>
      </c>
      <c r="K127" s="133">
        <v>46202</v>
      </c>
      <c r="L127" s="134">
        <v>46202</v>
      </c>
      <c r="M127" s="161">
        <v>46202</v>
      </c>
      <c r="N127" s="136">
        <f t="shared" si="2"/>
        <v>0</v>
      </c>
      <c r="O127" s="136">
        <f t="shared" si="3"/>
        <v>0</v>
      </c>
      <c r="P127" s="160">
        <v>46202</v>
      </c>
      <c r="Q127" s="128"/>
    </row>
    <row r="128" spans="1:17" ht="23.4">
      <c r="A128" s="127">
        <v>120</v>
      </c>
      <c r="B128" s="128" t="s">
        <v>72</v>
      </c>
      <c r="C128" s="128" t="s">
        <v>120</v>
      </c>
      <c r="D128" s="129" t="s">
        <v>130</v>
      </c>
      <c r="E128" s="130">
        <v>1</v>
      </c>
      <c r="F128" s="131" t="s">
        <v>101</v>
      </c>
      <c r="G128" s="141">
        <v>125</v>
      </c>
      <c r="H128" s="128"/>
      <c r="I128" s="141">
        <v>125</v>
      </c>
      <c r="J128" s="132" t="s">
        <v>124</v>
      </c>
      <c r="K128" s="133">
        <v>46202</v>
      </c>
      <c r="L128" s="134">
        <v>46202</v>
      </c>
      <c r="M128" s="161">
        <v>46202</v>
      </c>
      <c r="N128" s="136">
        <f t="shared" si="2"/>
        <v>0</v>
      </c>
      <c r="O128" s="136">
        <f t="shared" si="3"/>
        <v>0</v>
      </c>
      <c r="P128" s="160">
        <v>46202</v>
      </c>
      <c r="Q128" s="128"/>
    </row>
    <row r="129" spans="1:17" ht="23.4">
      <c r="A129" s="127">
        <v>121</v>
      </c>
      <c r="B129" s="128" t="s">
        <v>72</v>
      </c>
      <c r="C129" s="128" t="s">
        <v>120</v>
      </c>
      <c r="D129" s="129" t="s">
        <v>129</v>
      </c>
      <c r="E129" s="130">
        <v>1</v>
      </c>
      <c r="F129" s="131" t="s">
        <v>67</v>
      </c>
      <c r="G129" s="141">
        <v>115</v>
      </c>
      <c r="H129" s="128"/>
      <c r="I129" s="141">
        <v>115</v>
      </c>
      <c r="J129" s="132" t="s">
        <v>124</v>
      </c>
      <c r="K129" s="133">
        <v>46202</v>
      </c>
      <c r="L129" s="134">
        <v>46202</v>
      </c>
      <c r="M129" s="161">
        <v>46202</v>
      </c>
      <c r="N129" s="136">
        <f t="shared" si="2"/>
        <v>0</v>
      </c>
      <c r="O129" s="136">
        <f t="shared" si="3"/>
        <v>0</v>
      </c>
      <c r="P129" s="160">
        <v>46202</v>
      </c>
      <c r="Q129" s="128"/>
    </row>
    <row r="130" spans="1:17" ht="23.4">
      <c r="A130" s="127">
        <v>122</v>
      </c>
      <c r="B130" s="128" t="s">
        <v>72</v>
      </c>
      <c r="C130" s="128" t="s">
        <v>120</v>
      </c>
      <c r="D130" s="129" t="s">
        <v>128</v>
      </c>
      <c r="E130" s="130">
        <v>1</v>
      </c>
      <c r="F130" s="131" t="s">
        <v>67</v>
      </c>
      <c r="G130" s="141">
        <v>33</v>
      </c>
      <c r="H130" s="128"/>
      <c r="I130" s="141">
        <v>33</v>
      </c>
      <c r="J130" s="132" t="s">
        <v>124</v>
      </c>
      <c r="K130" s="133">
        <v>46202</v>
      </c>
      <c r="L130" s="134">
        <v>46202</v>
      </c>
      <c r="M130" s="161">
        <v>46202</v>
      </c>
      <c r="N130" s="136">
        <f t="shared" si="2"/>
        <v>0</v>
      </c>
      <c r="O130" s="136">
        <f t="shared" si="3"/>
        <v>0</v>
      </c>
      <c r="P130" s="160">
        <v>46202</v>
      </c>
      <c r="Q130" s="128"/>
    </row>
    <row r="131" spans="1:17" ht="23.4">
      <c r="A131" s="127">
        <v>123</v>
      </c>
      <c r="B131" s="128" t="s">
        <v>72</v>
      </c>
      <c r="C131" s="128" t="s">
        <v>120</v>
      </c>
      <c r="D131" s="129" t="s">
        <v>127</v>
      </c>
      <c r="E131" s="130">
        <v>1</v>
      </c>
      <c r="F131" s="131" t="s">
        <v>67</v>
      </c>
      <c r="G131" s="141">
        <v>32</v>
      </c>
      <c r="H131" s="128"/>
      <c r="I131" s="141">
        <v>32</v>
      </c>
      <c r="J131" s="132" t="s">
        <v>124</v>
      </c>
      <c r="K131" s="133">
        <v>46202</v>
      </c>
      <c r="L131" s="134">
        <v>46202</v>
      </c>
      <c r="M131" s="161">
        <v>46202</v>
      </c>
      <c r="N131" s="136">
        <f t="shared" si="2"/>
        <v>0</v>
      </c>
      <c r="O131" s="136">
        <f t="shared" si="3"/>
        <v>0</v>
      </c>
      <c r="P131" s="160">
        <v>46202</v>
      </c>
      <c r="Q131" s="128"/>
    </row>
    <row r="132" spans="1:17" ht="23.4">
      <c r="A132" s="127">
        <v>124</v>
      </c>
      <c r="B132" s="128" t="s">
        <v>72</v>
      </c>
      <c r="C132" s="128" t="s">
        <v>120</v>
      </c>
      <c r="D132" s="129" t="s">
        <v>126</v>
      </c>
      <c r="E132" s="130">
        <v>4</v>
      </c>
      <c r="F132" s="131" t="s">
        <v>67</v>
      </c>
      <c r="G132" s="141">
        <v>47</v>
      </c>
      <c r="H132" s="128"/>
      <c r="I132" s="141">
        <v>188</v>
      </c>
      <c r="J132" s="132" t="s">
        <v>124</v>
      </c>
      <c r="K132" s="133">
        <v>46202</v>
      </c>
      <c r="L132" s="134">
        <v>46202</v>
      </c>
      <c r="M132" s="161">
        <v>46202</v>
      </c>
      <c r="N132" s="136">
        <f t="shared" si="2"/>
        <v>0</v>
      </c>
      <c r="O132" s="136">
        <f t="shared" si="3"/>
        <v>0</v>
      </c>
      <c r="P132" s="160">
        <v>46202</v>
      </c>
      <c r="Q132" s="128"/>
    </row>
    <row r="133" spans="1:17" ht="23.4">
      <c r="A133" s="127">
        <v>125</v>
      </c>
      <c r="B133" s="128" t="s">
        <v>72</v>
      </c>
      <c r="C133" s="128" t="s">
        <v>120</v>
      </c>
      <c r="D133" s="129" t="s">
        <v>125</v>
      </c>
      <c r="E133" s="130">
        <v>2</v>
      </c>
      <c r="F133" s="131" t="s">
        <v>67</v>
      </c>
      <c r="G133" s="141">
        <v>36</v>
      </c>
      <c r="H133" s="128"/>
      <c r="I133" s="141">
        <v>72</v>
      </c>
      <c r="J133" s="132" t="s">
        <v>124</v>
      </c>
      <c r="K133" s="133">
        <v>46202</v>
      </c>
      <c r="L133" s="134">
        <v>46202</v>
      </c>
      <c r="M133" s="161">
        <v>46202</v>
      </c>
      <c r="N133" s="136">
        <f t="shared" si="2"/>
        <v>0</v>
      </c>
      <c r="O133" s="136">
        <f t="shared" si="3"/>
        <v>0</v>
      </c>
      <c r="P133" s="160">
        <v>46202</v>
      </c>
      <c r="Q133" s="128"/>
    </row>
    <row r="134" spans="1:17" ht="23.4">
      <c r="A134" s="127">
        <v>126</v>
      </c>
      <c r="B134" s="128" t="s">
        <v>72</v>
      </c>
      <c r="C134" s="128" t="s">
        <v>120</v>
      </c>
      <c r="D134" s="129" t="s">
        <v>135</v>
      </c>
      <c r="E134" s="130">
        <v>2</v>
      </c>
      <c r="F134" s="131" t="s">
        <v>70</v>
      </c>
      <c r="G134" s="141">
        <v>33</v>
      </c>
      <c r="H134" s="128"/>
      <c r="I134" s="141">
        <v>66</v>
      </c>
      <c r="J134" s="132" t="s">
        <v>136</v>
      </c>
      <c r="K134" s="133">
        <v>46202</v>
      </c>
      <c r="L134" s="134">
        <v>46202</v>
      </c>
      <c r="M134" s="161">
        <v>46202</v>
      </c>
      <c r="N134" s="136">
        <f t="shared" si="2"/>
        <v>0</v>
      </c>
      <c r="O134" s="136">
        <f t="shared" si="3"/>
        <v>0</v>
      </c>
      <c r="P134" s="160">
        <v>46202</v>
      </c>
      <c r="Q134" s="128"/>
    </row>
    <row r="135" spans="1:17" ht="23.4">
      <c r="A135" s="127">
        <v>127</v>
      </c>
      <c r="B135" s="128" t="s">
        <v>72</v>
      </c>
      <c r="C135" s="128" t="s">
        <v>120</v>
      </c>
      <c r="D135" s="129" t="s">
        <v>140</v>
      </c>
      <c r="E135" s="130">
        <v>2</v>
      </c>
      <c r="F135" s="131" t="s">
        <v>67</v>
      </c>
      <c r="G135" s="141">
        <v>66</v>
      </c>
      <c r="H135" s="128"/>
      <c r="I135" s="141">
        <v>132</v>
      </c>
      <c r="J135" s="132" t="s">
        <v>136</v>
      </c>
      <c r="K135" s="133">
        <v>46202</v>
      </c>
      <c r="L135" s="134">
        <v>46202</v>
      </c>
      <c r="M135" s="161">
        <v>46202</v>
      </c>
      <c r="N135" s="136">
        <f t="shared" si="2"/>
        <v>0</v>
      </c>
      <c r="O135" s="136">
        <f t="shared" si="3"/>
        <v>0</v>
      </c>
      <c r="P135" s="160">
        <v>46202</v>
      </c>
      <c r="Q135" s="128"/>
    </row>
    <row r="136" spans="1:17" ht="23.4">
      <c r="A136" s="127">
        <v>128</v>
      </c>
      <c r="B136" s="128" t="s">
        <v>72</v>
      </c>
      <c r="C136" s="128" t="s">
        <v>120</v>
      </c>
      <c r="D136" s="129" t="s">
        <v>139</v>
      </c>
      <c r="E136" s="130">
        <v>2</v>
      </c>
      <c r="F136" s="131" t="s">
        <v>67</v>
      </c>
      <c r="G136" s="141">
        <v>60</v>
      </c>
      <c r="H136" s="128"/>
      <c r="I136" s="141">
        <v>120</v>
      </c>
      <c r="J136" s="132" t="s">
        <v>136</v>
      </c>
      <c r="K136" s="133">
        <v>46202</v>
      </c>
      <c r="L136" s="134">
        <v>46202</v>
      </c>
      <c r="M136" s="161">
        <v>46202</v>
      </c>
      <c r="N136" s="136">
        <f t="shared" si="2"/>
        <v>0</v>
      </c>
      <c r="O136" s="136">
        <f t="shared" si="3"/>
        <v>0</v>
      </c>
      <c r="P136" s="160">
        <v>46202</v>
      </c>
      <c r="Q136" s="128"/>
    </row>
    <row r="137" spans="1:17" ht="23.4">
      <c r="A137" s="127">
        <v>129</v>
      </c>
      <c r="B137" s="128" t="s">
        <v>72</v>
      </c>
      <c r="C137" s="128" t="s">
        <v>120</v>
      </c>
      <c r="D137" s="129" t="s">
        <v>138</v>
      </c>
      <c r="E137" s="130">
        <v>2</v>
      </c>
      <c r="F137" s="131" t="s">
        <v>67</v>
      </c>
      <c r="G137" s="141">
        <v>45</v>
      </c>
      <c r="H137" s="128"/>
      <c r="I137" s="141">
        <v>90</v>
      </c>
      <c r="J137" s="132" t="s">
        <v>136</v>
      </c>
      <c r="K137" s="133">
        <v>46202</v>
      </c>
      <c r="L137" s="134">
        <v>46202</v>
      </c>
      <c r="M137" s="161">
        <v>46202</v>
      </c>
      <c r="N137" s="136">
        <f t="shared" ref="N137:N200" si="4">M137-K137</f>
        <v>0</v>
      </c>
      <c r="O137" s="136">
        <f t="shared" ref="O137:O200" si="5">L137-M137</f>
        <v>0</v>
      </c>
      <c r="P137" s="160">
        <v>46202</v>
      </c>
      <c r="Q137" s="128"/>
    </row>
    <row r="138" spans="1:17" ht="23.4">
      <c r="A138" s="127">
        <v>130</v>
      </c>
      <c r="B138" s="128" t="s">
        <v>72</v>
      </c>
      <c r="C138" s="128" t="s">
        <v>120</v>
      </c>
      <c r="D138" s="129" t="s">
        <v>137</v>
      </c>
      <c r="E138" s="130">
        <v>5</v>
      </c>
      <c r="F138" s="131" t="s">
        <v>67</v>
      </c>
      <c r="G138" s="141">
        <v>32</v>
      </c>
      <c r="H138" s="128"/>
      <c r="I138" s="141">
        <v>160</v>
      </c>
      <c r="J138" s="132" t="s">
        <v>136</v>
      </c>
      <c r="K138" s="133">
        <v>46202</v>
      </c>
      <c r="L138" s="134">
        <v>46202</v>
      </c>
      <c r="M138" s="161">
        <v>46202</v>
      </c>
      <c r="N138" s="136">
        <f t="shared" si="4"/>
        <v>0</v>
      </c>
      <c r="O138" s="136">
        <f t="shared" si="5"/>
        <v>0</v>
      </c>
      <c r="P138" s="160">
        <v>46202</v>
      </c>
      <c r="Q138" s="128"/>
    </row>
    <row r="139" spans="1:17">
      <c r="A139" s="127">
        <v>131</v>
      </c>
      <c r="B139" s="128" t="s">
        <v>350</v>
      </c>
      <c r="C139" s="128" t="s">
        <v>65</v>
      </c>
      <c r="D139" s="129" t="s">
        <v>351</v>
      </c>
      <c r="E139" s="130">
        <v>1</v>
      </c>
      <c r="F139" s="131" t="s">
        <v>100</v>
      </c>
      <c r="G139" s="141">
        <v>83</v>
      </c>
      <c r="H139" s="128"/>
      <c r="I139" s="141">
        <v>83</v>
      </c>
      <c r="J139" s="132" t="s">
        <v>348</v>
      </c>
      <c r="K139" s="133">
        <v>46202</v>
      </c>
      <c r="L139" s="134">
        <v>46202</v>
      </c>
      <c r="M139" s="135">
        <v>46202</v>
      </c>
      <c r="N139" s="136">
        <f t="shared" si="4"/>
        <v>0</v>
      </c>
      <c r="O139" s="136">
        <f t="shared" si="5"/>
        <v>0</v>
      </c>
      <c r="P139" s="137">
        <v>46202</v>
      </c>
      <c r="Q139" s="128"/>
    </row>
    <row r="140" spans="1:17">
      <c r="A140" s="127">
        <v>132</v>
      </c>
      <c r="B140" s="128" t="s">
        <v>350</v>
      </c>
      <c r="C140" s="128" t="s">
        <v>65</v>
      </c>
      <c r="D140" s="129" t="s">
        <v>349</v>
      </c>
      <c r="E140" s="130">
        <v>1</v>
      </c>
      <c r="F140" s="131" t="s">
        <v>101</v>
      </c>
      <c r="G140" s="141">
        <v>60</v>
      </c>
      <c r="H140" s="128"/>
      <c r="I140" s="141">
        <v>60</v>
      </c>
      <c r="J140" s="132" t="s">
        <v>348</v>
      </c>
      <c r="K140" s="133">
        <v>46202</v>
      </c>
      <c r="L140" s="134">
        <v>46202</v>
      </c>
      <c r="M140" s="135">
        <v>46202</v>
      </c>
      <c r="N140" s="136">
        <f t="shared" si="4"/>
        <v>0</v>
      </c>
      <c r="O140" s="136">
        <f t="shared" si="5"/>
        <v>0</v>
      </c>
      <c r="P140" s="137">
        <v>46202</v>
      </c>
      <c r="Q140" s="128"/>
    </row>
    <row r="141" spans="1:17">
      <c r="A141" s="127">
        <v>133</v>
      </c>
      <c r="B141" s="128" t="s">
        <v>346</v>
      </c>
      <c r="C141" s="128" t="s">
        <v>345</v>
      </c>
      <c r="D141" s="129" t="s">
        <v>347</v>
      </c>
      <c r="E141" s="130">
        <v>4</v>
      </c>
      <c r="F141" s="131" t="s">
        <v>343</v>
      </c>
      <c r="G141" s="130">
        <v>2200</v>
      </c>
      <c r="H141" s="142"/>
      <c r="I141" s="130">
        <v>8800</v>
      </c>
      <c r="J141" s="132" t="s">
        <v>342</v>
      </c>
      <c r="K141" s="133">
        <v>45770</v>
      </c>
      <c r="L141" s="134">
        <v>46203</v>
      </c>
      <c r="M141" s="135">
        <v>46203</v>
      </c>
      <c r="N141" s="136">
        <f t="shared" si="4"/>
        <v>433</v>
      </c>
      <c r="O141" s="136">
        <f t="shared" si="5"/>
        <v>0</v>
      </c>
      <c r="P141" s="137">
        <v>46203</v>
      </c>
      <c r="Q141" s="128" t="s">
        <v>341</v>
      </c>
    </row>
    <row r="142" spans="1:17">
      <c r="A142" s="127">
        <v>134</v>
      </c>
      <c r="B142" s="128" t="s">
        <v>346</v>
      </c>
      <c r="C142" s="128" t="s">
        <v>345</v>
      </c>
      <c r="D142" s="129" t="s">
        <v>344</v>
      </c>
      <c r="E142" s="130">
        <v>11</v>
      </c>
      <c r="F142" s="131" t="s">
        <v>343</v>
      </c>
      <c r="G142" s="130">
        <v>2600</v>
      </c>
      <c r="H142" s="142"/>
      <c r="I142" s="130">
        <v>28600</v>
      </c>
      <c r="J142" s="132" t="s">
        <v>342</v>
      </c>
      <c r="K142" s="133">
        <v>45770</v>
      </c>
      <c r="L142" s="134">
        <v>46203</v>
      </c>
      <c r="M142" s="135">
        <v>46203</v>
      </c>
      <c r="N142" s="136">
        <f t="shared" si="4"/>
        <v>433</v>
      </c>
      <c r="O142" s="136">
        <f t="shared" si="5"/>
        <v>0</v>
      </c>
      <c r="P142" s="137">
        <v>46203</v>
      </c>
      <c r="Q142" s="128" t="s">
        <v>341</v>
      </c>
    </row>
    <row r="143" spans="1:17">
      <c r="A143" s="127">
        <v>135</v>
      </c>
      <c r="B143" s="128" t="s">
        <v>340</v>
      </c>
      <c r="C143" s="128" t="s">
        <v>96</v>
      </c>
      <c r="D143" s="129" t="s">
        <v>339</v>
      </c>
      <c r="E143" s="130">
        <v>6</v>
      </c>
      <c r="F143" s="131" t="s">
        <v>67</v>
      </c>
      <c r="G143" s="141">
        <v>776.1</v>
      </c>
      <c r="H143" s="142">
        <v>143.28</v>
      </c>
      <c r="I143" s="141">
        <v>4513.32</v>
      </c>
      <c r="J143" s="132" t="s">
        <v>338</v>
      </c>
      <c r="K143" s="133">
        <v>46178</v>
      </c>
      <c r="L143" s="134">
        <v>46185</v>
      </c>
      <c r="M143" s="135">
        <v>46184</v>
      </c>
      <c r="N143" s="136">
        <f t="shared" si="4"/>
        <v>6</v>
      </c>
      <c r="O143" s="136">
        <f t="shared" si="5"/>
        <v>1</v>
      </c>
      <c r="P143" s="137">
        <v>46184</v>
      </c>
      <c r="Q143" s="128"/>
    </row>
    <row r="144" spans="1:17">
      <c r="A144" s="127">
        <v>136</v>
      </c>
      <c r="B144" s="128" t="s">
        <v>337</v>
      </c>
      <c r="C144" s="128" t="s">
        <v>93</v>
      </c>
      <c r="D144" s="129" t="s">
        <v>336</v>
      </c>
      <c r="E144" s="130">
        <v>4</v>
      </c>
      <c r="F144" s="131" t="s">
        <v>67</v>
      </c>
      <c r="G144" s="141">
        <v>500</v>
      </c>
      <c r="H144" s="142">
        <v>200</v>
      </c>
      <c r="I144" s="141">
        <v>1800</v>
      </c>
      <c r="J144" s="132" t="s">
        <v>335</v>
      </c>
      <c r="K144" s="133">
        <v>46184</v>
      </c>
      <c r="L144" s="134">
        <v>46189</v>
      </c>
      <c r="M144" s="135">
        <v>46188</v>
      </c>
      <c r="N144" s="136">
        <f t="shared" si="4"/>
        <v>4</v>
      </c>
      <c r="O144" s="136">
        <f t="shared" si="5"/>
        <v>1</v>
      </c>
      <c r="P144" s="137">
        <v>46189</v>
      </c>
      <c r="Q144" s="128"/>
    </row>
    <row r="145" spans="1:17">
      <c r="A145" s="127">
        <v>137</v>
      </c>
      <c r="B145" s="128" t="s">
        <v>334</v>
      </c>
      <c r="C145" s="128" t="s">
        <v>333</v>
      </c>
      <c r="D145" s="129" t="s">
        <v>332</v>
      </c>
      <c r="E145" s="130">
        <v>1</v>
      </c>
      <c r="F145" s="131" t="s">
        <v>67</v>
      </c>
      <c r="G145" s="141">
        <v>495</v>
      </c>
      <c r="H145" s="128"/>
      <c r="I145" s="141">
        <v>495</v>
      </c>
      <c r="J145" s="132" t="s">
        <v>331</v>
      </c>
      <c r="K145" s="133">
        <v>46184</v>
      </c>
      <c r="L145" s="134">
        <v>46190</v>
      </c>
      <c r="M145" s="135">
        <v>46189</v>
      </c>
      <c r="N145" s="136">
        <f t="shared" si="4"/>
        <v>5</v>
      </c>
      <c r="O145" s="136">
        <f t="shared" si="5"/>
        <v>1</v>
      </c>
      <c r="P145" s="137">
        <v>46189</v>
      </c>
      <c r="Q145" s="128"/>
    </row>
    <row r="146" spans="1:17">
      <c r="A146" s="127">
        <v>138</v>
      </c>
      <c r="B146" s="128" t="s">
        <v>284</v>
      </c>
      <c r="C146" s="128" t="s">
        <v>90</v>
      </c>
      <c r="D146" s="129" t="s">
        <v>91</v>
      </c>
      <c r="E146" s="130">
        <v>2</v>
      </c>
      <c r="F146" s="131" t="s">
        <v>77</v>
      </c>
      <c r="G146" s="141">
        <v>700</v>
      </c>
      <c r="H146" s="128"/>
      <c r="I146" s="141">
        <v>1400</v>
      </c>
      <c r="J146" s="132" t="s">
        <v>330</v>
      </c>
      <c r="K146" s="133">
        <v>46184</v>
      </c>
      <c r="L146" s="134">
        <v>46190</v>
      </c>
      <c r="M146" s="135">
        <v>46189</v>
      </c>
      <c r="N146" s="136">
        <f t="shared" si="4"/>
        <v>5</v>
      </c>
      <c r="O146" s="136">
        <f t="shared" si="5"/>
        <v>1</v>
      </c>
      <c r="P146" s="137">
        <v>46189</v>
      </c>
      <c r="Q146" s="128"/>
    </row>
    <row r="147" spans="1:17">
      <c r="A147" s="127">
        <v>139</v>
      </c>
      <c r="B147" s="128" t="s">
        <v>284</v>
      </c>
      <c r="C147" s="128" t="s">
        <v>328</v>
      </c>
      <c r="D147" s="129" t="s">
        <v>329</v>
      </c>
      <c r="E147" s="130">
        <v>30</v>
      </c>
      <c r="F147" s="131" t="s">
        <v>104</v>
      </c>
      <c r="G147" s="141">
        <v>12</v>
      </c>
      <c r="H147" s="128"/>
      <c r="I147" s="141">
        <v>360</v>
      </c>
      <c r="J147" s="132" t="s">
        <v>326</v>
      </c>
      <c r="K147" s="133">
        <v>46183</v>
      </c>
      <c r="L147" s="134">
        <v>46190</v>
      </c>
      <c r="M147" s="135">
        <v>46189</v>
      </c>
      <c r="N147" s="136">
        <f t="shared" si="4"/>
        <v>6</v>
      </c>
      <c r="O147" s="136">
        <f t="shared" si="5"/>
        <v>1</v>
      </c>
      <c r="P147" s="137">
        <v>46189</v>
      </c>
      <c r="Q147" s="128"/>
    </row>
    <row r="148" spans="1:17">
      <c r="A148" s="127">
        <v>140</v>
      </c>
      <c r="B148" s="128" t="s">
        <v>284</v>
      </c>
      <c r="C148" s="128" t="s">
        <v>328</v>
      </c>
      <c r="D148" s="129" t="s">
        <v>327</v>
      </c>
      <c r="E148" s="130">
        <v>20</v>
      </c>
      <c r="F148" s="131" t="s">
        <v>104</v>
      </c>
      <c r="G148" s="141">
        <v>12</v>
      </c>
      <c r="H148" s="128"/>
      <c r="I148" s="141">
        <v>240</v>
      </c>
      <c r="J148" s="132" t="s">
        <v>326</v>
      </c>
      <c r="K148" s="133">
        <v>46183</v>
      </c>
      <c r="L148" s="134">
        <v>46190</v>
      </c>
      <c r="M148" s="135">
        <v>46189</v>
      </c>
      <c r="N148" s="136">
        <f t="shared" si="4"/>
        <v>6</v>
      </c>
      <c r="O148" s="136">
        <f t="shared" si="5"/>
        <v>1</v>
      </c>
      <c r="P148" s="137">
        <v>46189</v>
      </c>
      <c r="Q148" s="128"/>
    </row>
    <row r="149" spans="1:17">
      <c r="A149" s="127">
        <v>141</v>
      </c>
      <c r="B149" s="128" t="s">
        <v>319</v>
      </c>
      <c r="C149" s="128" t="s">
        <v>99</v>
      </c>
      <c r="D149" s="129" t="s">
        <v>325</v>
      </c>
      <c r="E149" s="130">
        <v>10</v>
      </c>
      <c r="F149" s="131" t="s">
        <v>101</v>
      </c>
      <c r="G149" s="141">
        <v>36</v>
      </c>
      <c r="H149" s="128"/>
      <c r="I149" s="141">
        <v>360</v>
      </c>
      <c r="J149" s="132" t="s">
        <v>316</v>
      </c>
      <c r="K149" s="133">
        <v>46185</v>
      </c>
      <c r="L149" s="134">
        <v>46190</v>
      </c>
      <c r="M149" s="135">
        <v>46189</v>
      </c>
      <c r="N149" s="136">
        <f t="shared" si="4"/>
        <v>4</v>
      </c>
      <c r="O149" s="136">
        <f t="shared" si="5"/>
        <v>1</v>
      </c>
      <c r="P149" s="137">
        <v>46189</v>
      </c>
      <c r="Q149" s="128"/>
    </row>
    <row r="150" spans="1:17">
      <c r="A150" s="127">
        <v>142</v>
      </c>
      <c r="B150" s="128" t="s">
        <v>319</v>
      </c>
      <c r="C150" s="128" t="s">
        <v>99</v>
      </c>
      <c r="D150" s="129" t="s">
        <v>324</v>
      </c>
      <c r="E150" s="130">
        <v>1</v>
      </c>
      <c r="F150" s="131" t="s">
        <v>317</v>
      </c>
      <c r="G150" s="141">
        <v>199</v>
      </c>
      <c r="H150" s="128"/>
      <c r="I150" s="141">
        <v>199</v>
      </c>
      <c r="J150" s="132" t="s">
        <v>316</v>
      </c>
      <c r="K150" s="133">
        <v>46185</v>
      </c>
      <c r="L150" s="134">
        <v>46190</v>
      </c>
      <c r="M150" s="135">
        <v>46189</v>
      </c>
      <c r="N150" s="136">
        <f t="shared" si="4"/>
        <v>4</v>
      </c>
      <c r="O150" s="136">
        <f t="shared" si="5"/>
        <v>1</v>
      </c>
      <c r="P150" s="137">
        <v>46189</v>
      </c>
      <c r="Q150" s="128"/>
    </row>
    <row r="151" spans="1:17">
      <c r="A151" s="127">
        <v>143</v>
      </c>
      <c r="B151" s="128" t="s">
        <v>319</v>
      </c>
      <c r="C151" s="128" t="s">
        <v>99</v>
      </c>
      <c r="D151" s="129" t="s">
        <v>323</v>
      </c>
      <c r="E151" s="130">
        <v>1</v>
      </c>
      <c r="F151" s="131" t="s">
        <v>317</v>
      </c>
      <c r="G151" s="141">
        <v>163</v>
      </c>
      <c r="H151" s="128"/>
      <c r="I151" s="141">
        <v>163</v>
      </c>
      <c r="J151" s="132" t="s">
        <v>316</v>
      </c>
      <c r="K151" s="133">
        <v>46185</v>
      </c>
      <c r="L151" s="134">
        <v>46190</v>
      </c>
      <c r="M151" s="135">
        <v>46189</v>
      </c>
      <c r="N151" s="136">
        <f t="shared" si="4"/>
        <v>4</v>
      </c>
      <c r="O151" s="136">
        <f t="shared" si="5"/>
        <v>1</v>
      </c>
      <c r="P151" s="137">
        <v>46189</v>
      </c>
      <c r="Q151" s="128"/>
    </row>
    <row r="152" spans="1:17">
      <c r="A152" s="127">
        <v>144</v>
      </c>
      <c r="B152" s="128" t="s">
        <v>319</v>
      </c>
      <c r="C152" s="128" t="s">
        <v>99</v>
      </c>
      <c r="D152" s="129" t="s">
        <v>322</v>
      </c>
      <c r="E152" s="130">
        <v>2</v>
      </c>
      <c r="F152" s="131" t="s">
        <v>317</v>
      </c>
      <c r="G152" s="141">
        <v>240</v>
      </c>
      <c r="H152" s="128"/>
      <c r="I152" s="141">
        <v>480</v>
      </c>
      <c r="J152" s="132" t="s">
        <v>316</v>
      </c>
      <c r="K152" s="133">
        <v>46185</v>
      </c>
      <c r="L152" s="134">
        <v>46190</v>
      </c>
      <c r="M152" s="135">
        <v>46189</v>
      </c>
      <c r="N152" s="136">
        <f t="shared" si="4"/>
        <v>4</v>
      </c>
      <c r="O152" s="136">
        <f t="shared" si="5"/>
        <v>1</v>
      </c>
      <c r="P152" s="137">
        <v>46189</v>
      </c>
      <c r="Q152" s="128"/>
    </row>
    <row r="153" spans="1:17">
      <c r="A153" s="127">
        <v>145</v>
      </c>
      <c r="B153" s="128" t="s">
        <v>319</v>
      </c>
      <c r="C153" s="128" t="s">
        <v>99</v>
      </c>
      <c r="D153" s="129" t="s">
        <v>321</v>
      </c>
      <c r="E153" s="130">
        <v>1</v>
      </c>
      <c r="F153" s="131" t="s">
        <v>317</v>
      </c>
      <c r="G153" s="141">
        <v>170</v>
      </c>
      <c r="H153" s="128"/>
      <c r="I153" s="141">
        <v>170</v>
      </c>
      <c r="J153" s="132" t="s">
        <v>316</v>
      </c>
      <c r="K153" s="133">
        <v>46185</v>
      </c>
      <c r="L153" s="134">
        <v>46190</v>
      </c>
      <c r="M153" s="135">
        <v>46189</v>
      </c>
      <c r="N153" s="136">
        <f t="shared" si="4"/>
        <v>4</v>
      </c>
      <c r="O153" s="136">
        <f t="shared" si="5"/>
        <v>1</v>
      </c>
      <c r="P153" s="137">
        <v>46189</v>
      </c>
      <c r="Q153" s="128"/>
    </row>
    <row r="154" spans="1:17">
      <c r="A154" s="127">
        <v>146</v>
      </c>
      <c r="B154" s="128" t="s">
        <v>319</v>
      </c>
      <c r="C154" s="128" t="s">
        <v>99</v>
      </c>
      <c r="D154" s="129" t="s">
        <v>320</v>
      </c>
      <c r="E154" s="130">
        <v>1</v>
      </c>
      <c r="F154" s="131" t="s">
        <v>317</v>
      </c>
      <c r="G154" s="141">
        <v>220</v>
      </c>
      <c r="H154" s="128"/>
      <c r="I154" s="141">
        <v>220</v>
      </c>
      <c r="J154" s="132" t="s">
        <v>316</v>
      </c>
      <c r="K154" s="133">
        <v>46185</v>
      </c>
      <c r="L154" s="134">
        <v>46190</v>
      </c>
      <c r="M154" s="135">
        <v>46189</v>
      </c>
      <c r="N154" s="136">
        <f t="shared" si="4"/>
        <v>4</v>
      </c>
      <c r="O154" s="136">
        <f t="shared" si="5"/>
        <v>1</v>
      </c>
      <c r="P154" s="137">
        <v>46189</v>
      </c>
      <c r="Q154" s="128"/>
    </row>
    <row r="155" spans="1:17">
      <c r="A155" s="127">
        <v>147</v>
      </c>
      <c r="B155" s="128" t="s">
        <v>319</v>
      </c>
      <c r="C155" s="128" t="s">
        <v>99</v>
      </c>
      <c r="D155" s="129" t="s">
        <v>318</v>
      </c>
      <c r="E155" s="130">
        <v>1</v>
      </c>
      <c r="F155" s="131" t="s">
        <v>317</v>
      </c>
      <c r="G155" s="141">
        <v>146</v>
      </c>
      <c r="H155" s="128"/>
      <c r="I155" s="141">
        <v>146</v>
      </c>
      <c r="J155" s="132" t="s">
        <v>316</v>
      </c>
      <c r="K155" s="133">
        <v>46185</v>
      </c>
      <c r="L155" s="134">
        <v>46190</v>
      </c>
      <c r="M155" s="135">
        <v>46189</v>
      </c>
      <c r="N155" s="136">
        <f t="shared" si="4"/>
        <v>4</v>
      </c>
      <c r="O155" s="136">
        <f t="shared" si="5"/>
        <v>1</v>
      </c>
      <c r="P155" s="137">
        <v>46189</v>
      </c>
      <c r="Q155" s="128"/>
    </row>
    <row r="156" spans="1:17">
      <c r="A156" s="127">
        <v>148</v>
      </c>
      <c r="B156" s="128" t="s">
        <v>284</v>
      </c>
      <c r="C156" s="128" t="s">
        <v>99</v>
      </c>
      <c r="D156" s="129" t="s">
        <v>315</v>
      </c>
      <c r="E156" s="130">
        <v>5</v>
      </c>
      <c r="F156" s="131" t="s">
        <v>67</v>
      </c>
      <c r="G156" s="141">
        <v>20</v>
      </c>
      <c r="H156" s="128"/>
      <c r="I156" s="141">
        <v>100</v>
      </c>
      <c r="J156" s="132" t="s">
        <v>310</v>
      </c>
      <c r="K156" s="133">
        <v>46184</v>
      </c>
      <c r="L156" s="134">
        <v>46190</v>
      </c>
      <c r="M156" s="135">
        <v>46189</v>
      </c>
      <c r="N156" s="136">
        <f t="shared" si="4"/>
        <v>5</v>
      </c>
      <c r="O156" s="136">
        <f t="shared" si="5"/>
        <v>1</v>
      </c>
      <c r="P156" s="137">
        <v>46189</v>
      </c>
      <c r="Q156" s="128"/>
    </row>
    <row r="157" spans="1:17">
      <c r="A157" s="127">
        <v>149</v>
      </c>
      <c r="B157" s="128" t="s">
        <v>284</v>
      </c>
      <c r="C157" s="128" t="s">
        <v>99</v>
      </c>
      <c r="D157" s="129" t="s">
        <v>314</v>
      </c>
      <c r="E157" s="130">
        <v>30</v>
      </c>
      <c r="F157" s="131" t="s">
        <v>67</v>
      </c>
      <c r="G157" s="141">
        <v>2</v>
      </c>
      <c r="H157" s="128"/>
      <c r="I157" s="141">
        <v>60</v>
      </c>
      <c r="J157" s="132" t="s">
        <v>310</v>
      </c>
      <c r="K157" s="133">
        <v>46184</v>
      </c>
      <c r="L157" s="134">
        <v>46190</v>
      </c>
      <c r="M157" s="135">
        <v>46189</v>
      </c>
      <c r="N157" s="136">
        <f t="shared" si="4"/>
        <v>5</v>
      </c>
      <c r="O157" s="136">
        <f t="shared" si="5"/>
        <v>1</v>
      </c>
      <c r="P157" s="137">
        <v>46189</v>
      </c>
      <c r="Q157" s="128"/>
    </row>
    <row r="158" spans="1:17">
      <c r="A158" s="127">
        <v>150</v>
      </c>
      <c r="B158" s="128" t="s">
        <v>284</v>
      </c>
      <c r="C158" s="128" t="s">
        <v>99</v>
      </c>
      <c r="D158" s="129" t="s">
        <v>313</v>
      </c>
      <c r="E158" s="130">
        <v>20</v>
      </c>
      <c r="F158" s="131" t="s">
        <v>312</v>
      </c>
      <c r="G158" s="141">
        <v>66</v>
      </c>
      <c r="H158" s="128"/>
      <c r="I158" s="141">
        <v>1320</v>
      </c>
      <c r="J158" s="132" t="s">
        <v>310</v>
      </c>
      <c r="K158" s="133">
        <v>46184</v>
      </c>
      <c r="L158" s="134">
        <v>46190</v>
      </c>
      <c r="M158" s="135">
        <v>46189</v>
      </c>
      <c r="N158" s="136">
        <f t="shared" si="4"/>
        <v>5</v>
      </c>
      <c r="O158" s="136">
        <f t="shared" si="5"/>
        <v>1</v>
      </c>
      <c r="P158" s="137">
        <v>46189</v>
      </c>
      <c r="Q158" s="128"/>
    </row>
    <row r="159" spans="1:17">
      <c r="A159" s="127">
        <v>151</v>
      </c>
      <c r="B159" s="128" t="s">
        <v>284</v>
      </c>
      <c r="C159" s="128" t="s">
        <v>99</v>
      </c>
      <c r="D159" s="129" t="s">
        <v>311</v>
      </c>
      <c r="E159" s="130">
        <v>2</v>
      </c>
      <c r="F159" s="131" t="s">
        <v>67</v>
      </c>
      <c r="G159" s="141">
        <v>19</v>
      </c>
      <c r="H159" s="128"/>
      <c r="I159" s="141">
        <v>38</v>
      </c>
      <c r="J159" s="132" t="s">
        <v>310</v>
      </c>
      <c r="K159" s="133">
        <v>46184</v>
      </c>
      <c r="L159" s="134">
        <v>46190</v>
      </c>
      <c r="M159" s="135">
        <v>46189</v>
      </c>
      <c r="N159" s="136">
        <f t="shared" si="4"/>
        <v>5</v>
      </c>
      <c r="O159" s="136">
        <f t="shared" si="5"/>
        <v>1</v>
      </c>
      <c r="P159" s="137">
        <v>46189</v>
      </c>
      <c r="Q159" s="128"/>
    </row>
    <row r="160" spans="1:17">
      <c r="A160" s="127">
        <v>152</v>
      </c>
      <c r="B160" s="128" t="s">
        <v>308</v>
      </c>
      <c r="C160" s="128" t="s">
        <v>107</v>
      </c>
      <c r="D160" s="129" t="s">
        <v>309</v>
      </c>
      <c r="E160" s="130">
        <v>1</v>
      </c>
      <c r="F160" s="131" t="s">
        <v>75</v>
      </c>
      <c r="G160" s="141">
        <v>830</v>
      </c>
      <c r="H160" s="142"/>
      <c r="I160" s="141">
        <v>830</v>
      </c>
      <c r="J160" s="132" t="s">
        <v>306</v>
      </c>
      <c r="K160" s="133">
        <v>46189</v>
      </c>
      <c r="L160" s="134">
        <v>46196</v>
      </c>
      <c r="M160" s="135">
        <v>46195</v>
      </c>
      <c r="N160" s="136">
        <f t="shared" si="4"/>
        <v>6</v>
      </c>
      <c r="O160" s="136">
        <f t="shared" si="5"/>
        <v>1</v>
      </c>
      <c r="P160" s="137">
        <v>46195</v>
      </c>
      <c r="Q160" s="128"/>
    </row>
    <row r="161" spans="1:17">
      <c r="A161" s="127">
        <v>153</v>
      </c>
      <c r="B161" s="128" t="s">
        <v>308</v>
      </c>
      <c r="C161" s="128" t="s">
        <v>107</v>
      </c>
      <c r="D161" s="129" t="s">
        <v>307</v>
      </c>
      <c r="E161" s="130">
        <v>1</v>
      </c>
      <c r="F161" s="131" t="s">
        <v>67</v>
      </c>
      <c r="G161" s="141">
        <v>2160</v>
      </c>
      <c r="H161" s="142"/>
      <c r="I161" s="141">
        <v>2160</v>
      </c>
      <c r="J161" s="132" t="s">
        <v>306</v>
      </c>
      <c r="K161" s="133">
        <v>46189</v>
      </c>
      <c r="L161" s="134">
        <v>46196</v>
      </c>
      <c r="M161" s="135">
        <v>46195</v>
      </c>
      <c r="N161" s="136">
        <f t="shared" si="4"/>
        <v>6</v>
      </c>
      <c r="O161" s="136">
        <f t="shared" si="5"/>
        <v>1</v>
      </c>
      <c r="P161" s="137">
        <v>46195</v>
      </c>
      <c r="Q161" s="128"/>
    </row>
    <row r="162" spans="1:17">
      <c r="A162" s="127">
        <v>154</v>
      </c>
      <c r="B162" s="128" t="s">
        <v>305</v>
      </c>
      <c r="C162" s="128" t="s">
        <v>69</v>
      </c>
      <c r="D162" s="129" t="s">
        <v>304</v>
      </c>
      <c r="E162" s="130">
        <v>10</v>
      </c>
      <c r="F162" s="131" t="s">
        <v>67</v>
      </c>
      <c r="G162" s="141">
        <v>306</v>
      </c>
      <c r="H162" s="130">
        <v>612</v>
      </c>
      <c r="I162" s="141">
        <v>2448</v>
      </c>
      <c r="J162" s="132" t="s">
        <v>303</v>
      </c>
      <c r="K162" s="133">
        <v>46191</v>
      </c>
      <c r="L162" s="134">
        <v>46196</v>
      </c>
      <c r="M162" s="135">
        <v>46195</v>
      </c>
      <c r="N162" s="136">
        <f t="shared" si="4"/>
        <v>4</v>
      </c>
      <c r="O162" s="136">
        <f t="shared" si="5"/>
        <v>1</v>
      </c>
      <c r="P162" s="137">
        <v>46195</v>
      </c>
      <c r="Q162" s="128"/>
    </row>
    <row r="163" spans="1:17">
      <c r="A163" s="127">
        <v>155</v>
      </c>
      <c r="B163" s="128" t="s">
        <v>301</v>
      </c>
      <c r="C163" s="128" t="s">
        <v>110</v>
      </c>
      <c r="D163" s="129" t="s">
        <v>302</v>
      </c>
      <c r="E163" s="130">
        <v>1</v>
      </c>
      <c r="F163" s="131" t="s">
        <v>67</v>
      </c>
      <c r="G163" s="141">
        <v>20</v>
      </c>
      <c r="H163" s="130"/>
      <c r="I163" s="141">
        <v>20</v>
      </c>
      <c r="J163" s="132" t="s">
        <v>299</v>
      </c>
      <c r="K163" s="133">
        <v>46197</v>
      </c>
      <c r="L163" s="134">
        <v>46199</v>
      </c>
      <c r="M163" s="135">
        <v>46198</v>
      </c>
      <c r="N163" s="136">
        <f t="shared" si="4"/>
        <v>1</v>
      </c>
      <c r="O163" s="136">
        <f t="shared" si="5"/>
        <v>1</v>
      </c>
      <c r="P163" s="137">
        <v>46198</v>
      </c>
      <c r="Q163" s="128"/>
    </row>
    <row r="164" spans="1:17">
      <c r="A164" s="127">
        <v>156</v>
      </c>
      <c r="B164" s="128" t="s">
        <v>301</v>
      </c>
      <c r="C164" s="128" t="s">
        <v>110</v>
      </c>
      <c r="D164" s="129" t="s">
        <v>300</v>
      </c>
      <c r="E164" s="130">
        <v>1</v>
      </c>
      <c r="F164" s="131" t="s">
        <v>67</v>
      </c>
      <c r="G164" s="141">
        <v>10</v>
      </c>
      <c r="H164" s="130"/>
      <c r="I164" s="141">
        <v>10</v>
      </c>
      <c r="J164" s="132" t="s">
        <v>299</v>
      </c>
      <c r="K164" s="133">
        <v>46197</v>
      </c>
      <c r="L164" s="134">
        <v>46199</v>
      </c>
      <c r="M164" s="135">
        <v>46198</v>
      </c>
      <c r="N164" s="136">
        <f t="shared" si="4"/>
        <v>1</v>
      </c>
      <c r="O164" s="136">
        <f t="shared" si="5"/>
        <v>1</v>
      </c>
      <c r="P164" s="137">
        <v>46198</v>
      </c>
      <c r="Q164" s="128"/>
    </row>
    <row r="165" spans="1:17">
      <c r="A165" s="127">
        <v>157</v>
      </c>
      <c r="B165" s="128" t="s">
        <v>298</v>
      </c>
      <c r="C165" s="128" t="s">
        <v>297</v>
      </c>
      <c r="D165" s="129" t="s">
        <v>296</v>
      </c>
      <c r="E165" s="130">
        <v>1</v>
      </c>
      <c r="F165" s="131" t="s">
        <v>67</v>
      </c>
      <c r="G165" s="141">
        <v>672.9</v>
      </c>
      <c r="H165" s="130"/>
      <c r="I165" s="141">
        <v>672.9</v>
      </c>
      <c r="J165" s="132" t="s">
        <v>295</v>
      </c>
      <c r="K165" s="133">
        <v>46198</v>
      </c>
      <c r="L165" s="134">
        <v>46199</v>
      </c>
      <c r="M165" s="135">
        <v>46198</v>
      </c>
      <c r="N165" s="136">
        <f t="shared" si="4"/>
        <v>0</v>
      </c>
      <c r="O165" s="136">
        <f t="shared" si="5"/>
        <v>1</v>
      </c>
      <c r="P165" s="137">
        <v>46198</v>
      </c>
      <c r="Q165" s="128"/>
    </row>
    <row r="166" spans="1:17">
      <c r="A166" s="127">
        <v>158</v>
      </c>
      <c r="B166" s="128" t="s">
        <v>294</v>
      </c>
      <c r="C166" s="128" t="s">
        <v>293</v>
      </c>
      <c r="D166" s="129" t="s">
        <v>292</v>
      </c>
      <c r="E166" s="130">
        <v>1</v>
      </c>
      <c r="F166" s="131" t="s">
        <v>67</v>
      </c>
      <c r="G166" s="141">
        <v>480</v>
      </c>
      <c r="H166" s="142"/>
      <c r="I166" s="141">
        <v>480</v>
      </c>
      <c r="J166" s="132" t="s">
        <v>291</v>
      </c>
      <c r="K166" s="133">
        <v>46178</v>
      </c>
      <c r="L166" s="134">
        <v>46185</v>
      </c>
      <c r="M166" s="135">
        <v>46183</v>
      </c>
      <c r="N166" s="136">
        <f t="shared" si="4"/>
        <v>5</v>
      </c>
      <c r="O166" s="136">
        <f t="shared" si="5"/>
        <v>2</v>
      </c>
      <c r="P166" s="137">
        <v>46185</v>
      </c>
      <c r="Q166" s="128"/>
    </row>
    <row r="167" spans="1:17">
      <c r="A167" s="127">
        <v>159</v>
      </c>
      <c r="B167" s="128" t="s">
        <v>284</v>
      </c>
      <c r="C167" s="128" t="s">
        <v>290</v>
      </c>
      <c r="D167" s="129" t="s">
        <v>289</v>
      </c>
      <c r="E167" s="130">
        <v>3</v>
      </c>
      <c r="F167" s="131" t="s">
        <v>67</v>
      </c>
      <c r="G167" s="141">
        <v>55</v>
      </c>
      <c r="H167" s="128"/>
      <c r="I167" s="141">
        <v>165</v>
      </c>
      <c r="J167" s="132" t="s">
        <v>288</v>
      </c>
      <c r="K167" s="133">
        <v>46184</v>
      </c>
      <c r="L167" s="134">
        <v>46190</v>
      </c>
      <c r="M167" s="135">
        <v>46188</v>
      </c>
      <c r="N167" s="136">
        <f t="shared" si="4"/>
        <v>4</v>
      </c>
      <c r="O167" s="136">
        <f t="shared" si="5"/>
        <v>2</v>
      </c>
      <c r="P167" s="137">
        <v>46188</v>
      </c>
      <c r="Q167" s="128"/>
    </row>
    <row r="168" spans="1:17">
      <c r="A168" s="127">
        <v>160</v>
      </c>
      <c r="B168" s="128" t="s">
        <v>284</v>
      </c>
      <c r="C168" s="128" t="s">
        <v>286</v>
      </c>
      <c r="D168" s="129" t="s">
        <v>287</v>
      </c>
      <c r="E168" s="130">
        <v>20</v>
      </c>
      <c r="F168" s="131" t="s">
        <v>67</v>
      </c>
      <c r="G168" s="141">
        <v>18</v>
      </c>
      <c r="H168" s="128"/>
      <c r="I168" s="141">
        <v>360</v>
      </c>
      <c r="J168" s="132" t="s">
        <v>285</v>
      </c>
      <c r="K168" s="133">
        <v>46184</v>
      </c>
      <c r="L168" s="134">
        <v>46190</v>
      </c>
      <c r="M168" s="135">
        <v>46188</v>
      </c>
      <c r="N168" s="136">
        <f t="shared" si="4"/>
        <v>4</v>
      </c>
      <c r="O168" s="136">
        <f t="shared" si="5"/>
        <v>2</v>
      </c>
      <c r="P168" s="137">
        <v>46188</v>
      </c>
      <c r="Q168" s="128"/>
    </row>
    <row r="169" spans="1:17">
      <c r="A169" s="127">
        <v>161</v>
      </c>
      <c r="B169" s="128" t="s">
        <v>284</v>
      </c>
      <c r="C169" s="128" t="s">
        <v>286</v>
      </c>
      <c r="D169" s="129" t="s">
        <v>105</v>
      </c>
      <c r="E169" s="130">
        <v>1</v>
      </c>
      <c r="F169" s="131" t="s">
        <v>106</v>
      </c>
      <c r="G169" s="141">
        <v>50</v>
      </c>
      <c r="H169" s="128"/>
      <c r="I169" s="141">
        <v>50</v>
      </c>
      <c r="J169" s="132" t="s">
        <v>285</v>
      </c>
      <c r="K169" s="133">
        <v>46184</v>
      </c>
      <c r="L169" s="134">
        <v>46190</v>
      </c>
      <c r="M169" s="135">
        <v>46188</v>
      </c>
      <c r="N169" s="136">
        <f t="shared" si="4"/>
        <v>4</v>
      </c>
      <c r="O169" s="136">
        <f t="shared" si="5"/>
        <v>2</v>
      </c>
      <c r="P169" s="137">
        <v>46188</v>
      </c>
      <c r="Q169" s="128"/>
    </row>
    <row r="170" spans="1:17">
      <c r="A170" s="127">
        <v>162</v>
      </c>
      <c r="B170" s="128" t="s">
        <v>284</v>
      </c>
      <c r="C170" s="128" t="s">
        <v>283</v>
      </c>
      <c r="D170" s="129" t="s">
        <v>282</v>
      </c>
      <c r="E170" s="130">
        <v>3</v>
      </c>
      <c r="F170" s="131" t="s">
        <v>67</v>
      </c>
      <c r="G170" s="141">
        <v>16500</v>
      </c>
      <c r="H170" s="142">
        <v>600</v>
      </c>
      <c r="I170" s="141">
        <v>48900</v>
      </c>
      <c r="J170" s="132" t="s">
        <v>281</v>
      </c>
      <c r="K170" s="133">
        <v>46188</v>
      </c>
      <c r="L170" s="134">
        <v>46190</v>
      </c>
      <c r="M170" s="135">
        <v>46188</v>
      </c>
      <c r="N170" s="136">
        <f t="shared" si="4"/>
        <v>0</v>
      </c>
      <c r="O170" s="136">
        <f t="shared" si="5"/>
        <v>2</v>
      </c>
      <c r="P170" s="137">
        <v>46188</v>
      </c>
      <c r="Q170" s="128"/>
    </row>
    <row r="171" spans="1:17">
      <c r="A171" s="127">
        <v>163</v>
      </c>
      <c r="B171" s="128" t="s">
        <v>280</v>
      </c>
      <c r="C171" s="128" t="s">
        <v>84</v>
      </c>
      <c r="D171" s="129" t="s">
        <v>279</v>
      </c>
      <c r="E171" s="130">
        <v>10</v>
      </c>
      <c r="F171" s="131" t="s">
        <v>67</v>
      </c>
      <c r="G171" s="141">
        <v>250</v>
      </c>
      <c r="H171" s="142">
        <v>200</v>
      </c>
      <c r="I171" s="141">
        <v>2300</v>
      </c>
      <c r="J171" s="132" t="s">
        <v>278</v>
      </c>
      <c r="K171" s="133">
        <v>46188</v>
      </c>
      <c r="L171" s="134">
        <v>46192</v>
      </c>
      <c r="M171" s="135">
        <v>46190</v>
      </c>
      <c r="N171" s="136">
        <f t="shared" si="4"/>
        <v>2</v>
      </c>
      <c r="O171" s="136">
        <f t="shared" si="5"/>
        <v>2</v>
      </c>
      <c r="P171" s="137">
        <v>46190</v>
      </c>
      <c r="Q171" s="128"/>
    </row>
    <row r="172" spans="1:17">
      <c r="A172" s="127">
        <v>164</v>
      </c>
      <c r="B172" s="128" t="s">
        <v>268</v>
      </c>
      <c r="C172" s="128" t="s">
        <v>267</v>
      </c>
      <c r="D172" s="129" t="s">
        <v>277</v>
      </c>
      <c r="E172" s="130">
        <v>2</v>
      </c>
      <c r="F172" s="131" t="s">
        <v>101</v>
      </c>
      <c r="G172" s="141">
        <v>40</v>
      </c>
      <c r="H172" s="128"/>
      <c r="I172" s="141">
        <v>80</v>
      </c>
      <c r="J172" s="132" t="s">
        <v>265</v>
      </c>
      <c r="K172" s="133">
        <v>46198</v>
      </c>
      <c r="L172" s="134">
        <v>46199</v>
      </c>
      <c r="M172" s="135">
        <v>46197</v>
      </c>
      <c r="N172" s="136">
        <f t="shared" si="4"/>
        <v>-1</v>
      </c>
      <c r="O172" s="136">
        <f t="shared" si="5"/>
        <v>2</v>
      </c>
      <c r="P172" s="137">
        <v>46197</v>
      </c>
      <c r="Q172" s="128"/>
    </row>
    <row r="173" spans="1:17">
      <c r="A173" s="127">
        <v>165</v>
      </c>
      <c r="B173" s="128" t="s">
        <v>268</v>
      </c>
      <c r="C173" s="128" t="s">
        <v>267</v>
      </c>
      <c r="D173" s="129" t="s">
        <v>276</v>
      </c>
      <c r="E173" s="130">
        <v>1</v>
      </c>
      <c r="F173" s="131" t="s">
        <v>270</v>
      </c>
      <c r="G173" s="141">
        <v>190</v>
      </c>
      <c r="H173" s="128"/>
      <c r="I173" s="141">
        <v>190</v>
      </c>
      <c r="J173" s="132" t="s">
        <v>265</v>
      </c>
      <c r="K173" s="133">
        <v>46198</v>
      </c>
      <c r="L173" s="134">
        <v>46199</v>
      </c>
      <c r="M173" s="135">
        <v>46197</v>
      </c>
      <c r="N173" s="136">
        <f t="shared" si="4"/>
        <v>-1</v>
      </c>
      <c r="O173" s="136">
        <f t="shared" si="5"/>
        <v>2</v>
      </c>
      <c r="P173" s="137">
        <v>46197</v>
      </c>
      <c r="Q173" s="128"/>
    </row>
    <row r="174" spans="1:17">
      <c r="A174" s="127">
        <v>166</v>
      </c>
      <c r="B174" s="128" t="s">
        <v>268</v>
      </c>
      <c r="C174" s="128" t="s">
        <v>267</v>
      </c>
      <c r="D174" s="129" t="s">
        <v>275</v>
      </c>
      <c r="E174" s="130">
        <v>1</v>
      </c>
      <c r="F174" s="131" t="s">
        <v>66</v>
      </c>
      <c r="G174" s="141">
        <v>25</v>
      </c>
      <c r="H174" s="128"/>
      <c r="I174" s="141">
        <v>25</v>
      </c>
      <c r="J174" s="132" t="s">
        <v>265</v>
      </c>
      <c r="K174" s="133">
        <v>46198</v>
      </c>
      <c r="L174" s="134">
        <v>46199</v>
      </c>
      <c r="M174" s="135">
        <v>46197</v>
      </c>
      <c r="N174" s="136">
        <f t="shared" si="4"/>
        <v>-1</v>
      </c>
      <c r="O174" s="136">
        <f t="shared" si="5"/>
        <v>2</v>
      </c>
      <c r="P174" s="137">
        <v>46197</v>
      </c>
      <c r="Q174" s="128"/>
    </row>
    <row r="175" spans="1:17">
      <c r="A175" s="127">
        <v>167</v>
      </c>
      <c r="B175" s="128" t="s">
        <v>268</v>
      </c>
      <c r="C175" s="128" t="s">
        <v>267</v>
      </c>
      <c r="D175" s="129" t="s">
        <v>274</v>
      </c>
      <c r="E175" s="130">
        <v>1</v>
      </c>
      <c r="F175" s="131" t="s">
        <v>67</v>
      </c>
      <c r="G175" s="141">
        <v>70</v>
      </c>
      <c r="H175" s="128"/>
      <c r="I175" s="141">
        <v>70</v>
      </c>
      <c r="J175" s="132" t="s">
        <v>265</v>
      </c>
      <c r="K175" s="133">
        <v>46198</v>
      </c>
      <c r="L175" s="134">
        <v>46199</v>
      </c>
      <c r="M175" s="135">
        <v>46197</v>
      </c>
      <c r="N175" s="136">
        <f t="shared" si="4"/>
        <v>-1</v>
      </c>
      <c r="O175" s="136">
        <f t="shared" si="5"/>
        <v>2</v>
      </c>
      <c r="P175" s="137">
        <v>46197</v>
      </c>
      <c r="Q175" s="128"/>
    </row>
    <row r="176" spans="1:17">
      <c r="A176" s="127">
        <v>168</v>
      </c>
      <c r="B176" s="128" t="s">
        <v>268</v>
      </c>
      <c r="C176" s="128" t="s">
        <v>267</v>
      </c>
      <c r="D176" s="129" t="s">
        <v>273</v>
      </c>
      <c r="E176" s="130">
        <v>1</v>
      </c>
      <c r="F176" s="131" t="s">
        <v>67</v>
      </c>
      <c r="G176" s="141">
        <v>15</v>
      </c>
      <c r="H176" s="128"/>
      <c r="I176" s="141">
        <v>15</v>
      </c>
      <c r="J176" s="132" t="s">
        <v>265</v>
      </c>
      <c r="K176" s="133">
        <v>46198</v>
      </c>
      <c r="L176" s="134">
        <v>46199</v>
      </c>
      <c r="M176" s="135">
        <v>46197</v>
      </c>
      <c r="N176" s="136">
        <f t="shared" si="4"/>
        <v>-1</v>
      </c>
      <c r="O176" s="136">
        <f t="shared" si="5"/>
        <v>2</v>
      </c>
      <c r="P176" s="137">
        <v>46197</v>
      </c>
      <c r="Q176" s="128"/>
    </row>
    <row r="177" spans="1:17">
      <c r="A177" s="127">
        <v>169</v>
      </c>
      <c r="B177" s="128" t="s">
        <v>268</v>
      </c>
      <c r="C177" s="128" t="s">
        <v>267</v>
      </c>
      <c r="D177" s="129" t="s">
        <v>272</v>
      </c>
      <c r="E177" s="130">
        <v>1</v>
      </c>
      <c r="F177" s="131" t="s">
        <v>67</v>
      </c>
      <c r="G177" s="141">
        <v>15</v>
      </c>
      <c r="H177" s="128"/>
      <c r="I177" s="141">
        <v>15</v>
      </c>
      <c r="J177" s="132" t="s">
        <v>265</v>
      </c>
      <c r="K177" s="133">
        <v>46198</v>
      </c>
      <c r="L177" s="134">
        <v>46199</v>
      </c>
      <c r="M177" s="135">
        <v>46197</v>
      </c>
      <c r="N177" s="136">
        <f t="shared" si="4"/>
        <v>-1</v>
      </c>
      <c r="O177" s="136">
        <f t="shared" si="5"/>
        <v>2</v>
      </c>
      <c r="P177" s="137">
        <v>46197</v>
      </c>
      <c r="Q177" s="128"/>
    </row>
    <row r="178" spans="1:17">
      <c r="A178" s="127">
        <v>170</v>
      </c>
      <c r="B178" s="128" t="s">
        <v>268</v>
      </c>
      <c r="C178" s="128" t="s">
        <v>267</v>
      </c>
      <c r="D178" s="129" t="s">
        <v>271</v>
      </c>
      <c r="E178" s="130">
        <v>1</v>
      </c>
      <c r="F178" s="131" t="s">
        <v>270</v>
      </c>
      <c r="G178" s="141">
        <v>160</v>
      </c>
      <c r="H178" s="128"/>
      <c r="I178" s="141">
        <v>160</v>
      </c>
      <c r="J178" s="132" t="s">
        <v>265</v>
      </c>
      <c r="K178" s="133">
        <v>46198</v>
      </c>
      <c r="L178" s="134">
        <v>46199</v>
      </c>
      <c r="M178" s="135">
        <v>46197</v>
      </c>
      <c r="N178" s="136">
        <f t="shared" si="4"/>
        <v>-1</v>
      </c>
      <c r="O178" s="136">
        <f t="shared" si="5"/>
        <v>2</v>
      </c>
      <c r="P178" s="137">
        <v>46197</v>
      </c>
      <c r="Q178" s="128"/>
    </row>
    <row r="179" spans="1:17">
      <c r="A179" s="127">
        <v>171</v>
      </c>
      <c r="B179" s="128" t="s">
        <v>268</v>
      </c>
      <c r="C179" s="128" t="s">
        <v>267</v>
      </c>
      <c r="D179" s="129" t="s">
        <v>269</v>
      </c>
      <c r="E179" s="130">
        <v>5</v>
      </c>
      <c r="F179" s="131" t="s">
        <v>67</v>
      </c>
      <c r="G179" s="141">
        <v>50</v>
      </c>
      <c r="H179" s="128"/>
      <c r="I179" s="141">
        <v>250</v>
      </c>
      <c r="J179" s="132" t="s">
        <v>265</v>
      </c>
      <c r="K179" s="133">
        <v>46198</v>
      </c>
      <c r="L179" s="134">
        <v>46199</v>
      </c>
      <c r="M179" s="135">
        <v>46197</v>
      </c>
      <c r="N179" s="136">
        <f t="shared" si="4"/>
        <v>-1</v>
      </c>
      <c r="O179" s="136">
        <f t="shared" si="5"/>
        <v>2</v>
      </c>
      <c r="P179" s="137">
        <v>46197</v>
      </c>
      <c r="Q179" s="128"/>
    </row>
    <row r="180" spans="1:17">
      <c r="A180" s="127">
        <v>172</v>
      </c>
      <c r="B180" s="128" t="s">
        <v>268</v>
      </c>
      <c r="C180" s="128" t="s">
        <v>267</v>
      </c>
      <c r="D180" s="129" t="s">
        <v>266</v>
      </c>
      <c r="E180" s="130">
        <v>3</v>
      </c>
      <c r="F180" s="131" t="s">
        <v>67</v>
      </c>
      <c r="G180" s="141">
        <v>50</v>
      </c>
      <c r="H180" s="128"/>
      <c r="I180" s="141">
        <v>150</v>
      </c>
      <c r="J180" s="132" t="s">
        <v>265</v>
      </c>
      <c r="K180" s="133">
        <v>46198</v>
      </c>
      <c r="L180" s="134">
        <v>46199</v>
      </c>
      <c r="M180" s="135">
        <v>46197</v>
      </c>
      <c r="N180" s="136">
        <f t="shared" si="4"/>
        <v>-1</v>
      </c>
      <c r="O180" s="136">
        <f t="shared" si="5"/>
        <v>2</v>
      </c>
      <c r="P180" s="137">
        <v>46197</v>
      </c>
      <c r="Q180" s="128"/>
    </row>
    <row r="181" spans="1:17">
      <c r="A181" s="127">
        <v>173</v>
      </c>
      <c r="B181" s="128" t="s">
        <v>263</v>
      </c>
      <c r="C181" s="128" t="s">
        <v>71</v>
      </c>
      <c r="D181" s="129" t="s">
        <v>264</v>
      </c>
      <c r="E181" s="130">
        <v>1</v>
      </c>
      <c r="F181" s="131" t="s">
        <v>77</v>
      </c>
      <c r="G181" s="141">
        <v>2925</v>
      </c>
      <c r="H181" s="128"/>
      <c r="I181" s="141">
        <v>2925</v>
      </c>
      <c r="J181" s="132" t="s">
        <v>261</v>
      </c>
      <c r="K181" s="133">
        <v>46184</v>
      </c>
      <c r="L181" s="134">
        <v>46188</v>
      </c>
      <c r="M181" s="135">
        <v>46185</v>
      </c>
      <c r="N181" s="136">
        <f t="shared" si="4"/>
        <v>1</v>
      </c>
      <c r="O181" s="136">
        <f t="shared" si="5"/>
        <v>3</v>
      </c>
      <c r="P181" s="137">
        <v>46185</v>
      </c>
      <c r="Q181" s="128"/>
    </row>
    <row r="182" spans="1:17">
      <c r="A182" s="127">
        <v>174</v>
      </c>
      <c r="B182" s="128" t="s">
        <v>263</v>
      </c>
      <c r="C182" s="128" t="s">
        <v>71</v>
      </c>
      <c r="D182" s="129" t="s">
        <v>262</v>
      </c>
      <c r="E182" s="130">
        <v>8</v>
      </c>
      <c r="F182" s="131" t="s">
        <v>67</v>
      </c>
      <c r="G182" s="141">
        <v>168</v>
      </c>
      <c r="H182" s="128"/>
      <c r="I182" s="141">
        <v>1344</v>
      </c>
      <c r="J182" s="132" t="s">
        <v>261</v>
      </c>
      <c r="K182" s="133">
        <v>46184</v>
      </c>
      <c r="L182" s="134">
        <v>46188</v>
      </c>
      <c r="M182" s="135">
        <v>46185</v>
      </c>
      <c r="N182" s="136">
        <f t="shared" si="4"/>
        <v>1</v>
      </c>
      <c r="O182" s="136">
        <f t="shared" si="5"/>
        <v>3</v>
      </c>
      <c r="P182" s="137">
        <v>46185</v>
      </c>
      <c r="Q182" s="128"/>
    </row>
    <row r="183" spans="1:17">
      <c r="A183" s="127">
        <v>175</v>
      </c>
      <c r="B183" s="128" t="s">
        <v>260</v>
      </c>
      <c r="C183" s="128" t="s">
        <v>95</v>
      </c>
      <c r="D183" s="129" t="s">
        <v>259</v>
      </c>
      <c r="E183" s="130">
        <v>5</v>
      </c>
      <c r="F183" s="131" t="s">
        <v>67</v>
      </c>
      <c r="G183" s="141">
        <v>250</v>
      </c>
      <c r="H183" s="128"/>
      <c r="I183" s="141">
        <v>1250</v>
      </c>
      <c r="J183" s="132" t="s">
        <v>258</v>
      </c>
      <c r="K183" s="133">
        <v>46184</v>
      </c>
      <c r="L183" s="134">
        <v>46188</v>
      </c>
      <c r="M183" s="135">
        <v>46185</v>
      </c>
      <c r="N183" s="136">
        <f t="shared" si="4"/>
        <v>1</v>
      </c>
      <c r="O183" s="136">
        <f t="shared" si="5"/>
        <v>3</v>
      </c>
      <c r="P183" s="137">
        <v>46185</v>
      </c>
      <c r="Q183" s="128"/>
    </row>
    <row r="184" spans="1:17">
      <c r="A184" s="127">
        <v>176</v>
      </c>
      <c r="B184" s="128" t="s">
        <v>81</v>
      </c>
      <c r="C184" s="128" t="s">
        <v>82</v>
      </c>
      <c r="D184" s="129" t="s">
        <v>94</v>
      </c>
      <c r="E184" s="130">
        <v>4</v>
      </c>
      <c r="F184" s="131" t="s">
        <v>67</v>
      </c>
      <c r="G184" s="141">
        <v>240</v>
      </c>
      <c r="H184" s="142"/>
      <c r="I184" s="141">
        <v>960</v>
      </c>
      <c r="J184" s="132" t="s">
        <v>257</v>
      </c>
      <c r="K184" s="133">
        <v>46188</v>
      </c>
      <c r="L184" s="134">
        <v>46188</v>
      </c>
      <c r="M184" s="135">
        <v>46185</v>
      </c>
      <c r="N184" s="136">
        <f t="shared" si="4"/>
        <v>-3</v>
      </c>
      <c r="O184" s="136">
        <f t="shared" si="5"/>
        <v>3</v>
      </c>
      <c r="P184" s="137">
        <v>46189</v>
      </c>
      <c r="Q184" s="128"/>
    </row>
    <row r="185" spans="1:17">
      <c r="A185" s="127">
        <v>177</v>
      </c>
      <c r="B185" s="128" t="s">
        <v>108</v>
      </c>
      <c r="C185" s="128" t="s">
        <v>256</v>
      </c>
      <c r="D185" s="129" t="s">
        <v>255</v>
      </c>
      <c r="E185" s="130">
        <v>1</v>
      </c>
      <c r="F185" s="131" t="s">
        <v>103</v>
      </c>
      <c r="G185" s="141">
        <v>5000</v>
      </c>
      <c r="H185" s="142">
        <v>500</v>
      </c>
      <c r="I185" s="141">
        <v>4500</v>
      </c>
      <c r="J185" s="132" t="s">
        <v>254</v>
      </c>
      <c r="K185" s="133">
        <v>46189</v>
      </c>
      <c r="L185" s="134">
        <v>46192</v>
      </c>
      <c r="M185" s="135">
        <v>46189</v>
      </c>
      <c r="N185" s="136">
        <f t="shared" si="4"/>
        <v>0</v>
      </c>
      <c r="O185" s="136">
        <f t="shared" si="5"/>
        <v>3</v>
      </c>
      <c r="P185" s="137">
        <v>46189</v>
      </c>
      <c r="Q185" s="128"/>
    </row>
    <row r="186" spans="1:17">
      <c r="A186" s="127">
        <v>178</v>
      </c>
      <c r="B186" s="128" t="s">
        <v>205</v>
      </c>
      <c r="C186" s="128" t="s">
        <v>76</v>
      </c>
      <c r="D186" s="129" t="s">
        <v>253</v>
      </c>
      <c r="E186" s="130">
        <v>8</v>
      </c>
      <c r="F186" s="131" t="s">
        <v>77</v>
      </c>
      <c r="G186" s="141">
        <v>935</v>
      </c>
      <c r="H186" s="128"/>
      <c r="I186" s="141">
        <v>7480</v>
      </c>
      <c r="J186" s="132" t="s">
        <v>249</v>
      </c>
      <c r="K186" s="133">
        <v>46190</v>
      </c>
      <c r="L186" s="134">
        <v>46195</v>
      </c>
      <c r="M186" s="135">
        <v>46192</v>
      </c>
      <c r="N186" s="136">
        <f t="shared" si="4"/>
        <v>2</v>
      </c>
      <c r="O186" s="136">
        <f t="shared" si="5"/>
        <v>3</v>
      </c>
      <c r="P186" s="137">
        <v>46192</v>
      </c>
      <c r="Q186" s="128"/>
    </row>
    <row r="187" spans="1:17">
      <c r="A187" s="127">
        <v>179</v>
      </c>
      <c r="B187" s="128" t="s">
        <v>205</v>
      </c>
      <c r="C187" s="128" t="s">
        <v>76</v>
      </c>
      <c r="D187" s="129" t="s">
        <v>252</v>
      </c>
      <c r="E187" s="130">
        <v>25</v>
      </c>
      <c r="F187" s="131" t="s">
        <v>77</v>
      </c>
      <c r="G187" s="141">
        <v>515</v>
      </c>
      <c r="H187" s="128"/>
      <c r="I187" s="141">
        <v>12875</v>
      </c>
      <c r="J187" s="132" t="s">
        <v>249</v>
      </c>
      <c r="K187" s="133">
        <v>46190</v>
      </c>
      <c r="L187" s="134">
        <v>46195</v>
      </c>
      <c r="M187" s="135">
        <v>46192</v>
      </c>
      <c r="N187" s="136">
        <f t="shared" si="4"/>
        <v>2</v>
      </c>
      <c r="O187" s="136">
        <f t="shared" si="5"/>
        <v>3</v>
      </c>
      <c r="P187" s="137">
        <v>46192</v>
      </c>
      <c r="Q187" s="128"/>
    </row>
    <row r="188" spans="1:17">
      <c r="A188" s="127">
        <v>180</v>
      </c>
      <c r="B188" s="128" t="s">
        <v>205</v>
      </c>
      <c r="C188" s="128" t="s">
        <v>76</v>
      </c>
      <c r="D188" s="129" t="s">
        <v>251</v>
      </c>
      <c r="E188" s="130">
        <v>1</v>
      </c>
      <c r="F188" s="131" t="s">
        <v>67</v>
      </c>
      <c r="G188" s="141">
        <v>3690</v>
      </c>
      <c r="H188" s="128"/>
      <c r="I188" s="141">
        <v>3690</v>
      </c>
      <c r="J188" s="132" t="s">
        <v>249</v>
      </c>
      <c r="K188" s="133">
        <v>46190</v>
      </c>
      <c r="L188" s="134">
        <v>46195</v>
      </c>
      <c r="M188" s="135">
        <v>46192</v>
      </c>
      <c r="N188" s="136">
        <f t="shared" si="4"/>
        <v>2</v>
      </c>
      <c r="O188" s="136">
        <f t="shared" si="5"/>
        <v>3</v>
      </c>
      <c r="P188" s="137">
        <v>46192</v>
      </c>
      <c r="Q188" s="128"/>
    </row>
    <row r="189" spans="1:17">
      <c r="A189" s="127">
        <v>181</v>
      </c>
      <c r="B189" s="128" t="s">
        <v>205</v>
      </c>
      <c r="C189" s="128" t="s">
        <v>76</v>
      </c>
      <c r="D189" s="129" t="s">
        <v>250</v>
      </c>
      <c r="E189" s="130">
        <v>1</v>
      </c>
      <c r="F189" s="131" t="s">
        <v>67</v>
      </c>
      <c r="G189" s="141">
        <v>2400</v>
      </c>
      <c r="H189" s="128"/>
      <c r="I189" s="141">
        <v>2400</v>
      </c>
      <c r="J189" s="132" t="s">
        <v>249</v>
      </c>
      <c r="K189" s="133">
        <v>46190</v>
      </c>
      <c r="L189" s="134">
        <v>46195</v>
      </c>
      <c r="M189" s="135">
        <v>46192</v>
      </c>
      <c r="N189" s="136">
        <f t="shared" si="4"/>
        <v>2</v>
      </c>
      <c r="O189" s="136">
        <f t="shared" si="5"/>
        <v>3</v>
      </c>
      <c r="P189" s="137">
        <v>46192</v>
      </c>
      <c r="Q189" s="128"/>
    </row>
    <row r="190" spans="1:17">
      <c r="A190" s="127">
        <v>182</v>
      </c>
      <c r="B190" s="128" t="s">
        <v>166</v>
      </c>
      <c r="C190" s="128" t="s">
        <v>71</v>
      </c>
      <c r="D190" s="129" t="s">
        <v>248</v>
      </c>
      <c r="E190" s="130">
        <v>125</v>
      </c>
      <c r="F190" s="131" t="s">
        <v>67</v>
      </c>
      <c r="G190" s="141">
        <v>1</v>
      </c>
      <c r="H190" s="128"/>
      <c r="I190" s="141">
        <v>125</v>
      </c>
      <c r="J190" s="132" t="s">
        <v>244</v>
      </c>
      <c r="K190" s="133">
        <v>46190</v>
      </c>
      <c r="L190" s="134">
        <v>46195</v>
      </c>
      <c r="M190" s="135">
        <v>46192</v>
      </c>
      <c r="N190" s="136">
        <f t="shared" si="4"/>
        <v>2</v>
      </c>
      <c r="O190" s="136">
        <f t="shared" si="5"/>
        <v>3</v>
      </c>
      <c r="P190" s="137">
        <v>46195</v>
      </c>
      <c r="Q190" s="128"/>
    </row>
    <row r="191" spans="1:17">
      <c r="A191" s="127">
        <v>183</v>
      </c>
      <c r="B191" s="128" t="s">
        <v>166</v>
      </c>
      <c r="C191" s="128" t="s">
        <v>71</v>
      </c>
      <c r="D191" s="129" t="s">
        <v>247</v>
      </c>
      <c r="E191" s="130">
        <v>220</v>
      </c>
      <c r="F191" s="131" t="s">
        <v>67</v>
      </c>
      <c r="G191" s="141">
        <v>0.22</v>
      </c>
      <c r="H191" s="128"/>
      <c r="I191" s="141">
        <v>48.4</v>
      </c>
      <c r="J191" s="132" t="s">
        <v>244</v>
      </c>
      <c r="K191" s="133">
        <v>46190</v>
      </c>
      <c r="L191" s="134">
        <v>46195</v>
      </c>
      <c r="M191" s="135">
        <v>46192</v>
      </c>
      <c r="N191" s="136">
        <f t="shared" si="4"/>
        <v>2</v>
      </c>
      <c r="O191" s="136">
        <f t="shared" si="5"/>
        <v>3</v>
      </c>
      <c r="P191" s="137">
        <v>46195</v>
      </c>
      <c r="Q191" s="128"/>
    </row>
    <row r="192" spans="1:17">
      <c r="A192" s="127">
        <v>184</v>
      </c>
      <c r="B192" s="128" t="s">
        <v>166</v>
      </c>
      <c r="C192" s="128" t="s">
        <v>71</v>
      </c>
      <c r="D192" s="129" t="s">
        <v>246</v>
      </c>
      <c r="E192" s="130">
        <v>220</v>
      </c>
      <c r="F192" s="131" t="s">
        <v>67</v>
      </c>
      <c r="G192" s="141">
        <v>0.2</v>
      </c>
      <c r="H192" s="128"/>
      <c r="I192" s="141">
        <v>44</v>
      </c>
      <c r="J192" s="132" t="s">
        <v>244</v>
      </c>
      <c r="K192" s="133">
        <v>46190</v>
      </c>
      <c r="L192" s="134">
        <v>46195</v>
      </c>
      <c r="M192" s="135">
        <v>46192</v>
      </c>
      <c r="N192" s="136">
        <f t="shared" si="4"/>
        <v>2</v>
      </c>
      <c r="O192" s="136">
        <f t="shared" si="5"/>
        <v>3</v>
      </c>
      <c r="P192" s="137">
        <v>46195</v>
      </c>
      <c r="Q192" s="128"/>
    </row>
    <row r="193" spans="1:17">
      <c r="A193" s="127">
        <v>185</v>
      </c>
      <c r="B193" s="128" t="s">
        <v>166</v>
      </c>
      <c r="C193" s="128" t="s">
        <v>71</v>
      </c>
      <c r="D193" s="129" t="s">
        <v>245</v>
      </c>
      <c r="E193" s="130">
        <v>20</v>
      </c>
      <c r="F193" s="131" t="s">
        <v>67</v>
      </c>
      <c r="G193" s="141">
        <v>0.5</v>
      </c>
      <c r="H193" s="128"/>
      <c r="I193" s="141">
        <v>10</v>
      </c>
      <c r="J193" s="132" t="s">
        <v>244</v>
      </c>
      <c r="K193" s="133">
        <v>46190</v>
      </c>
      <c r="L193" s="134">
        <v>46195</v>
      </c>
      <c r="M193" s="135">
        <v>46192</v>
      </c>
      <c r="N193" s="136">
        <f t="shared" si="4"/>
        <v>2</v>
      </c>
      <c r="O193" s="136">
        <f t="shared" si="5"/>
        <v>3</v>
      </c>
      <c r="P193" s="137">
        <v>46195</v>
      </c>
      <c r="Q193" s="128"/>
    </row>
    <row r="194" spans="1:17">
      <c r="A194" s="127">
        <v>186</v>
      </c>
      <c r="B194" s="128" t="s">
        <v>166</v>
      </c>
      <c r="C194" s="128" t="s">
        <v>110</v>
      </c>
      <c r="D194" s="129" t="s">
        <v>243</v>
      </c>
      <c r="E194" s="130">
        <v>125</v>
      </c>
      <c r="F194" s="131" t="s">
        <v>67</v>
      </c>
      <c r="G194" s="141">
        <v>2.5</v>
      </c>
      <c r="H194" s="142">
        <v>31.25</v>
      </c>
      <c r="I194" s="141">
        <v>281.25</v>
      </c>
      <c r="J194" s="132" t="s">
        <v>239</v>
      </c>
      <c r="K194" s="133">
        <v>46190</v>
      </c>
      <c r="L194" s="134">
        <v>46195</v>
      </c>
      <c r="M194" s="135">
        <v>46192</v>
      </c>
      <c r="N194" s="136">
        <f t="shared" si="4"/>
        <v>2</v>
      </c>
      <c r="O194" s="136">
        <f t="shared" si="5"/>
        <v>3</v>
      </c>
      <c r="P194" s="137">
        <v>46195</v>
      </c>
      <c r="Q194" s="128"/>
    </row>
    <row r="195" spans="1:17" ht="25.5" customHeight="1">
      <c r="A195" s="127">
        <v>187</v>
      </c>
      <c r="B195" s="128" t="s">
        <v>166</v>
      </c>
      <c r="C195" s="128" t="s">
        <v>110</v>
      </c>
      <c r="D195" s="129" t="s">
        <v>242</v>
      </c>
      <c r="E195" s="130">
        <v>10</v>
      </c>
      <c r="F195" s="131" t="s">
        <v>67</v>
      </c>
      <c r="G195" s="141">
        <v>99.5</v>
      </c>
      <c r="H195" s="142">
        <v>99.5</v>
      </c>
      <c r="I195" s="141">
        <v>895.5</v>
      </c>
      <c r="J195" s="132" t="s">
        <v>239</v>
      </c>
      <c r="K195" s="133">
        <v>46190</v>
      </c>
      <c r="L195" s="134">
        <v>46195</v>
      </c>
      <c r="M195" s="135">
        <v>46192</v>
      </c>
      <c r="N195" s="136">
        <f t="shared" si="4"/>
        <v>2</v>
      </c>
      <c r="O195" s="136">
        <f t="shared" si="5"/>
        <v>3</v>
      </c>
      <c r="P195" s="137">
        <v>46195</v>
      </c>
      <c r="Q195" s="128"/>
    </row>
    <row r="196" spans="1:17">
      <c r="A196" s="127">
        <v>188</v>
      </c>
      <c r="B196" s="128" t="s">
        <v>166</v>
      </c>
      <c r="C196" s="128" t="s">
        <v>110</v>
      </c>
      <c r="D196" s="129" t="s">
        <v>241</v>
      </c>
      <c r="E196" s="130">
        <v>30</v>
      </c>
      <c r="F196" s="131" t="s">
        <v>67</v>
      </c>
      <c r="G196" s="141">
        <v>3.5</v>
      </c>
      <c r="H196" s="142">
        <v>10.5</v>
      </c>
      <c r="I196" s="141">
        <v>94.5</v>
      </c>
      <c r="J196" s="132" t="s">
        <v>239</v>
      </c>
      <c r="K196" s="133">
        <v>46190</v>
      </c>
      <c r="L196" s="134">
        <v>46195</v>
      </c>
      <c r="M196" s="135">
        <v>46192</v>
      </c>
      <c r="N196" s="136">
        <f t="shared" si="4"/>
        <v>2</v>
      </c>
      <c r="O196" s="136">
        <f t="shared" si="5"/>
        <v>3</v>
      </c>
      <c r="P196" s="137">
        <v>46195</v>
      </c>
      <c r="Q196" s="128"/>
    </row>
    <row r="197" spans="1:17">
      <c r="A197" s="127">
        <v>189</v>
      </c>
      <c r="B197" s="128" t="s">
        <v>166</v>
      </c>
      <c r="C197" s="128" t="s">
        <v>110</v>
      </c>
      <c r="D197" s="129" t="s">
        <v>240</v>
      </c>
      <c r="E197" s="130">
        <v>20</v>
      </c>
      <c r="F197" s="131" t="s">
        <v>67</v>
      </c>
      <c r="G197" s="141">
        <v>0.5</v>
      </c>
      <c r="H197" s="142">
        <v>1</v>
      </c>
      <c r="I197" s="141">
        <v>9</v>
      </c>
      <c r="J197" s="132" t="s">
        <v>239</v>
      </c>
      <c r="K197" s="133">
        <v>46190</v>
      </c>
      <c r="L197" s="134">
        <v>46195</v>
      </c>
      <c r="M197" s="135">
        <v>46192</v>
      </c>
      <c r="N197" s="136">
        <f t="shared" si="4"/>
        <v>2</v>
      </c>
      <c r="O197" s="136">
        <f t="shared" si="5"/>
        <v>3</v>
      </c>
      <c r="P197" s="137">
        <v>46195</v>
      </c>
      <c r="Q197" s="128"/>
    </row>
    <row r="198" spans="1:17">
      <c r="A198" s="127">
        <v>190</v>
      </c>
      <c r="B198" s="128" t="s">
        <v>237</v>
      </c>
      <c r="C198" s="128" t="s">
        <v>236</v>
      </c>
      <c r="D198" s="129" t="s">
        <v>238</v>
      </c>
      <c r="E198" s="130">
        <v>10</v>
      </c>
      <c r="F198" s="131" t="s">
        <v>67</v>
      </c>
      <c r="G198" s="141">
        <v>85</v>
      </c>
      <c r="H198" s="128"/>
      <c r="I198" s="141">
        <v>850</v>
      </c>
      <c r="J198" s="132" t="s">
        <v>234</v>
      </c>
      <c r="K198" s="133">
        <v>46192</v>
      </c>
      <c r="L198" s="134">
        <v>46202</v>
      </c>
      <c r="M198" s="135">
        <v>46199</v>
      </c>
      <c r="N198" s="136">
        <f t="shared" si="4"/>
        <v>7</v>
      </c>
      <c r="O198" s="136">
        <f t="shared" si="5"/>
        <v>3</v>
      </c>
      <c r="P198" s="137">
        <v>46199</v>
      </c>
      <c r="Q198" s="128"/>
    </row>
    <row r="199" spans="1:17">
      <c r="A199" s="127">
        <v>191</v>
      </c>
      <c r="B199" s="128" t="s">
        <v>237</v>
      </c>
      <c r="C199" s="128" t="s">
        <v>236</v>
      </c>
      <c r="D199" s="129" t="s">
        <v>235</v>
      </c>
      <c r="E199" s="130">
        <v>1</v>
      </c>
      <c r="F199" s="131" t="s">
        <v>103</v>
      </c>
      <c r="G199" s="141">
        <v>1000</v>
      </c>
      <c r="H199" s="128"/>
      <c r="I199" s="141">
        <v>1000</v>
      </c>
      <c r="J199" s="132" t="s">
        <v>234</v>
      </c>
      <c r="K199" s="133">
        <v>46192</v>
      </c>
      <c r="L199" s="134">
        <v>46202</v>
      </c>
      <c r="M199" s="135">
        <v>46199</v>
      </c>
      <c r="N199" s="136">
        <f t="shared" si="4"/>
        <v>7</v>
      </c>
      <c r="O199" s="136">
        <f t="shared" si="5"/>
        <v>3</v>
      </c>
      <c r="P199" s="137">
        <v>46199</v>
      </c>
      <c r="Q199" s="128"/>
    </row>
    <row r="200" spans="1:17">
      <c r="A200" s="127">
        <v>192</v>
      </c>
      <c r="B200" s="128" t="s">
        <v>233</v>
      </c>
      <c r="C200" s="128" t="s">
        <v>232</v>
      </c>
      <c r="D200" s="129" t="s">
        <v>231</v>
      </c>
      <c r="E200" s="130">
        <v>1</v>
      </c>
      <c r="F200" s="131" t="s">
        <v>64</v>
      </c>
      <c r="G200" s="141">
        <v>9000</v>
      </c>
      <c r="H200" s="128"/>
      <c r="I200" s="141">
        <v>9000</v>
      </c>
      <c r="J200" s="132" t="s">
        <v>230</v>
      </c>
      <c r="K200" s="133">
        <v>46182</v>
      </c>
      <c r="L200" s="134">
        <v>46188</v>
      </c>
      <c r="M200" s="135">
        <v>46184</v>
      </c>
      <c r="N200" s="136">
        <f t="shared" si="4"/>
        <v>2</v>
      </c>
      <c r="O200" s="136">
        <f t="shared" si="5"/>
        <v>4</v>
      </c>
      <c r="P200" s="137">
        <v>46185</v>
      </c>
      <c r="Q200" s="128"/>
    </row>
    <row r="201" spans="1:17">
      <c r="A201" s="127">
        <v>193</v>
      </c>
      <c r="B201" s="128" t="s">
        <v>228</v>
      </c>
      <c r="C201" s="128" t="s">
        <v>71</v>
      </c>
      <c r="D201" s="129" t="s">
        <v>229</v>
      </c>
      <c r="E201" s="130">
        <v>10</v>
      </c>
      <c r="F201" s="131" t="s">
        <v>67</v>
      </c>
      <c r="G201" s="141">
        <v>2.8</v>
      </c>
      <c r="H201" s="128"/>
      <c r="I201" s="141">
        <v>28</v>
      </c>
      <c r="J201" s="132" t="s">
        <v>226</v>
      </c>
      <c r="K201" s="133">
        <v>46183</v>
      </c>
      <c r="L201" s="134">
        <v>46188</v>
      </c>
      <c r="M201" s="135">
        <v>46184</v>
      </c>
      <c r="N201" s="136">
        <f t="shared" ref="N201:N264" si="6">M201-K201</f>
        <v>1</v>
      </c>
      <c r="O201" s="136">
        <f t="shared" ref="O201:O266" si="7">L201-M201</f>
        <v>4</v>
      </c>
      <c r="P201" s="137">
        <v>46184</v>
      </c>
      <c r="Q201" s="128"/>
    </row>
    <row r="202" spans="1:17">
      <c r="A202" s="127">
        <v>194</v>
      </c>
      <c r="B202" s="128" t="s">
        <v>228</v>
      </c>
      <c r="C202" s="128" t="s">
        <v>71</v>
      </c>
      <c r="D202" s="129" t="s">
        <v>227</v>
      </c>
      <c r="E202" s="130">
        <v>1</v>
      </c>
      <c r="F202" s="131" t="s">
        <v>64</v>
      </c>
      <c r="G202" s="141">
        <v>650</v>
      </c>
      <c r="H202" s="128"/>
      <c r="I202" s="141">
        <v>650</v>
      </c>
      <c r="J202" s="132" t="s">
        <v>226</v>
      </c>
      <c r="K202" s="133">
        <v>46183</v>
      </c>
      <c r="L202" s="134">
        <v>46188</v>
      </c>
      <c r="M202" s="135">
        <v>46184</v>
      </c>
      <c r="N202" s="136">
        <f t="shared" si="6"/>
        <v>1</v>
      </c>
      <c r="O202" s="136">
        <f t="shared" si="7"/>
        <v>4</v>
      </c>
      <c r="P202" s="137">
        <v>46184</v>
      </c>
      <c r="Q202" s="128"/>
    </row>
    <row r="203" spans="1:17">
      <c r="A203" s="127">
        <v>195</v>
      </c>
      <c r="B203" s="128" t="s">
        <v>225</v>
      </c>
      <c r="C203" s="128" t="s">
        <v>68</v>
      </c>
      <c r="D203" s="129" t="s">
        <v>224</v>
      </c>
      <c r="E203" s="130">
        <v>10</v>
      </c>
      <c r="F203" s="131" t="s">
        <v>67</v>
      </c>
      <c r="G203" s="141">
        <v>5.1100000000000003</v>
      </c>
      <c r="H203" s="128"/>
      <c r="I203" s="141">
        <v>51.1</v>
      </c>
      <c r="J203" s="132" t="s">
        <v>223</v>
      </c>
      <c r="K203" s="133">
        <v>46183</v>
      </c>
      <c r="L203" s="134">
        <v>46188</v>
      </c>
      <c r="M203" s="135">
        <v>46184</v>
      </c>
      <c r="N203" s="136">
        <f t="shared" si="6"/>
        <v>1</v>
      </c>
      <c r="O203" s="136">
        <f t="shared" si="7"/>
        <v>4</v>
      </c>
      <c r="P203" s="137">
        <v>46184</v>
      </c>
      <c r="Q203" s="128"/>
    </row>
    <row r="204" spans="1:17">
      <c r="A204" s="127">
        <v>196</v>
      </c>
      <c r="B204" s="128" t="s">
        <v>222</v>
      </c>
      <c r="C204" s="128" t="s">
        <v>116</v>
      </c>
      <c r="D204" s="129" t="s">
        <v>117</v>
      </c>
      <c r="E204" s="130">
        <v>1</v>
      </c>
      <c r="F204" s="131" t="s">
        <v>75</v>
      </c>
      <c r="G204" s="141">
        <v>26500</v>
      </c>
      <c r="H204" s="128"/>
      <c r="I204" s="141">
        <v>26500</v>
      </c>
      <c r="J204" s="132" t="s">
        <v>220</v>
      </c>
      <c r="K204" s="133">
        <v>46183</v>
      </c>
      <c r="L204" s="134">
        <v>46189</v>
      </c>
      <c r="M204" s="135">
        <v>46185</v>
      </c>
      <c r="N204" s="136">
        <f t="shared" si="6"/>
        <v>2</v>
      </c>
      <c r="O204" s="136">
        <f t="shared" si="7"/>
        <v>4</v>
      </c>
      <c r="P204" s="137">
        <v>46185</v>
      </c>
      <c r="Q204" s="128"/>
    </row>
    <row r="205" spans="1:17">
      <c r="A205" s="127">
        <v>197</v>
      </c>
      <c r="B205" s="128" t="s">
        <v>222</v>
      </c>
      <c r="C205" s="128" t="s">
        <v>116</v>
      </c>
      <c r="D205" s="129" t="s">
        <v>221</v>
      </c>
      <c r="E205" s="130">
        <v>1</v>
      </c>
      <c r="F205" s="131" t="s">
        <v>75</v>
      </c>
      <c r="G205" s="141">
        <v>27500</v>
      </c>
      <c r="H205" s="128"/>
      <c r="I205" s="141">
        <v>27500</v>
      </c>
      <c r="J205" s="132" t="s">
        <v>220</v>
      </c>
      <c r="K205" s="133">
        <v>46183</v>
      </c>
      <c r="L205" s="134">
        <v>46189</v>
      </c>
      <c r="M205" s="135">
        <v>46185</v>
      </c>
      <c r="N205" s="136">
        <f t="shared" si="6"/>
        <v>2</v>
      </c>
      <c r="O205" s="136">
        <f t="shared" si="7"/>
        <v>4</v>
      </c>
      <c r="P205" s="137">
        <v>46185</v>
      </c>
      <c r="Q205" s="128"/>
    </row>
    <row r="206" spans="1:17">
      <c r="A206" s="127">
        <v>198</v>
      </c>
      <c r="B206" s="128" t="s">
        <v>217</v>
      </c>
      <c r="C206" s="128" t="s">
        <v>80</v>
      </c>
      <c r="D206" s="129" t="s">
        <v>219</v>
      </c>
      <c r="E206" s="130">
        <v>1</v>
      </c>
      <c r="F206" s="131" t="s">
        <v>67</v>
      </c>
      <c r="G206" s="141">
        <v>450</v>
      </c>
      <c r="H206" s="142"/>
      <c r="I206" s="141">
        <v>450</v>
      </c>
      <c r="J206" s="132" t="s">
        <v>215</v>
      </c>
      <c r="K206" s="133">
        <v>46189</v>
      </c>
      <c r="L206" s="134">
        <v>46196</v>
      </c>
      <c r="M206" s="135">
        <v>46192</v>
      </c>
      <c r="N206" s="136">
        <f t="shared" si="6"/>
        <v>3</v>
      </c>
      <c r="O206" s="136">
        <f t="shared" si="7"/>
        <v>4</v>
      </c>
      <c r="P206" s="137">
        <v>46195</v>
      </c>
      <c r="Q206" s="128"/>
    </row>
    <row r="207" spans="1:17">
      <c r="A207" s="127">
        <v>199</v>
      </c>
      <c r="B207" s="128" t="s">
        <v>217</v>
      </c>
      <c r="C207" s="128" t="s">
        <v>80</v>
      </c>
      <c r="D207" s="129" t="s">
        <v>218</v>
      </c>
      <c r="E207" s="130">
        <v>1</v>
      </c>
      <c r="F207" s="131" t="s">
        <v>67</v>
      </c>
      <c r="G207" s="141">
        <v>1100</v>
      </c>
      <c r="H207" s="142"/>
      <c r="I207" s="141">
        <v>1100</v>
      </c>
      <c r="J207" s="132" t="s">
        <v>215</v>
      </c>
      <c r="K207" s="133">
        <v>46189</v>
      </c>
      <c r="L207" s="134">
        <v>46196</v>
      </c>
      <c r="M207" s="135">
        <v>46192</v>
      </c>
      <c r="N207" s="136">
        <f t="shared" si="6"/>
        <v>3</v>
      </c>
      <c r="O207" s="136">
        <f t="shared" si="7"/>
        <v>4</v>
      </c>
      <c r="P207" s="137">
        <v>46195</v>
      </c>
      <c r="Q207" s="128"/>
    </row>
    <row r="208" spans="1:17">
      <c r="A208" s="127">
        <v>200</v>
      </c>
      <c r="B208" s="128" t="s">
        <v>217</v>
      </c>
      <c r="C208" s="128" t="s">
        <v>80</v>
      </c>
      <c r="D208" s="129" t="s">
        <v>216</v>
      </c>
      <c r="E208" s="130">
        <v>1</v>
      </c>
      <c r="F208" s="131" t="s">
        <v>67</v>
      </c>
      <c r="G208" s="141">
        <v>450</v>
      </c>
      <c r="H208" s="142"/>
      <c r="I208" s="141">
        <v>450</v>
      </c>
      <c r="J208" s="132" t="s">
        <v>215</v>
      </c>
      <c r="K208" s="133">
        <v>46189</v>
      </c>
      <c r="L208" s="134">
        <v>46196</v>
      </c>
      <c r="M208" s="135">
        <v>46192</v>
      </c>
      <c r="N208" s="136">
        <f t="shared" si="6"/>
        <v>3</v>
      </c>
      <c r="O208" s="136">
        <f t="shared" si="7"/>
        <v>4</v>
      </c>
      <c r="P208" s="137">
        <v>46195</v>
      </c>
      <c r="Q208" s="128"/>
    </row>
    <row r="209" spans="1:17">
      <c r="A209" s="127">
        <v>201</v>
      </c>
      <c r="B209" s="128" t="s">
        <v>205</v>
      </c>
      <c r="C209" s="128" t="s">
        <v>204</v>
      </c>
      <c r="D209" s="129" t="s">
        <v>214</v>
      </c>
      <c r="E209" s="130">
        <v>4</v>
      </c>
      <c r="F209" s="131" t="s">
        <v>98</v>
      </c>
      <c r="G209" s="141">
        <v>230</v>
      </c>
      <c r="H209" s="128"/>
      <c r="I209" s="141">
        <v>920</v>
      </c>
      <c r="J209" s="132" t="s">
        <v>202</v>
      </c>
      <c r="K209" s="133">
        <v>46190</v>
      </c>
      <c r="L209" s="134">
        <v>46202</v>
      </c>
      <c r="M209" s="135">
        <v>46198</v>
      </c>
      <c r="N209" s="136">
        <f t="shared" si="6"/>
        <v>8</v>
      </c>
      <c r="O209" s="136">
        <f t="shared" si="7"/>
        <v>4</v>
      </c>
      <c r="P209" s="137">
        <v>46198</v>
      </c>
      <c r="Q209" s="128"/>
    </row>
    <row r="210" spans="1:17">
      <c r="A210" s="127">
        <v>202</v>
      </c>
      <c r="B210" s="128" t="s">
        <v>205</v>
      </c>
      <c r="C210" s="128" t="s">
        <v>204</v>
      </c>
      <c r="D210" s="129" t="s">
        <v>213</v>
      </c>
      <c r="E210" s="130">
        <v>8</v>
      </c>
      <c r="F210" s="131" t="s">
        <v>98</v>
      </c>
      <c r="G210" s="141">
        <v>168</v>
      </c>
      <c r="H210" s="128"/>
      <c r="I210" s="141">
        <v>1344</v>
      </c>
      <c r="J210" s="132" t="s">
        <v>202</v>
      </c>
      <c r="K210" s="133">
        <v>46190</v>
      </c>
      <c r="L210" s="134">
        <v>46202</v>
      </c>
      <c r="M210" s="135">
        <v>46198</v>
      </c>
      <c r="N210" s="136">
        <f t="shared" si="6"/>
        <v>8</v>
      </c>
      <c r="O210" s="136">
        <f t="shared" si="7"/>
        <v>4</v>
      </c>
      <c r="P210" s="137">
        <v>46198</v>
      </c>
      <c r="Q210" s="128"/>
    </row>
    <row r="211" spans="1:17">
      <c r="A211" s="127">
        <v>203</v>
      </c>
      <c r="B211" s="128" t="s">
        <v>205</v>
      </c>
      <c r="C211" s="128" t="s">
        <v>204</v>
      </c>
      <c r="D211" s="129" t="s">
        <v>212</v>
      </c>
      <c r="E211" s="130">
        <v>2</v>
      </c>
      <c r="F211" s="131" t="s">
        <v>98</v>
      </c>
      <c r="G211" s="141">
        <v>40</v>
      </c>
      <c r="H211" s="128"/>
      <c r="I211" s="141">
        <v>80</v>
      </c>
      <c r="J211" s="132" t="s">
        <v>202</v>
      </c>
      <c r="K211" s="133">
        <v>46190</v>
      </c>
      <c r="L211" s="134">
        <v>46202</v>
      </c>
      <c r="M211" s="135">
        <v>46198</v>
      </c>
      <c r="N211" s="136">
        <f t="shared" si="6"/>
        <v>8</v>
      </c>
      <c r="O211" s="136">
        <f t="shared" si="7"/>
        <v>4</v>
      </c>
      <c r="P211" s="137">
        <v>46198</v>
      </c>
      <c r="Q211" s="128"/>
    </row>
    <row r="212" spans="1:17">
      <c r="A212" s="127">
        <v>204</v>
      </c>
      <c r="B212" s="128" t="s">
        <v>205</v>
      </c>
      <c r="C212" s="128" t="s">
        <v>204</v>
      </c>
      <c r="D212" s="129" t="s">
        <v>211</v>
      </c>
      <c r="E212" s="130">
        <v>8</v>
      </c>
      <c r="F212" s="131" t="s">
        <v>98</v>
      </c>
      <c r="G212" s="141">
        <v>186</v>
      </c>
      <c r="H212" s="128"/>
      <c r="I212" s="141">
        <v>1488</v>
      </c>
      <c r="J212" s="132" t="s">
        <v>202</v>
      </c>
      <c r="K212" s="133">
        <v>46190</v>
      </c>
      <c r="L212" s="134">
        <v>46202</v>
      </c>
      <c r="M212" s="135">
        <v>46198</v>
      </c>
      <c r="N212" s="136">
        <f t="shared" si="6"/>
        <v>8</v>
      </c>
      <c r="O212" s="136">
        <f t="shared" si="7"/>
        <v>4</v>
      </c>
      <c r="P212" s="137">
        <v>46198</v>
      </c>
      <c r="Q212" s="128"/>
    </row>
    <row r="213" spans="1:17">
      <c r="A213" s="127">
        <v>205</v>
      </c>
      <c r="B213" s="128" t="s">
        <v>205</v>
      </c>
      <c r="C213" s="128" t="s">
        <v>204</v>
      </c>
      <c r="D213" s="129" t="s">
        <v>210</v>
      </c>
      <c r="E213" s="130">
        <v>4</v>
      </c>
      <c r="F213" s="131" t="s">
        <v>98</v>
      </c>
      <c r="G213" s="141">
        <v>144</v>
      </c>
      <c r="H213" s="128"/>
      <c r="I213" s="141">
        <v>576</v>
      </c>
      <c r="J213" s="132" t="s">
        <v>202</v>
      </c>
      <c r="K213" s="133">
        <v>46190</v>
      </c>
      <c r="L213" s="134">
        <v>46202</v>
      </c>
      <c r="M213" s="135">
        <v>46198</v>
      </c>
      <c r="N213" s="136">
        <f t="shared" si="6"/>
        <v>8</v>
      </c>
      <c r="O213" s="136">
        <f t="shared" si="7"/>
        <v>4</v>
      </c>
      <c r="P213" s="137">
        <v>46198</v>
      </c>
      <c r="Q213" s="128"/>
    </row>
    <row r="214" spans="1:17">
      <c r="A214" s="127">
        <v>206</v>
      </c>
      <c r="B214" s="128" t="s">
        <v>205</v>
      </c>
      <c r="C214" s="128" t="s">
        <v>204</v>
      </c>
      <c r="D214" s="129" t="s">
        <v>209</v>
      </c>
      <c r="E214" s="130">
        <v>12</v>
      </c>
      <c r="F214" s="131" t="s">
        <v>98</v>
      </c>
      <c r="G214" s="141">
        <v>179</v>
      </c>
      <c r="H214" s="128"/>
      <c r="I214" s="141">
        <v>2148</v>
      </c>
      <c r="J214" s="132" t="s">
        <v>202</v>
      </c>
      <c r="K214" s="133">
        <v>46190</v>
      </c>
      <c r="L214" s="134">
        <v>46202</v>
      </c>
      <c r="M214" s="135">
        <v>46198</v>
      </c>
      <c r="N214" s="136">
        <f t="shared" si="6"/>
        <v>8</v>
      </c>
      <c r="O214" s="136">
        <f t="shared" si="7"/>
        <v>4</v>
      </c>
      <c r="P214" s="137">
        <v>46198</v>
      </c>
      <c r="Q214" s="128"/>
    </row>
    <row r="215" spans="1:17">
      <c r="A215" s="127">
        <v>207</v>
      </c>
      <c r="B215" s="128" t="s">
        <v>205</v>
      </c>
      <c r="C215" s="128" t="s">
        <v>204</v>
      </c>
      <c r="D215" s="129" t="s">
        <v>208</v>
      </c>
      <c r="E215" s="130">
        <v>4</v>
      </c>
      <c r="F215" s="131" t="s">
        <v>98</v>
      </c>
      <c r="G215" s="141">
        <v>113</v>
      </c>
      <c r="H215" s="128"/>
      <c r="I215" s="141">
        <v>452</v>
      </c>
      <c r="J215" s="132" t="s">
        <v>202</v>
      </c>
      <c r="K215" s="133">
        <v>46190</v>
      </c>
      <c r="L215" s="134">
        <v>46202</v>
      </c>
      <c r="M215" s="135">
        <v>46198</v>
      </c>
      <c r="N215" s="136">
        <f t="shared" si="6"/>
        <v>8</v>
      </c>
      <c r="O215" s="136">
        <f t="shared" si="7"/>
        <v>4</v>
      </c>
      <c r="P215" s="137">
        <v>46198</v>
      </c>
      <c r="Q215" s="128"/>
    </row>
    <row r="216" spans="1:17">
      <c r="A216" s="127">
        <v>208</v>
      </c>
      <c r="B216" s="128" t="s">
        <v>205</v>
      </c>
      <c r="C216" s="128" t="s">
        <v>204</v>
      </c>
      <c r="D216" s="129" t="s">
        <v>207</v>
      </c>
      <c r="E216" s="130">
        <v>4</v>
      </c>
      <c r="F216" s="131" t="s">
        <v>98</v>
      </c>
      <c r="G216" s="141">
        <v>137</v>
      </c>
      <c r="H216" s="128"/>
      <c r="I216" s="141">
        <v>548</v>
      </c>
      <c r="J216" s="132" t="s">
        <v>202</v>
      </c>
      <c r="K216" s="133">
        <v>46190</v>
      </c>
      <c r="L216" s="134">
        <v>46202</v>
      </c>
      <c r="M216" s="135">
        <v>46198</v>
      </c>
      <c r="N216" s="136">
        <f t="shared" si="6"/>
        <v>8</v>
      </c>
      <c r="O216" s="136">
        <f t="shared" si="7"/>
        <v>4</v>
      </c>
      <c r="P216" s="137">
        <v>46198</v>
      </c>
      <c r="Q216" s="128"/>
    </row>
    <row r="217" spans="1:17">
      <c r="A217" s="127">
        <v>209</v>
      </c>
      <c r="B217" s="128" t="s">
        <v>205</v>
      </c>
      <c r="C217" s="128" t="s">
        <v>204</v>
      </c>
      <c r="D217" s="129" t="s">
        <v>206</v>
      </c>
      <c r="E217" s="130">
        <v>2</v>
      </c>
      <c r="F217" s="131" t="s">
        <v>98</v>
      </c>
      <c r="G217" s="141">
        <v>145</v>
      </c>
      <c r="H217" s="128"/>
      <c r="I217" s="141">
        <v>290</v>
      </c>
      <c r="J217" s="132" t="s">
        <v>202</v>
      </c>
      <c r="K217" s="133">
        <v>46190</v>
      </c>
      <c r="L217" s="134">
        <v>46202</v>
      </c>
      <c r="M217" s="135">
        <v>46198</v>
      </c>
      <c r="N217" s="136">
        <f t="shared" si="6"/>
        <v>8</v>
      </c>
      <c r="O217" s="136">
        <f t="shared" si="7"/>
        <v>4</v>
      </c>
      <c r="P217" s="137">
        <v>46198</v>
      </c>
      <c r="Q217" s="128"/>
    </row>
    <row r="218" spans="1:17">
      <c r="A218" s="127">
        <v>210</v>
      </c>
      <c r="B218" s="128" t="s">
        <v>205</v>
      </c>
      <c r="C218" s="128" t="s">
        <v>204</v>
      </c>
      <c r="D218" s="129" t="s">
        <v>203</v>
      </c>
      <c r="E218" s="130">
        <v>1</v>
      </c>
      <c r="F218" s="131" t="s">
        <v>106</v>
      </c>
      <c r="G218" s="141">
        <v>1500</v>
      </c>
      <c r="H218" s="128"/>
      <c r="I218" s="141">
        <v>1500</v>
      </c>
      <c r="J218" s="132" t="s">
        <v>202</v>
      </c>
      <c r="K218" s="133">
        <v>46190</v>
      </c>
      <c r="L218" s="134">
        <v>46202</v>
      </c>
      <c r="M218" s="135">
        <v>46198</v>
      </c>
      <c r="N218" s="136">
        <f t="shared" si="6"/>
        <v>8</v>
      </c>
      <c r="O218" s="136">
        <f t="shared" si="7"/>
        <v>4</v>
      </c>
      <c r="P218" s="137">
        <v>46198</v>
      </c>
      <c r="Q218" s="128"/>
    </row>
    <row r="219" spans="1:17">
      <c r="A219" s="127">
        <v>211</v>
      </c>
      <c r="B219" s="128" t="s">
        <v>201</v>
      </c>
      <c r="C219" s="128" t="s">
        <v>65</v>
      </c>
      <c r="D219" s="129" t="s">
        <v>200</v>
      </c>
      <c r="E219" s="130">
        <v>3</v>
      </c>
      <c r="F219" s="131" t="s">
        <v>67</v>
      </c>
      <c r="G219" s="141">
        <v>240</v>
      </c>
      <c r="H219" s="128"/>
      <c r="I219" s="141">
        <v>720</v>
      </c>
      <c r="J219" s="132" t="s">
        <v>199</v>
      </c>
      <c r="K219" s="133">
        <v>46181</v>
      </c>
      <c r="L219" s="134">
        <v>46184</v>
      </c>
      <c r="M219" s="135">
        <v>46179</v>
      </c>
      <c r="N219" s="136">
        <f t="shared" si="6"/>
        <v>-2</v>
      </c>
      <c r="O219" s="136">
        <f t="shared" si="7"/>
        <v>5</v>
      </c>
      <c r="P219" s="137">
        <v>46179</v>
      </c>
      <c r="Q219" s="128"/>
    </row>
    <row r="220" spans="1:17">
      <c r="A220" s="127">
        <v>212</v>
      </c>
      <c r="B220" s="128" t="s">
        <v>197</v>
      </c>
      <c r="C220" s="128" t="s">
        <v>87</v>
      </c>
      <c r="D220" s="129" t="s">
        <v>198</v>
      </c>
      <c r="E220" s="130">
        <v>1</v>
      </c>
      <c r="F220" s="131" t="s">
        <v>67</v>
      </c>
      <c r="G220" s="141">
        <v>1090</v>
      </c>
      <c r="H220" s="128"/>
      <c r="I220" s="141">
        <v>1090</v>
      </c>
      <c r="J220" s="132" t="s">
        <v>195</v>
      </c>
      <c r="K220" s="133">
        <v>46167</v>
      </c>
      <c r="L220" s="134">
        <v>46189</v>
      </c>
      <c r="M220" s="135">
        <v>46184</v>
      </c>
      <c r="N220" s="136">
        <f t="shared" si="6"/>
        <v>17</v>
      </c>
      <c r="O220" s="136">
        <f t="shared" si="7"/>
        <v>5</v>
      </c>
      <c r="P220" s="137">
        <v>46184</v>
      </c>
      <c r="Q220" s="128" t="s">
        <v>194</v>
      </c>
    </row>
    <row r="221" spans="1:17">
      <c r="A221" s="127">
        <v>213</v>
      </c>
      <c r="B221" s="128" t="s">
        <v>197</v>
      </c>
      <c r="C221" s="128" t="s">
        <v>87</v>
      </c>
      <c r="D221" s="129" t="s">
        <v>196</v>
      </c>
      <c r="E221" s="130">
        <v>1</v>
      </c>
      <c r="F221" s="131" t="s">
        <v>67</v>
      </c>
      <c r="G221" s="141">
        <v>215</v>
      </c>
      <c r="H221" s="128"/>
      <c r="I221" s="141">
        <v>215</v>
      </c>
      <c r="J221" s="132" t="s">
        <v>195</v>
      </c>
      <c r="K221" s="133">
        <v>46167</v>
      </c>
      <c r="L221" s="134">
        <v>46189</v>
      </c>
      <c r="M221" s="135">
        <v>46184</v>
      </c>
      <c r="N221" s="136">
        <f t="shared" si="6"/>
        <v>17</v>
      </c>
      <c r="O221" s="136">
        <f t="shared" si="7"/>
        <v>5</v>
      </c>
      <c r="P221" s="137">
        <v>46184</v>
      </c>
      <c r="Q221" s="128" t="s">
        <v>194</v>
      </c>
    </row>
    <row r="222" spans="1:17">
      <c r="A222" s="127">
        <v>214</v>
      </c>
      <c r="B222" s="128" t="s">
        <v>72</v>
      </c>
      <c r="C222" s="128" t="s">
        <v>120</v>
      </c>
      <c r="D222" s="129" t="s">
        <v>193</v>
      </c>
      <c r="E222" s="130">
        <v>2</v>
      </c>
      <c r="F222" s="131" t="s">
        <v>67</v>
      </c>
      <c r="G222" s="141">
        <v>87</v>
      </c>
      <c r="H222" s="128"/>
      <c r="I222" s="141">
        <v>174</v>
      </c>
      <c r="J222" s="132" t="s">
        <v>190</v>
      </c>
      <c r="K222" s="133">
        <v>46190</v>
      </c>
      <c r="L222" s="134">
        <v>46190</v>
      </c>
      <c r="M222" s="135">
        <v>46185</v>
      </c>
      <c r="N222" s="136">
        <f t="shared" si="6"/>
        <v>-5</v>
      </c>
      <c r="O222" s="136">
        <f t="shared" si="7"/>
        <v>5</v>
      </c>
      <c r="P222" s="137">
        <v>46185</v>
      </c>
      <c r="Q222" s="128"/>
    </row>
    <row r="223" spans="1:17">
      <c r="A223" s="127">
        <v>215</v>
      </c>
      <c r="B223" s="128" t="s">
        <v>72</v>
      </c>
      <c r="C223" s="128" t="s">
        <v>120</v>
      </c>
      <c r="D223" s="129" t="s">
        <v>192</v>
      </c>
      <c r="E223" s="130">
        <v>1</v>
      </c>
      <c r="F223" s="131" t="s">
        <v>131</v>
      </c>
      <c r="G223" s="141">
        <v>11</v>
      </c>
      <c r="H223" s="128"/>
      <c r="I223" s="141">
        <v>11</v>
      </c>
      <c r="J223" s="132" t="s">
        <v>190</v>
      </c>
      <c r="K223" s="133">
        <v>46190</v>
      </c>
      <c r="L223" s="134">
        <v>46190</v>
      </c>
      <c r="M223" s="135">
        <v>46185</v>
      </c>
      <c r="N223" s="136">
        <f t="shared" si="6"/>
        <v>-5</v>
      </c>
      <c r="O223" s="136">
        <f t="shared" si="7"/>
        <v>5</v>
      </c>
      <c r="P223" s="137">
        <v>46185</v>
      </c>
      <c r="Q223" s="128"/>
    </row>
    <row r="224" spans="1:17">
      <c r="A224" s="127">
        <v>216</v>
      </c>
      <c r="B224" s="128" t="s">
        <v>72</v>
      </c>
      <c r="C224" s="128" t="s">
        <v>120</v>
      </c>
      <c r="D224" s="129" t="s">
        <v>191</v>
      </c>
      <c r="E224" s="130">
        <v>1</v>
      </c>
      <c r="F224" s="131" t="s">
        <v>131</v>
      </c>
      <c r="G224" s="141">
        <v>15</v>
      </c>
      <c r="H224" s="128"/>
      <c r="I224" s="141">
        <v>15</v>
      </c>
      <c r="J224" s="132" t="s">
        <v>190</v>
      </c>
      <c r="K224" s="133">
        <v>46190</v>
      </c>
      <c r="L224" s="134">
        <v>46190</v>
      </c>
      <c r="M224" s="135">
        <v>46185</v>
      </c>
      <c r="N224" s="136">
        <f t="shared" si="6"/>
        <v>-5</v>
      </c>
      <c r="O224" s="136">
        <f t="shared" si="7"/>
        <v>5</v>
      </c>
      <c r="P224" s="137">
        <v>46185</v>
      </c>
      <c r="Q224" s="128"/>
    </row>
    <row r="225" spans="1:17">
      <c r="A225" s="127">
        <v>217</v>
      </c>
      <c r="B225" s="128" t="s">
        <v>177</v>
      </c>
      <c r="C225" s="128" t="s">
        <v>68</v>
      </c>
      <c r="D225" s="129" t="s">
        <v>189</v>
      </c>
      <c r="E225" s="130">
        <v>10</v>
      </c>
      <c r="F225" s="131" t="s">
        <v>67</v>
      </c>
      <c r="G225" s="141">
        <v>206.29</v>
      </c>
      <c r="H225" s="128"/>
      <c r="I225" s="141">
        <v>2062.9</v>
      </c>
      <c r="J225" s="132" t="s">
        <v>175</v>
      </c>
      <c r="K225" s="133">
        <v>46184</v>
      </c>
      <c r="L225" s="134">
        <v>46195</v>
      </c>
      <c r="M225" s="135">
        <v>46190</v>
      </c>
      <c r="N225" s="136">
        <f t="shared" si="6"/>
        <v>6</v>
      </c>
      <c r="O225" s="136">
        <f t="shared" si="7"/>
        <v>5</v>
      </c>
      <c r="P225" s="137">
        <v>46190</v>
      </c>
      <c r="Q225" s="128"/>
    </row>
    <row r="226" spans="1:17">
      <c r="A226" s="127">
        <v>218</v>
      </c>
      <c r="B226" s="128" t="s">
        <v>188</v>
      </c>
      <c r="C226" s="128" t="s">
        <v>83</v>
      </c>
      <c r="D226" s="129" t="s">
        <v>187</v>
      </c>
      <c r="E226" s="130">
        <v>4</v>
      </c>
      <c r="F226" s="131" t="s">
        <v>67</v>
      </c>
      <c r="G226" s="141">
        <v>60</v>
      </c>
      <c r="H226" s="128"/>
      <c r="I226" s="141">
        <v>240</v>
      </c>
      <c r="J226" s="132" t="s">
        <v>186</v>
      </c>
      <c r="K226" s="133">
        <v>46196</v>
      </c>
      <c r="L226" s="134">
        <v>46204</v>
      </c>
      <c r="M226" s="135">
        <v>46199</v>
      </c>
      <c r="N226" s="136">
        <f t="shared" si="6"/>
        <v>3</v>
      </c>
      <c r="O226" s="136">
        <f t="shared" si="7"/>
        <v>5</v>
      </c>
      <c r="P226" s="137">
        <v>46199</v>
      </c>
      <c r="Q226" s="128"/>
    </row>
    <row r="227" spans="1:17">
      <c r="A227" s="127">
        <v>219</v>
      </c>
      <c r="B227" s="128" t="s">
        <v>180</v>
      </c>
      <c r="C227" s="128" t="s">
        <v>71</v>
      </c>
      <c r="D227" s="129" t="s">
        <v>185</v>
      </c>
      <c r="E227" s="130">
        <v>20</v>
      </c>
      <c r="F227" s="131" t="s">
        <v>67</v>
      </c>
      <c r="G227" s="141">
        <v>3.5</v>
      </c>
      <c r="H227" s="128"/>
      <c r="I227" s="141">
        <v>70</v>
      </c>
      <c r="J227" s="132" t="s">
        <v>181</v>
      </c>
      <c r="K227" s="133">
        <v>46189</v>
      </c>
      <c r="L227" s="134">
        <v>46192</v>
      </c>
      <c r="M227" s="135">
        <v>46186</v>
      </c>
      <c r="N227" s="136">
        <f t="shared" si="6"/>
        <v>-3</v>
      </c>
      <c r="O227" s="136">
        <f t="shared" si="7"/>
        <v>6</v>
      </c>
      <c r="P227" s="137">
        <v>46186</v>
      </c>
      <c r="Q227" s="128"/>
    </row>
    <row r="228" spans="1:17">
      <c r="A228" s="127">
        <v>220</v>
      </c>
      <c r="B228" s="128" t="s">
        <v>180</v>
      </c>
      <c r="C228" s="128" t="s">
        <v>71</v>
      </c>
      <c r="D228" s="129" t="s">
        <v>184</v>
      </c>
      <c r="E228" s="130">
        <v>30</v>
      </c>
      <c r="F228" s="131" t="s">
        <v>67</v>
      </c>
      <c r="G228" s="141">
        <v>2.76</v>
      </c>
      <c r="H228" s="128"/>
      <c r="I228" s="141">
        <v>82.8</v>
      </c>
      <c r="J228" s="132" t="s">
        <v>181</v>
      </c>
      <c r="K228" s="133">
        <v>46189</v>
      </c>
      <c r="L228" s="134">
        <v>46192</v>
      </c>
      <c r="M228" s="135">
        <v>46186</v>
      </c>
      <c r="N228" s="136">
        <f t="shared" si="6"/>
        <v>-3</v>
      </c>
      <c r="O228" s="136">
        <f t="shared" si="7"/>
        <v>6</v>
      </c>
      <c r="P228" s="137">
        <v>46186</v>
      </c>
      <c r="Q228" s="128"/>
    </row>
    <row r="229" spans="1:17">
      <c r="A229" s="127">
        <v>221</v>
      </c>
      <c r="B229" s="128" t="s">
        <v>180</v>
      </c>
      <c r="C229" s="128" t="s">
        <v>71</v>
      </c>
      <c r="D229" s="129" t="s">
        <v>183</v>
      </c>
      <c r="E229" s="130">
        <v>30</v>
      </c>
      <c r="F229" s="131" t="s">
        <v>67</v>
      </c>
      <c r="G229" s="141">
        <v>0.4</v>
      </c>
      <c r="H229" s="128"/>
      <c r="I229" s="141">
        <v>12</v>
      </c>
      <c r="J229" s="132" t="s">
        <v>181</v>
      </c>
      <c r="K229" s="133">
        <v>46189</v>
      </c>
      <c r="L229" s="134">
        <v>46192</v>
      </c>
      <c r="M229" s="135">
        <v>46186</v>
      </c>
      <c r="N229" s="136">
        <f t="shared" si="6"/>
        <v>-3</v>
      </c>
      <c r="O229" s="136">
        <f t="shared" si="7"/>
        <v>6</v>
      </c>
      <c r="P229" s="137">
        <v>46186</v>
      </c>
      <c r="Q229" s="128"/>
    </row>
    <row r="230" spans="1:17">
      <c r="A230" s="127">
        <v>222</v>
      </c>
      <c r="B230" s="128" t="s">
        <v>180</v>
      </c>
      <c r="C230" s="128" t="s">
        <v>71</v>
      </c>
      <c r="D230" s="129" t="s">
        <v>182</v>
      </c>
      <c r="E230" s="130">
        <v>30</v>
      </c>
      <c r="F230" s="131" t="s">
        <v>67</v>
      </c>
      <c r="G230" s="141">
        <v>0.4</v>
      </c>
      <c r="H230" s="128"/>
      <c r="I230" s="141">
        <v>12</v>
      </c>
      <c r="J230" s="132" t="s">
        <v>181</v>
      </c>
      <c r="K230" s="133">
        <v>46189</v>
      </c>
      <c r="L230" s="134">
        <v>46192</v>
      </c>
      <c r="M230" s="135">
        <v>46186</v>
      </c>
      <c r="N230" s="136">
        <f t="shared" si="6"/>
        <v>-3</v>
      </c>
      <c r="O230" s="136">
        <f t="shared" si="7"/>
        <v>6</v>
      </c>
      <c r="P230" s="137">
        <v>46186</v>
      </c>
      <c r="Q230" s="128"/>
    </row>
    <row r="231" spans="1:17">
      <c r="A231" s="127">
        <v>223</v>
      </c>
      <c r="B231" s="128" t="s">
        <v>180</v>
      </c>
      <c r="C231" s="128" t="s">
        <v>110</v>
      </c>
      <c r="D231" s="129" t="s">
        <v>179</v>
      </c>
      <c r="E231" s="130">
        <v>50</v>
      </c>
      <c r="F231" s="131" t="s">
        <v>67</v>
      </c>
      <c r="G231" s="141">
        <v>12</v>
      </c>
      <c r="H231" s="128"/>
      <c r="I231" s="141">
        <v>600</v>
      </c>
      <c r="J231" s="132" t="s">
        <v>178</v>
      </c>
      <c r="K231" s="133">
        <v>46189</v>
      </c>
      <c r="L231" s="134">
        <v>46192</v>
      </c>
      <c r="M231" s="135">
        <v>46186</v>
      </c>
      <c r="N231" s="136">
        <f t="shared" si="6"/>
        <v>-3</v>
      </c>
      <c r="O231" s="136">
        <f t="shared" si="7"/>
        <v>6</v>
      </c>
      <c r="P231" s="137">
        <v>46186</v>
      </c>
      <c r="Q231" s="128"/>
    </row>
    <row r="232" spans="1:17">
      <c r="A232" s="127">
        <v>224</v>
      </c>
      <c r="B232" s="128" t="s">
        <v>177</v>
      </c>
      <c r="C232" s="128" t="s">
        <v>68</v>
      </c>
      <c r="D232" s="129" t="s">
        <v>176</v>
      </c>
      <c r="E232" s="130">
        <v>20</v>
      </c>
      <c r="F232" s="131" t="s">
        <v>64</v>
      </c>
      <c r="G232" s="141">
        <v>22.64</v>
      </c>
      <c r="H232" s="128"/>
      <c r="I232" s="141">
        <v>452.8</v>
      </c>
      <c r="J232" s="132" t="s">
        <v>175</v>
      </c>
      <c r="K232" s="133">
        <v>46184</v>
      </c>
      <c r="L232" s="134">
        <v>46195</v>
      </c>
      <c r="M232" s="135">
        <v>46189</v>
      </c>
      <c r="N232" s="136">
        <f t="shared" si="6"/>
        <v>5</v>
      </c>
      <c r="O232" s="136">
        <f t="shared" si="7"/>
        <v>6</v>
      </c>
      <c r="P232" s="137">
        <v>46188</v>
      </c>
      <c r="Q232" s="128"/>
    </row>
    <row r="233" spans="1:17">
      <c r="A233" s="127">
        <v>225</v>
      </c>
      <c r="B233" s="128" t="s">
        <v>174</v>
      </c>
      <c r="C233" s="128" t="s">
        <v>79</v>
      </c>
      <c r="D233" s="129" t="s">
        <v>173</v>
      </c>
      <c r="E233" s="130">
        <v>1</v>
      </c>
      <c r="F233" s="131" t="s">
        <v>67</v>
      </c>
      <c r="G233" s="141">
        <v>300</v>
      </c>
      <c r="H233" s="128"/>
      <c r="I233" s="141">
        <v>300</v>
      </c>
      <c r="J233" s="132" t="s">
        <v>172</v>
      </c>
      <c r="K233" s="133">
        <v>46204</v>
      </c>
      <c r="L233" s="134">
        <v>46205</v>
      </c>
      <c r="M233" s="135">
        <v>46199</v>
      </c>
      <c r="N233" s="136">
        <f t="shared" si="6"/>
        <v>-5</v>
      </c>
      <c r="O233" s="136">
        <f t="shared" si="7"/>
        <v>6</v>
      </c>
      <c r="P233" s="137">
        <v>46189</v>
      </c>
      <c r="Q233" s="128"/>
    </row>
    <row r="234" spans="1:17">
      <c r="A234" s="127">
        <v>226</v>
      </c>
      <c r="B234" s="128" t="s">
        <v>171</v>
      </c>
      <c r="C234" s="128" t="s">
        <v>170</v>
      </c>
      <c r="D234" s="129" t="s">
        <v>169</v>
      </c>
      <c r="E234" s="130">
        <v>1</v>
      </c>
      <c r="F234" s="131" t="s">
        <v>103</v>
      </c>
      <c r="G234" s="141">
        <v>13500</v>
      </c>
      <c r="H234" s="142">
        <v>1500</v>
      </c>
      <c r="I234" s="141">
        <v>12000</v>
      </c>
      <c r="J234" s="132" t="s">
        <v>168</v>
      </c>
      <c r="K234" s="133">
        <v>46185</v>
      </c>
      <c r="L234" s="134">
        <v>46188</v>
      </c>
      <c r="M234" s="135">
        <v>46181</v>
      </c>
      <c r="N234" s="136">
        <f t="shared" si="6"/>
        <v>-4</v>
      </c>
      <c r="O234" s="136">
        <f t="shared" si="7"/>
        <v>7</v>
      </c>
      <c r="P234" s="137">
        <v>46181</v>
      </c>
      <c r="Q234" s="128"/>
    </row>
    <row r="235" spans="1:17">
      <c r="A235" s="127">
        <v>227</v>
      </c>
      <c r="B235" s="128" t="s">
        <v>166</v>
      </c>
      <c r="C235" s="128" t="s">
        <v>95</v>
      </c>
      <c r="D235" s="129" t="s">
        <v>167</v>
      </c>
      <c r="E235" s="130">
        <v>120</v>
      </c>
      <c r="F235" s="131" t="s">
        <v>67</v>
      </c>
      <c r="G235" s="141">
        <v>8.5</v>
      </c>
      <c r="H235" s="128"/>
      <c r="I235" s="141">
        <v>1020</v>
      </c>
      <c r="J235" s="132" t="s">
        <v>164</v>
      </c>
      <c r="K235" s="133">
        <v>46190</v>
      </c>
      <c r="L235" s="134">
        <v>46199</v>
      </c>
      <c r="M235" s="135">
        <v>46192</v>
      </c>
      <c r="N235" s="136">
        <f t="shared" si="6"/>
        <v>2</v>
      </c>
      <c r="O235" s="136">
        <f t="shared" si="7"/>
        <v>7</v>
      </c>
      <c r="P235" s="137">
        <v>46195</v>
      </c>
      <c r="Q235" s="128"/>
    </row>
    <row r="236" spans="1:17">
      <c r="A236" s="127">
        <v>228</v>
      </c>
      <c r="B236" s="128" t="s">
        <v>166</v>
      </c>
      <c r="C236" s="128" t="s">
        <v>95</v>
      </c>
      <c r="D236" s="129" t="s">
        <v>165</v>
      </c>
      <c r="E236" s="130">
        <v>20</v>
      </c>
      <c r="F236" s="131" t="s">
        <v>67</v>
      </c>
      <c r="G236" s="141">
        <v>16</v>
      </c>
      <c r="H236" s="128"/>
      <c r="I236" s="141">
        <v>320</v>
      </c>
      <c r="J236" s="132" t="s">
        <v>164</v>
      </c>
      <c r="K236" s="133">
        <v>46190</v>
      </c>
      <c r="L236" s="134">
        <v>46199</v>
      </c>
      <c r="M236" s="135">
        <v>46192</v>
      </c>
      <c r="N236" s="136">
        <f t="shared" si="6"/>
        <v>2</v>
      </c>
      <c r="O236" s="136">
        <f t="shared" si="7"/>
        <v>7</v>
      </c>
      <c r="P236" s="137">
        <v>46195</v>
      </c>
      <c r="Q236" s="128"/>
    </row>
    <row r="237" spans="1:17">
      <c r="A237" s="127">
        <v>229</v>
      </c>
      <c r="B237" s="128" t="s">
        <v>154</v>
      </c>
      <c r="C237" s="128" t="s">
        <v>153</v>
      </c>
      <c r="D237" s="129" t="s">
        <v>155</v>
      </c>
      <c r="E237" s="130">
        <v>1</v>
      </c>
      <c r="F237" s="131" t="s">
        <v>67</v>
      </c>
      <c r="G237" s="141">
        <v>6290</v>
      </c>
      <c r="H237" s="128"/>
      <c r="I237" s="141">
        <v>6290</v>
      </c>
      <c r="J237" s="132" t="s">
        <v>151</v>
      </c>
      <c r="K237" s="133">
        <v>46210</v>
      </c>
      <c r="L237" s="134">
        <v>46211</v>
      </c>
      <c r="M237" s="135">
        <v>46202</v>
      </c>
      <c r="N237" s="136">
        <f t="shared" si="6"/>
        <v>-8</v>
      </c>
      <c r="O237" s="136">
        <f t="shared" si="7"/>
        <v>9</v>
      </c>
      <c r="P237" s="137">
        <v>46202</v>
      </c>
      <c r="Q237" s="128"/>
    </row>
    <row r="238" spans="1:17">
      <c r="A238" s="127">
        <v>230</v>
      </c>
      <c r="B238" s="128" t="s">
        <v>154</v>
      </c>
      <c r="C238" s="128" t="s">
        <v>153</v>
      </c>
      <c r="D238" s="129" t="s">
        <v>152</v>
      </c>
      <c r="E238" s="130">
        <v>1</v>
      </c>
      <c r="F238" s="131" t="s">
        <v>75</v>
      </c>
      <c r="G238" s="141">
        <v>590</v>
      </c>
      <c r="H238" s="128"/>
      <c r="I238" s="141">
        <v>590</v>
      </c>
      <c r="J238" s="132" t="s">
        <v>151</v>
      </c>
      <c r="K238" s="133">
        <v>46210</v>
      </c>
      <c r="L238" s="134">
        <v>46211</v>
      </c>
      <c r="M238" s="135">
        <v>46202</v>
      </c>
      <c r="N238" s="136">
        <f t="shared" si="6"/>
        <v>-8</v>
      </c>
      <c r="O238" s="136">
        <f t="shared" si="7"/>
        <v>9</v>
      </c>
      <c r="P238" s="137">
        <v>46202</v>
      </c>
      <c r="Q238" s="128"/>
    </row>
    <row r="239" spans="1:17">
      <c r="A239" s="127">
        <v>231</v>
      </c>
      <c r="B239" s="128" t="s">
        <v>160</v>
      </c>
      <c r="C239" s="128" t="s">
        <v>159</v>
      </c>
      <c r="D239" s="129" t="s">
        <v>163</v>
      </c>
      <c r="E239" s="130">
        <v>1</v>
      </c>
      <c r="F239" s="131" t="s">
        <v>75</v>
      </c>
      <c r="G239" s="141">
        <v>255000</v>
      </c>
      <c r="H239" s="128"/>
      <c r="I239" s="141">
        <v>255000</v>
      </c>
      <c r="J239" s="132" t="s">
        <v>157</v>
      </c>
      <c r="K239" s="133">
        <v>46150</v>
      </c>
      <c r="L239" s="134">
        <v>46185</v>
      </c>
      <c r="M239" s="135">
        <v>46175</v>
      </c>
      <c r="N239" s="136">
        <f t="shared" si="6"/>
        <v>25</v>
      </c>
      <c r="O239" s="136">
        <f t="shared" si="7"/>
        <v>10</v>
      </c>
      <c r="P239" s="137">
        <v>46175</v>
      </c>
      <c r="Q239" s="138" t="s">
        <v>156</v>
      </c>
    </row>
    <row r="240" spans="1:17">
      <c r="A240" s="127">
        <v>232</v>
      </c>
      <c r="B240" s="128" t="s">
        <v>160</v>
      </c>
      <c r="C240" s="128" t="s">
        <v>159</v>
      </c>
      <c r="D240" s="129" t="s">
        <v>162</v>
      </c>
      <c r="E240" s="130">
        <v>2</v>
      </c>
      <c r="F240" s="131" t="s">
        <v>67</v>
      </c>
      <c r="G240" s="141">
        <v>7000</v>
      </c>
      <c r="H240" s="128"/>
      <c r="I240" s="141">
        <v>14000</v>
      </c>
      <c r="J240" s="132" t="s">
        <v>157</v>
      </c>
      <c r="K240" s="133">
        <v>46150</v>
      </c>
      <c r="L240" s="134">
        <v>46185</v>
      </c>
      <c r="M240" s="135">
        <v>46175</v>
      </c>
      <c r="N240" s="136">
        <f t="shared" si="6"/>
        <v>25</v>
      </c>
      <c r="O240" s="136">
        <f t="shared" si="7"/>
        <v>10</v>
      </c>
      <c r="P240" s="137">
        <v>46175</v>
      </c>
      <c r="Q240" s="138" t="s">
        <v>156</v>
      </c>
    </row>
    <row r="241" spans="1:17">
      <c r="A241" s="127">
        <v>233</v>
      </c>
      <c r="B241" s="128" t="s">
        <v>160</v>
      </c>
      <c r="C241" s="128" t="s">
        <v>159</v>
      </c>
      <c r="D241" s="129" t="s">
        <v>161</v>
      </c>
      <c r="E241" s="130">
        <v>2</v>
      </c>
      <c r="F241" s="131" t="s">
        <v>67</v>
      </c>
      <c r="G241" s="141">
        <v>4000</v>
      </c>
      <c r="H241" s="128"/>
      <c r="I241" s="141">
        <v>8000</v>
      </c>
      <c r="J241" s="132" t="s">
        <v>157</v>
      </c>
      <c r="K241" s="133">
        <v>46150</v>
      </c>
      <c r="L241" s="134">
        <v>46185</v>
      </c>
      <c r="M241" s="135">
        <v>46175</v>
      </c>
      <c r="N241" s="136">
        <f t="shared" si="6"/>
        <v>25</v>
      </c>
      <c r="O241" s="136">
        <f t="shared" si="7"/>
        <v>10</v>
      </c>
      <c r="P241" s="137">
        <v>46175</v>
      </c>
      <c r="Q241" s="138" t="s">
        <v>156</v>
      </c>
    </row>
    <row r="242" spans="1:17">
      <c r="A242" s="127">
        <v>234</v>
      </c>
      <c r="B242" s="128" t="s">
        <v>160</v>
      </c>
      <c r="C242" s="128" t="s">
        <v>159</v>
      </c>
      <c r="D242" s="129" t="s">
        <v>158</v>
      </c>
      <c r="E242" s="130">
        <v>1</v>
      </c>
      <c r="F242" s="131" t="s">
        <v>67</v>
      </c>
      <c r="G242" s="141">
        <v>3500</v>
      </c>
      <c r="H242" s="128"/>
      <c r="I242" s="141">
        <v>3500</v>
      </c>
      <c r="J242" s="132" t="s">
        <v>157</v>
      </c>
      <c r="K242" s="133">
        <v>46150</v>
      </c>
      <c r="L242" s="134">
        <v>46185</v>
      </c>
      <c r="M242" s="135">
        <v>46175</v>
      </c>
      <c r="N242" s="136">
        <f t="shared" si="6"/>
        <v>25</v>
      </c>
      <c r="O242" s="136">
        <f t="shared" si="7"/>
        <v>10</v>
      </c>
      <c r="P242" s="137">
        <v>46175</v>
      </c>
      <c r="Q242" s="138" t="s">
        <v>156</v>
      </c>
    </row>
    <row r="243" spans="1:17">
      <c r="A243" s="127">
        <v>235</v>
      </c>
      <c r="B243" s="128" t="s">
        <v>154</v>
      </c>
      <c r="C243" s="128" t="s">
        <v>153</v>
      </c>
      <c r="D243" s="129" t="s">
        <v>155</v>
      </c>
      <c r="E243" s="130">
        <v>1</v>
      </c>
      <c r="F243" s="131" t="s">
        <v>67</v>
      </c>
      <c r="G243" s="141">
        <v>6290</v>
      </c>
      <c r="H243" s="128"/>
      <c r="I243" s="141">
        <v>6290</v>
      </c>
      <c r="J243" s="132" t="s">
        <v>151</v>
      </c>
      <c r="K243" s="133">
        <v>46210</v>
      </c>
      <c r="L243" s="134">
        <v>46211</v>
      </c>
      <c r="M243" s="135">
        <v>46199</v>
      </c>
      <c r="N243" s="136">
        <f t="shared" si="6"/>
        <v>-11</v>
      </c>
      <c r="O243" s="136">
        <f t="shared" si="7"/>
        <v>12</v>
      </c>
      <c r="P243" s="137">
        <v>46199</v>
      </c>
      <c r="Q243" s="128"/>
    </row>
    <row r="244" spans="1:17">
      <c r="A244" s="127">
        <v>236</v>
      </c>
      <c r="B244" s="128" t="s">
        <v>154</v>
      </c>
      <c r="C244" s="128" t="s">
        <v>153</v>
      </c>
      <c r="D244" s="129" t="s">
        <v>152</v>
      </c>
      <c r="E244" s="130">
        <v>1</v>
      </c>
      <c r="F244" s="131" t="s">
        <v>75</v>
      </c>
      <c r="G244" s="141">
        <v>590</v>
      </c>
      <c r="H244" s="128"/>
      <c r="I244" s="141">
        <v>590</v>
      </c>
      <c r="J244" s="132" t="s">
        <v>151</v>
      </c>
      <c r="K244" s="133">
        <v>46210</v>
      </c>
      <c r="L244" s="134">
        <v>46211</v>
      </c>
      <c r="M244" s="135">
        <v>46199</v>
      </c>
      <c r="N244" s="136">
        <f t="shared" si="6"/>
        <v>-11</v>
      </c>
      <c r="O244" s="136">
        <f t="shared" si="7"/>
        <v>12</v>
      </c>
      <c r="P244" s="137">
        <v>46199</v>
      </c>
      <c r="Q244" s="128"/>
    </row>
    <row r="245" spans="1:17">
      <c r="A245" s="127">
        <v>237</v>
      </c>
      <c r="B245" s="128" t="s">
        <v>150</v>
      </c>
      <c r="C245" s="128" t="s">
        <v>85</v>
      </c>
      <c r="D245" s="129" t="s">
        <v>149</v>
      </c>
      <c r="E245" s="130">
        <v>4</v>
      </c>
      <c r="F245" s="131" t="s">
        <v>67</v>
      </c>
      <c r="G245" s="141">
        <v>2500</v>
      </c>
      <c r="H245" s="128"/>
      <c r="I245" s="141">
        <v>10000</v>
      </c>
      <c r="J245" s="132" t="s">
        <v>148</v>
      </c>
      <c r="K245" s="133">
        <v>46185</v>
      </c>
      <c r="L245" s="134">
        <v>46199</v>
      </c>
      <c r="M245" s="135">
        <v>46185</v>
      </c>
      <c r="N245" s="136">
        <f t="shared" si="6"/>
        <v>0</v>
      </c>
      <c r="O245" s="136">
        <f t="shared" si="7"/>
        <v>14</v>
      </c>
      <c r="P245" s="137">
        <v>46185</v>
      </c>
      <c r="Q245" s="128"/>
    </row>
    <row r="246" spans="1:17">
      <c r="A246" s="127">
        <v>238</v>
      </c>
      <c r="B246" s="128" t="s">
        <v>145</v>
      </c>
      <c r="C246" s="128" t="s">
        <v>144</v>
      </c>
      <c r="D246" s="129" t="s">
        <v>147</v>
      </c>
      <c r="E246" s="130">
        <v>4.5</v>
      </c>
      <c r="F246" s="131" t="s">
        <v>146</v>
      </c>
      <c r="G246" s="141">
        <v>1250</v>
      </c>
      <c r="H246" s="128"/>
      <c r="I246" s="141">
        <v>5625</v>
      </c>
      <c r="J246" s="132" t="s">
        <v>141</v>
      </c>
      <c r="K246" s="133">
        <v>46198</v>
      </c>
      <c r="L246" s="134">
        <v>46204</v>
      </c>
      <c r="M246" s="135">
        <v>46190</v>
      </c>
      <c r="N246" s="136">
        <f t="shared" si="6"/>
        <v>-8</v>
      </c>
      <c r="O246" s="136">
        <f t="shared" si="7"/>
        <v>14</v>
      </c>
      <c r="P246" s="137">
        <v>46190</v>
      </c>
      <c r="Q246" s="128"/>
    </row>
    <row r="247" spans="1:17">
      <c r="A247" s="127">
        <v>239</v>
      </c>
      <c r="B247" s="128" t="s">
        <v>145</v>
      </c>
      <c r="C247" s="128" t="s">
        <v>144</v>
      </c>
      <c r="D247" s="129" t="s">
        <v>143</v>
      </c>
      <c r="E247" s="130">
        <v>80</v>
      </c>
      <c r="F247" s="131" t="s">
        <v>142</v>
      </c>
      <c r="G247" s="141">
        <v>12</v>
      </c>
      <c r="H247" s="128"/>
      <c r="I247" s="141">
        <v>960</v>
      </c>
      <c r="J247" s="132" t="s">
        <v>141</v>
      </c>
      <c r="K247" s="133">
        <v>46198</v>
      </c>
      <c r="L247" s="134">
        <v>46204</v>
      </c>
      <c r="M247" s="135">
        <v>46190</v>
      </c>
      <c r="N247" s="136">
        <f t="shared" si="6"/>
        <v>-8</v>
      </c>
      <c r="O247" s="136">
        <f t="shared" si="7"/>
        <v>14</v>
      </c>
      <c r="P247" s="137">
        <v>46190</v>
      </c>
      <c r="Q247" s="128"/>
    </row>
    <row r="248" spans="1:17">
      <c r="A248" s="127">
        <v>240</v>
      </c>
      <c r="B248" s="128" t="s">
        <v>72</v>
      </c>
      <c r="C248" s="128" t="s">
        <v>120</v>
      </c>
      <c r="D248" s="129" t="s">
        <v>135</v>
      </c>
      <c r="E248" s="130">
        <v>2</v>
      </c>
      <c r="F248" s="131" t="s">
        <v>70</v>
      </c>
      <c r="G248" s="141">
        <v>33</v>
      </c>
      <c r="H248" s="128"/>
      <c r="I248" s="141">
        <v>66</v>
      </c>
      <c r="J248" s="132" t="s">
        <v>136</v>
      </c>
      <c r="K248" s="133">
        <v>46202</v>
      </c>
      <c r="L248" s="134">
        <v>46202</v>
      </c>
      <c r="M248" s="135">
        <v>46185</v>
      </c>
      <c r="N248" s="136">
        <f t="shared" si="6"/>
        <v>-17</v>
      </c>
      <c r="O248" s="136">
        <f t="shared" si="7"/>
        <v>17</v>
      </c>
      <c r="P248" s="137">
        <v>46185</v>
      </c>
      <c r="Q248" s="128"/>
    </row>
    <row r="249" spans="1:17">
      <c r="A249" s="127">
        <v>241</v>
      </c>
      <c r="B249" s="128" t="s">
        <v>72</v>
      </c>
      <c r="C249" s="128" t="s">
        <v>120</v>
      </c>
      <c r="D249" s="129" t="s">
        <v>140</v>
      </c>
      <c r="E249" s="130">
        <v>2</v>
      </c>
      <c r="F249" s="131" t="s">
        <v>67</v>
      </c>
      <c r="G249" s="141">
        <v>66</v>
      </c>
      <c r="H249" s="128"/>
      <c r="I249" s="141">
        <v>132</v>
      </c>
      <c r="J249" s="132" t="s">
        <v>136</v>
      </c>
      <c r="K249" s="133">
        <v>46202</v>
      </c>
      <c r="L249" s="134">
        <v>46202</v>
      </c>
      <c r="M249" s="135">
        <v>46185</v>
      </c>
      <c r="N249" s="136">
        <f t="shared" si="6"/>
        <v>-17</v>
      </c>
      <c r="O249" s="136">
        <f t="shared" si="7"/>
        <v>17</v>
      </c>
      <c r="P249" s="137">
        <v>46185</v>
      </c>
      <c r="Q249" s="128"/>
    </row>
    <row r="250" spans="1:17">
      <c r="A250" s="127">
        <v>242</v>
      </c>
      <c r="B250" s="128" t="s">
        <v>72</v>
      </c>
      <c r="C250" s="128" t="s">
        <v>120</v>
      </c>
      <c r="D250" s="129" t="s">
        <v>139</v>
      </c>
      <c r="E250" s="130">
        <v>2</v>
      </c>
      <c r="F250" s="131" t="s">
        <v>67</v>
      </c>
      <c r="G250" s="141">
        <v>60</v>
      </c>
      <c r="H250" s="128"/>
      <c r="I250" s="141">
        <v>120</v>
      </c>
      <c r="J250" s="132" t="s">
        <v>136</v>
      </c>
      <c r="K250" s="133">
        <v>46202</v>
      </c>
      <c r="L250" s="134">
        <v>46202</v>
      </c>
      <c r="M250" s="135">
        <v>46185</v>
      </c>
      <c r="N250" s="136">
        <f t="shared" si="6"/>
        <v>-17</v>
      </c>
      <c r="O250" s="136">
        <f t="shared" si="7"/>
        <v>17</v>
      </c>
      <c r="P250" s="137">
        <v>46185</v>
      </c>
      <c r="Q250" s="128"/>
    </row>
    <row r="251" spans="1:17">
      <c r="A251" s="127">
        <v>243</v>
      </c>
      <c r="B251" s="128" t="s">
        <v>72</v>
      </c>
      <c r="C251" s="128" t="s">
        <v>120</v>
      </c>
      <c r="D251" s="129" t="s">
        <v>138</v>
      </c>
      <c r="E251" s="130">
        <v>2</v>
      </c>
      <c r="F251" s="131" t="s">
        <v>67</v>
      </c>
      <c r="G251" s="141">
        <v>45</v>
      </c>
      <c r="H251" s="128"/>
      <c r="I251" s="141">
        <v>90</v>
      </c>
      <c r="J251" s="132" t="s">
        <v>136</v>
      </c>
      <c r="K251" s="133">
        <v>46202</v>
      </c>
      <c r="L251" s="134">
        <v>46202</v>
      </c>
      <c r="M251" s="135">
        <v>46185</v>
      </c>
      <c r="N251" s="136">
        <f t="shared" si="6"/>
        <v>-17</v>
      </c>
      <c r="O251" s="136">
        <f t="shared" si="7"/>
        <v>17</v>
      </c>
      <c r="P251" s="137">
        <v>46185</v>
      </c>
      <c r="Q251" s="128"/>
    </row>
    <row r="252" spans="1:17">
      <c r="A252" s="127">
        <v>244</v>
      </c>
      <c r="B252" s="128" t="s">
        <v>72</v>
      </c>
      <c r="C252" s="128" t="s">
        <v>120</v>
      </c>
      <c r="D252" s="129" t="s">
        <v>137</v>
      </c>
      <c r="E252" s="130">
        <v>5</v>
      </c>
      <c r="F252" s="131" t="s">
        <v>67</v>
      </c>
      <c r="G252" s="141">
        <v>32</v>
      </c>
      <c r="H252" s="128"/>
      <c r="I252" s="141">
        <v>160</v>
      </c>
      <c r="J252" s="132" t="s">
        <v>136</v>
      </c>
      <c r="K252" s="133">
        <v>46202</v>
      </c>
      <c r="L252" s="134">
        <v>46202</v>
      </c>
      <c r="M252" s="135">
        <v>46185</v>
      </c>
      <c r="N252" s="136">
        <f t="shared" si="6"/>
        <v>-17</v>
      </c>
      <c r="O252" s="136">
        <f t="shared" si="7"/>
        <v>17</v>
      </c>
      <c r="P252" s="137">
        <v>46185</v>
      </c>
      <c r="Q252" s="128"/>
    </row>
    <row r="253" spans="1:17">
      <c r="A253" s="127">
        <v>245</v>
      </c>
      <c r="B253" s="128" t="s">
        <v>72</v>
      </c>
      <c r="C253" s="128" t="s">
        <v>120</v>
      </c>
      <c r="D253" s="129" t="s">
        <v>135</v>
      </c>
      <c r="E253" s="130">
        <v>2</v>
      </c>
      <c r="F253" s="131" t="s">
        <v>70</v>
      </c>
      <c r="G253" s="141">
        <v>33</v>
      </c>
      <c r="H253" s="128"/>
      <c r="I253" s="141">
        <v>66</v>
      </c>
      <c r="J253" s="132" t="s">
        <v>124</v>
      </c>
      <c r="K253" s="133">
        <v>46202</v>
      </c>
      <c r="L253" s="134">
        <v>46202</v>
      </c>
      <c r="M253" s="135">
        <v>46185</v>
      </c>
      <c r="N253" s="136">
        <f t="shared" si="6"/>
        <v>-17</v>
      </c>
      <c r="O253" s="136">
        <f t="shared" si="7"/>
        <v>17</v>
      </c>
      <c r="P253" s="137">
        <v>46185</v>
      </c>
      <c r="Q253" s="128"/>
    </row>
    <row r="254" spans="1:17">
      <c r="A254" s="127">
        <v>246</v>
      </c>
      <c r="B254" s="128" t="s">
        <v>72</v>
      </c>
      <c r="C254" s="128" t="s">
        <v>120</v>
      </c>
      <c r="D254" s="129" t="s">
        <v>134</v>
      </c>
      <c r="E254" s="130">
        <v>6</v>
      </c>
      <c r="F254" s="131" t="s">
        <v>109</v>
      </c>
      <c r="G254" s="141">
        <v>23</v>
      </c>
      <c r="H254" s="128"/>
      <c r="I254" s="141">
        <v>138</v>
      </c>
      <c r="J254" s="132" t="s">
        <v>124</v>
      </c>
      <c r="K254" s="133">
        <v>46202</v>
      </c>
      <c r="L254" s="134">
        <v>46202</v>
      </c>
      <c r="M254" s="135">
        <v>46185</v>
      </c>
      <c r="N254" s="136">
        <f t="shared" si="6"/>
        <v>-17</v>
      </c>
      <c r="O254" s="136">
        <f t="shared" si="7"/>
        <v>17</v>
      </c>
      <c r="P254" s="137">
        <v>46185</v>
      </c>
      <c r="Q254" s="128"/>
    </row>
    <row r="255" spans="1:17">
      <c r="A255" s="127">
        <v>247</v>
      </c>
      <c r="B255" s="128" t="s">
        <v>72</v>
      </c>
      <c r="C255" s="128" t="s">
        <v>120</v>
      </c>
      <c r="D255" s="129" t="s">
        <v>133</v>
      </c>
      <c r="E255" s="130">
        <v>1</v>
      </c>
      <c r="F255" s="131" t="s">
        <v>101</v>
      </c>
      <c r="G255" s="141">
        <v>98</v>
      </c>
      <c r="H255" s="128"/>
      <c r="I255" s="141">
        <v>98</v>
      </c>
      <c r="J255" s="132" t="s">
        <v>124</v>
      </c>
      <c r="K255" s="133">
        <v>46202</v>
      </c>
      <c r="L255" s="134">
        <v>46202</v>
      </c>
      <c r="M255" s="135">
        <v>46185</v>
      </c>
      <c r="N255" s="136">
        <f t="shared" si="6"/>
        <v>-17</v>
      </c>
      <c r="O255" s="136">
        <f t="shared" si="7"/>
        <v>17</v>
      </c>
      <c r="P255" s="137">
        <v>46185</v>
      </c>
      <c r="Q255" s="128"/>
    </row>
    <row r="256" spans="1:17">
      <c r="A256" s="127">
        <v>248</v>
      </c>
      <c r="B256" s="128" t="s">
        <v>72</v>
      </c>
      <c r="C256" s="128" t="s">
        <v>120</v>
      </c>
      <c r="D256" s="129" t="s">
        <v>132</v>
      </c>
      <c r="E256" s="130">
        <v>1</v>
      </c>
      <c r="F256" s="131" t="s">
        <v>131</v>
      </c>
      <c r="G256" s="141">
        <v>185</v>
      </c>
      <c r="H256" s="128"/>
      <c r="I256" s="141">
        <v>185</v>
      </c>
      <c r="J256" s="132" t="s">
        <v>124</v>
      </c>
      <c r="K256" s="133">
        <v>46202</v>
      </c>
      <c r="L256" s="134">
        <v>46202</v>
      </c>
      <c r="M256" s="135">
        <v>46185</v>
      </c>
      <c r="N256" s="136">
        <f t="shared" si="6"/>
        <v>-17</v>
      </c>
      <c r="O256" s="136">
        <f t="shared" si="7"/>
        <v>17</v>
      </c>
      <c r="P256" s="137">
        <v>46185</v>
      </c>
      <c r="Q256" s="128"/>
    </row>
    <row r="257" spans="1:17">
      <c r="A257" s="127">
        <v>249</v>
      </c>
      <c r="B257" s="128" t="s">
        <v>72</v>
      </c>
      <c r="C257" s="128" t="s">
        <v>120</v>
      </c>
      <c r="D257" s="129" t="s">
        <v>130</v>
      </c>
      <c r="E257" s="130">
        <v>1</v>
      </c>
      <c r="F257" s="131" t="s">
        <v>101</v>
      </c>
      <c r="G257" s="141">
        <v>125</v>
      </c>
      <c r="H257" s="128"/>
      <c r="I257" s="141">
        <v>125</v>
      </c>
      <c r="J257" s="132" t="s">
        <v>124</v>
      </c>
      <c r="K257" s="133">
        <v>46202</v>
      </c>
      <c r="L257" s="134">
        <v>46202</v>
      </c>
      <c r="M257" s="135">
        <v>46185</v>
      </c>
      <c r="N257" s="136">
        <f t="shared" si="6"/>
        <v>-17</v>
      </c>
      <c r="O257" s="136">
        <f t="shared" si="7"/>
        <v>17</v>
      </c>
      <c r="P257" s="137">
        <v>46185</v>
      </c>
      <c r="Q257" s="128"/>
    </row>
    <row r="258" spans="1:17">
      <c r="A258" s="127">
        <v>250</v>
      </c>
      <c r="B258" s="128" t="s">
        <v>72</v>
      </c>
      <c r="C258" s="128" t="s">
        <v>120</v>
      </c>
      <c r="D258" s="129" t="s">
        <v>129</v>
      </c>
      <c r="E258" s="130">
        <v>1</v>
      </c>
      <c r="F258" s="131" t="s">
        <v>67</v>
      </c>
      <c r="G258" s="141">
        <v>115</v>
      </c>
      <c r="H258" s="128"/>
      <c r="I258" s="141">
        <v>115</v>
      </c>
      <c r="J258" s="132" t="s">
        <v>124</v>
      </c>
      <c r="K258" s="133">
        <v>46202</v>
      </c>
      <c r="L258" s="134">
        <v>46202</v>
      </c>
      <c r="M258" s="135">
        <v>46185</v>
      </c>
      <c r="N258" s="136">
        <f t="shared" si="6"/>
        <v>-17</v>
      </c>
      <c r="O258" s="136">
        <f t="shared" si="7"/>
        <v>17</v>
      </c>
      <c r="P258" s="137">
        <v>46185</v>
      </c>
      <c r="Q258" s="128"/>
    </row>
    <row r="259" spans="1:17">
      <c r="A259" s="127">
        <v>251</v>
      </c>
      <c r="B259" s="128" t="s">
        <v>72</v>
      </c>
      <c r="C259" s="128" t="s">
        <v>120</v>
      </c>
      <c r="D259" s="129" t="s">
        <v>128</v>
      </c>
      <c r="E259" s="130">
        <v>1</v>
      </c>
      <c r="F259" s="131" t="s">
        <v>67</v>
      </c>
      <c r="G259" s="141">
        <v>33</v>
      </c>
      <c r="H259" s="128"/>
      <c r="I259" s="141">
        <v>33</v>
      </c>
      <c r="J259" s="132" t="s">
        <v>124</v>
      </c>
      <c r="K259" s="133">
        <v>46202</v>
      </c>
      <c r="L259" s="134">
        <v>46202</v>
      </c>
      <c r="M259" s="135">
        <v>46185</v>
      </c>
      <c r="N259" s="136">
        <f t="shared" si="6"/>
        <v>-17</v>
      </c>
      <c r="O259" s="136">
        <f t="shared" si="7"/>
        <v>17</v>
      </c>
      <c r="P259" s="137">
        <v>46185</v>
      </c>
      <c r="Q259" s="128"/>
    </row>
    <row r="260" spans="1:17">
      <c r="A260" s="127">
        <v>252</v>
      </c>
      <c r="B260" s="128" t="s">
        <v>72</v>
      </c>
      <c r="C260" s="128" t="s">
        <v>120</v>
      </c>
      <c r="D260" s="129" t="s">
        <v>127</v>
      </c>
      <c r="E260" s="130">
        <v>1</v>
      </c>
      <c r="F260" s="131" t="s">
        <v>67</v>
      </c>
      <c r="G260" s="141">
        <v>32</v>
      </c>
      <c r="H260" s="128"/>
      <c r="I260" s="141">
        <v>32</v>
      </c>
      <c r="J260" s="132" t="s">
        <v>124</v>
      </c>
      <c r="K260" s="133">
        <v>46202</v>
      </c>
      <c r="L260" s="134">
        <v>46202</v>
      </c>
      <c r="M260" s="135">
        <v>46185</v>
      </c>
      <c r="N260" s="136">
        <f t="shared" si="6"/>
        <v>-17</v>
      </c>
      <c r="O260" s="136">
        <f t="shared" si="7"/>
        <v>17</v>
      </c>
      <c r="P260" s="137">
        <v>46185</v>
      </c>
      <c r="Q260" s="128"/>
    </row>
    <row r="261" spans="1:17">
      <c r="A261" s="127">
        <v>253</v>
      </c>
      <c r="B261" s="128" t="s">
        <v>72</v>
      </c>
      <c r="C261" s="128" t="s">
        <v>120</v>
      </c>
      <c r="D261" s="129" t="s">
        <v>126</v>
      </c>
      <c r="E261" s="130">
        <v>4</v>
      </c>
      <c r="F261" s="131" t="s">
        <v>67</v>
      </c>
      <c r="G261" s="141">
        <v>47</v>
      </c>
      <c r="H261" s="128"/>
      <c r="I261" s="141">
        <v>188</v>
      </c>
      <c r="J261" s="132" t="s">
        <v>124</v>
      </c>
      <c r="K261" s="133">
        <v>46202</v>
      </c>
      <c r="L261" s="134">
        <v>46202</v>
      </c>
      <c r="M261" s="135">
        <v>46185</v>
      </c>
      <c r="N261" s="136">
        <f t="shared" si="6"/>
        <v>-17</v>
      </c>
      <c r="O261" s="136">
        <f t="shared" si="7"/>
        <v>17</v>
      </c>
      <c r="P261" s="137">
        <v>46185</v>
      </c>
      <c r="Q261" s="128"/>
    </row>
    <row r="262" spans="1:17">
      <c r="A262" s="127">
        <v>254</v>
      </c>
      <c r="B262" s="128" t="s">
        <v>72</v>
      </c>
      <c r="C262" s="128" t="s">
        <v>120</v>
      </c>
      <c r="D262" s="129" t="s">
        <v>125</v>
      </c>
      <c r="E262" s="130">
        <v>2</v>
      </c>
      <c r="F262" s="131" t="s">
        <v>67</v>
      </c>
      <c r="G262" s="141">
        <v>36</v>
      </c>
      <c r="H262" s="128"/>
      <c r="I262" s="141">
        <v>72</v>
      </c>
      <c r="J262" s="132" t="s">
        <v>124</v>
      </c>
      <c r="K262" s="133">
        <v>46202</v>
      </c>
      <c r="L262" s="134">
        <v>46202</v>
      </c>
      <c r="M262" s="135">
        <v>46185</v>
      </c>
      <c r="N262" s="136">
        <f t="shared" si="6"/>
        <v>-17</v>
      </c>
      <c r="O262" s="136">
        <f t="shared" si="7"/>
        <v>17</v>
      </c>
      <c r="P262" s="137">
        <v>46185</v>
      </c>
      <c r="Q262" s="128"/>
    </row>
    <row r="263" spans="1:17">
      <c r="A263" s="127">
        <v>255</v>
      </c>
      <c r="B263" s="128" t="s">
        <v>72</v>
      </c>
      <c r="C263" s="128" t="s">
        <v>120</v>
      </c>
      <c r="D263" s="129" t="s">
        <v>123</v>
      </c>
      <c r="E263" s="130">
        <v>6</v>
      </c>
      <c r="F263" s="131" t="s">
        <v>109</v>
      </c>
      <c r="G263" s="141">
        <v>23</v>
      </c>
      <c r="H263" s="128"/>
      <c r="I263" s="141">
        <v>138</v>
      </c>
      <c r="J263" s="132" t="s">
        <v>118</v>
      </c>
      <c r="K263" s="133">
        <v>46202</v>
      </c>
      <c r="L263" s="134">
        <v>46291</v>
      </c>
      <c r="M263" s="135">
        <v>46191</v>
      </c>
      <c r="N263" s="136">
        <f t="shared" si="6"/>
        <v>-11</v>
      </c>
      <c r="O263" s="136">
        <f t="shared" si="7"/>
        <v>100</v>
      </c>
      <c r="P263" s="137">
        <v>46191</v>
      </c>
      <c r="Q263" s="128"/>
    </row>
    <row r="264" spans="1:17">
      <c r="A264" s="127">
        <v>256</v>
      </c>
      <c r="B264" s="128" t="s">
        <v>72</v>
      </c>
      <c r="C264" s="128" t="s">
        <v>120</v>
      </c>
      <c r="D264" s="129" t="s">
        <v>122</v>
      </c>
      <c r="E264" s="130">
        <v>2</v>
      </c>
      <c r="F264" s="131" t="s">
        <v>67</v>
      </c>
      <c r="G264" s="141">
        <v>44</v>
      </c>
      <c r="H264" s="128"/>
      <c r="I264" s="141">
        <v>88</v>
      </c>
      <c r="J264" s="132" t="s">
        <v>118</v>
      </c>
      <c r="K264" s="133">
        <v>46202</v>
      </c>
      <c r="L264" s="134">
        <v>46291</v>
      </c>
      <c r="M264" s="135">
        <v>46191</v>
      </c>
      <c r="N264" s="136">
        <f t="shared" si="6"/>
        <v>-11</v>
      </c>
      <c r="O264" s="136">
        <f t="shared" si="7"/>
        <v>100</v>
      </c>
      <c r="P264" s="137">
        <v>46191</v>
      </c>
      <c r="Q264" s="128"/>
    </row>
    <row r="265" spans="1:17">
      <c r="A265" s="127">
        <v>257</v>
      </c>
      <c r="B265" s="128" t="s">
        <v>72</v>
      </c>
      <c r="C265" s="128" t="s">
        <v>120</v>
      </c>
      <c r="D265" s="129" t="s">
        <v>121</v>
      </c>
      <c r="E265" s="130">
        <v>4</v>
      </c>
      <c r="F265" s="131" t="s">
        <v>67</v>
      </c>
      <c r="G265" s="141">
        <v>36</v>
      </c>
      <c r="H265" s="128"/>
      <c r="I265" s="141">
        <v>144</v>
      </c>
      <c r="J265" s="132" t="s">
        <v>118</v>
      </c>
      <c r="K265" s="133">
        <v>46202</v>
      </c>
      <c r="L265" s="134">
        <v>46291</v>
      </c>
      <c r="M265" s="135">
        <v>46191</v>
      </c>
      <c r="N265" s="136">
        <f t="shared" ref="N265:N328" si="8">M265-K265</f>
        <v>-11</v>
      </c>
      <c r="O265" s="136">
        <f t="shared" si="7"/>
        <v>100</v>
      </c>
      <c r="P265" s="137">
        <v>46191</v>
      </c>
      <c r="Q265" s="128"/>
    </row>
    <row r="266" spans="1:17">
      <c r="A266" s="127">
        <v>258</v>
      </c>
      <c r="B266" s="128" t="s">
        <v>72</v>
      </c>
      <c r="C266" s="128" t="s">
        <v>120</v>
      </c>
      <c r="D266" s="129" t="s">
        <v>119</v>
      </c>
      <c r="E266" s="130">
        <v>2</v>
      </c>
      <c r="F266" s="131" t="s">
        <v>67</v>
      </c>
      <c r="G266" s="141">
        <v>23</v>
      </c>
      <c r="H266" s="128"/>
      <c r="I266" s="141">
        <v>46</v>
      </c>
      <c r="J266" s="132" t="s">
        <v>118</v>
      </c>
      <c r="K266" s="133">
        <v>46202</v>
      </c>
      <c r="L266" s="134">
        <v>46291</v>
      </c>
      <c r="M266" s="135">
        <v>46191</v>
      </c>
      <c r="N266" s="136">
        <f t="shared" si="8"/>
        <v>-11</v>
      </c>
      <c r="O266" s="136">
        <f t="shared" si="7"/>
        <v>100</v>
      </c>
      <c r="P266" s="137">
        <v>46191</v>
      </c>
      <c r="Q266" s="128"/>
    </row>
    <row r="268" spans="1:17">
      <c r="D268" s="159" t="s">
        <v>113</v>
      </c>
      <c r="E268" s="158">
        <v>258</v>
      </c>
    </row>
    <row r="269" spans="1:17">
      <c r="D269" s="157" t="s">
        <v>114</v>
      </c>
      <c r="E269" s="156">
        <f>E268-10</f>
        <v>248</v>
      </c>
    </row>
    <row r="270" spans="1:17">
      <c r="D270" s="155" t="s">
        <v>115</v>
      </c>
      <c r="E270" s="154">
        <f>+E269*100/E268</f>
        <v>96.124031007751938</v>
      </c>
    </row>
  </sheetData>
  <autoFilter ref="B8:Q8" xr:uid="{F94B9ED4-647D-4568-A48A-86C6C8B88925}">
    <sortState xmlns:xlrd2="http://schemas.microsoft.com/office/spreadsheetml/2017/richdata2" ref="B9:Q266">
      <sortCondition ref="O8"/>
    </sortState>
  </autoFilter>
  <pageMargins left="0.47244094488188981" right="0.47244094488188981" top="0.78740157480314965" bottom="0.78740157480314965" header="0.51181102362204722" footer="0.51181102362204722"/>
  <pageSetup scale="2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2658-23E6-4797-904C-F2A1355AAD8E}">
  <dimension ref="A1:J30"/>
  <sheetViews>
    <sheetView showGridLines="0" tabSelected="1" zoomScale="72" zoomScaleNormal="72" workbookViewId="0">
      <selection activeCell="K12" sqref="K12"/>
    </sheetView>
  </sheetViews>
  <sheetFormatPr defaultColWidth="8" defaultRowHeight="13.8"/>
  <cols>
    <col min="1" max="1" width="7.88671875" style="275" customWidth="1"/>
    <col min="2" max="2" width="53.77734375" style="240" customWidth="1"/>
    <col min="3" max="3" width="14.5546875" style="275" customWidth="1"/>
    <col min="4" max="4" width="16.88671875" style="275" customWidth="1"/>
    <col min="5" max="5" width="9.109375" style="275" customWidth="1"/>
    <col min="6" max="7" width="18.44140625" style="275" customWidth="1"/>
    <col min="8" max="8" width="16.88671875" style="276" customWidth="1"/>
    <col min="9" max="9" width="14.109375" style="276" customWidth="1"/>
    <col min="10" max="10" width="27.88671875" style="248" customWidth="1"/>
    <col min="11" max="11" width="14.88671875" style="248" customWidth="1"/>
    <col min="12" max="16384" width="8" style="248"/>
  </cols>
  <sheetData>
    <row r="1" spans="1:10" s="243" customFormat="1" ht="27.6" customHeight="1">
      <c r="A1" s="239" t="s">
        <v>576</v>
      </c>
      <c r="B1" s="240"/>
      <c r="C1" s="241"/>
      <c r="D1" s="241"/>
      <c r="E1" s="241"/>
      <c r="F1" s="241"/>
      <c r="G1" s="241"/>
      <c r="H1" s="242"/>
      <c r="I1" s="242"/>
    </row>
    <row r="2" spans="1:10" s="243" customFormat="1" ht="20.399999999999999" customHeight="1">
      <c r="A2" s="239" t="s">
        <v>577</v>
      </c>
      <c r="B2" s="240"/>
      <c r="C2" s="241"/>
      <c r="D2" s="241"/>
      <c r="E2" s="241"/>
      <c r="F2" s="241"/>
      <c r="G2" s="241"/>
      <c r="H2" s="242"/>
      <c r="I2" s="242"/>
    </row>
    <row r="3" spans="1:10" ht="23.25" customHeight="1">
      <c r="A3" s="244" t="s">
        <v>578</v>
      </c>
      <c r="B3" s="245" t="s">
        <v>47</v>
      </c>
      <c r="C3" s="246" t="s">
        <v>579</v>
      </c>
      <c r="D3" s="247" t="s">
        <v>580</v>
      </c>
      <c r="E3" s="247"/>
      <c r="F3" s="247"/>
      <c r="G3" s="247"/>
      <c r="H3" s="247"/>
      <c r="I3" s="247"/>
      <c r="J3" s="247"/>
    </row>
    <row r="4" spans="1:10" s="243" customFormat="1" ht="30" customHeight="1">
      <c r="A4" s="249"/>
      <c r="B4" s="250"/>
      <c r="C4" s="251"/>
      <c r="D4" s="252" t="s">
        <v>581</v>
      </c>
      <c r="E4" s="253" t="s">
        <v>48</v>
      </c>
      <c r="F4" s="254" t="s">
        <v>582</v>
      </c>
      <c r="G4" s="254" t="s">
        <v>38</v>
      </c>
      <c r="H4" s="255" t="s">
        <v>583</v>
      </c>
      <c r="I4" s="256" t="s">
        <v>584</v>
      </c>
      <c r="J4" s="257" t="s">
        <v>49</v>
      </c>
    </row>
    <row r="5" spans="1:10" ht="21.6" customHeight="1">
      <c r="A5" s="258">
        <v>1</v>
      </c>
      <c r="B5" s="259" t="s">
        <v>585</v>
      </c>
      <c r="C5" s="260">
        <v>7720</v>
      </c>
      <c r="D5" s="261">
        <v>7200</v>
      </c>
      <c r="E5" s="260">
        <v>3</v>
      </c>
      <c r="F5" s="262">
        <f>C5*E5</f>
        <v>23160</v>
      </c>
      <c r="G5" s="262">
        <f>E5*D5</f>
        <v>21600</v>
      </c>
      <c r="H5" s="263">
        <f t="shared" ref="H5:H13" si="0">F5-G5</f>
        <v>1560</v>
      </c>
      <c r="I5" s="264">
        <f>H5/F5</f>
        <v>6.7357512953367879E-2</v>
      </c>
      <c r="J5" s="265"/>
    </row>
    <row r="6" spans="1:10" ht="21.6" customHeight="1">
      <c r="A6" s="258">
        <v>2</v>
      </c>
      <c r="B6" s="259" t="s">
        <v>586</v>
      </c>
      <c r="C6" s="266">
        <v>6760</v>
      </c>
      <c r="D6" s="260">
        <v>6200</v>
      </c>
      <c r="E6" s="260">
        <v>2</v>
      </c>
      <c r="F6" s="262">
        <f t="shared" ref="F6:F13" si="1">C6*E6</f>
        <v>13520</v>
      </c>
      <c r="G6" s="262">
        <f t="shared" ref="G6:G13" si="2">E6*D6</f>
        <v>12400</v>
      </c>
      <c r="H6" s="263">
        <f t="shared" si="0"/>
        <v>1120</v>
      </c>
      <c r="I6" s="264">
        <f>H6/F6</f>
        <v>8.2840236686390539E-2</v>
      </c>
      <c r="J6" s="265"/>
    </row>
    <row r="7" spans="1:10" ht="21.6" customHeight="1">
      <c r="A7" s="258">
        <v>3</v>
      </c>
      <c r="B7" s="259" t="s">
        <v>587</v>
      </c>
      <c r="C7" s="266">
        <v>510</v>
      </c>
      <c r="D7" s="260">
        <v>495</v>
      </c>
      <c r="E7" s="267">
        <v>1</v>
      </c>
      <c r="F7" s="262">
        <f t="shared" si="1"/>
        <v>510</v>
      </c>
      <c r="G7" s="262">
        <f t="shared" si="2"/>
        <v>495</v>
      </c>
      <c r="H7" s="263">
        <f t="shared" si="0"/>
        <v>15</v>
      </c>
      <c r="I7" s="264">
        <f t="shared" ref="I7:I13" si="3">H7/F7</f>
        <v>2.9411764705882353E-2</v>
      </c>
      <c r="J7" s="265"/>
    </row>
    <row r="8" spans="1:10" ht="21.6" customHeight="1">
      <c r="A8" s="258">
        <v>4</v>
      </c>
      <c r="B8" s="259" t="s">
        <v>588</v>
      </c>
      <c r="C8" s="266">
        <v>68</v>
      </c>
      <c r="D8" s="260">
        <v>66</v>
      </c>
      <c r="E8" s="267">
        <v>20</v>
      </c>
      <c r="F8" s="262">
        <f t="shared" si="1"/>
        <v>1360</v>
      </c>
      <c r="G8" s="262">
        <f t="shared" si="2"/>
        <v>1320</v>
      </c>
      <c r="H8" s="263">
        <f t="shared" si="0"/>
        <v>40</v>
      </c>
      <c r="I8" s="264">
        <f t="shared" si="3"/>
        <v>2.9411764705882353E-2</v>
      </c>
      <c r="J8" s="265"/>
    </row>
    <row r="9" spans="1:10" ht="21.6" customHeight="1">
      <c r="A9" s="258">
        <v>5</v>
      </c>
      <c r="B9" s="259" t="s">
        <v>589</v>
      </c>
      <c r="C9" s="266">
        <v>176.4</v>
      </c>
      <c r="D9" s="260">
        <v>125</v>
      </c>
      <c r="E9" s="267">
        <v>2</v>
      </c>
      <c r="F9" s="262">
        <f t="shared" si="1"/>
        <v>352.8</v>
      </c>
      <c r="G9" s="262">
        <f t="shared" si="2"/>
        <v>250</v>
      </c>
      <c r="H9" s="263">
        <f t="shared" si="0"/>
        <v>102.80000000000001</v>
      </c>
      <c r="I9" s="264">
        <f t="shared" si="3"/>
        <v>0.29138321995464855</v>
      </c>
      <c r="J9" s="265"/>
    </row>
    <row r="10" spans="1:10" ht="21.6" customHeight="1">
      <c r="A10" s="258">
        <v>6</v>
      </c>
      <c r="B10" s="259" t="s">
        <v>590</v>
      </c>
      <c r="C10" s="266">
        <v>1329.3</v>
      </c>
      <c r="D10" s="260">
        <v>1275</v>
      </c>
      <c r="E10" s="267">
        <v>2</v>
      </c>
      <c r="F10" s="262">
        <f t="shared" si="1"/>
        <v>2658.6</v>
      </c>
      <c r="G10" s="262">
        <f t="shared" si="2"/>
        <v>2550</v>
      </c>
      <c r="H10" s="263">
        <f t="shared" si="0"/>
        <v>108.59999999999991</v>
      </c>
      <c r="I10" s="264">
        <f t="shared" si="3"/>
        <v>4.0848566914917596E-2</v>
      </c>
      <c r="J10" s="265"/>
    </row>
    <row r="11" spans="1:10" ht="21.6" customHeight="1">
      <c r="A11" s="258">
        <v>7</v>
      </c>
      <c r="B11" s="259" t="s">
        <v>591</v>
      </c>
      <c r="C11" s="266">
        <v>0.5</v>
      </c>
      <c r="D11" s="260">
        <v>0.22</v>
      </c>
      <c r="E11" s="267">
        <v>220</v>
      </c>
      <c r="F11" s="262">
        <f>C11*E11</f>
        <v>110</v>
      </c>
      <c r="G11" s="262">
        <f>E11*D11</f>
        <v>48.4</v>
      </c>
      <c r="H11" s="263">
        <f>F11-G11</f>
        <v>61.6</v>
      </c>
      <c r="I11" s="264">
        <f>H11/F11</f>
        <v>0.56000000000000005</v>
      </c>
      <c r="J11" s="265"/>
    </row>
    <row r="12" spans="1:10" ht="21.6" customHeight="1">
      <c r="A12" s="258">
        <v>8</v>
      </c>
      <c r="B12" s="259" t="s">
        <v>592</v>
      </c>
      <c r="C12" s="266">
        <v>0.5</v>
      </c>
      <c r="D12" s="260">
        <v>0.2</v>
      </c>
      <c r="E12" s="267">
        <v>220</v>
      </c>
      <c r="F12" s="262">
        <f t="shared" si="1"/>
        <v>110</v>
      </c>
      <c r="G12" s="262">
        <f t="shared" si="2"/>
        <v>44</v>
      </c>
      <c r="H12" s="263">
        <f t="shared" si="0"/>
        <v>66</v>
      </c>
      <c r="I12" s="264">
        <f t="shared" si="3"/>
        <v>0.6</v>
      </c>
      <c r="J12" s="265"/>
    </row>
    <row r="13" spans="1:10" ht="21.6" customHeight="1">
      <c r="A13" s="258"/>
      <c r="B13" s="259"/>
      <c r="C13" s="266"/>
      <c r="D13" s="260"/>
      <c r="E13" s="267"/>
      <c r="F13" s="262">
        <f t="shared" si="1"/>
        <v>0</v>
      </c>
      <c r="G13" s="262">
        <f t="shared" si="2"/>
        <v>0</v>
      </c>
      <c r="H13" s="263">
        <f t="shared" si="0"/>
        <v>0</v>
      </c>
      <c r="I13" s="264" t="e">
        <f t="shared" si="3"/>
        <v>#DIV/0!</v>
      </c>
      <c r="J13" s="265"/>
    </row>
    <row r="14" spans="1:10" s="274" customFormat="1" ht="27.6" customHeight="1">
      <c r="A14" s="268"/>
      <c r="B14" s="269" t="s">
        <v>593</v>
      </c>
      <c r="C14" s="269"/>
      <c r="D14" s="269"/>
      <c r="E14" s="269"/>
      <c r="F14" s="270">
        <f>SUM(F5:F13)</f>
        <v>41781.4</v>
      </c>
      <c r="G14" s="270">
        <f>SUM(G5:G13)</f>
        <v>38707.4</v>
      </c>
      <c r="H14" s="271">
        <f>SUM(H5:H13)</f>
        <v>3074</v>
      </c>
      <c r="I14" s="272">
        <f>H14/F14</f>
        <v>7.3573408263006984E-2</v>
      </c>
      <c r="J14" s="273"/>
    </row>
    <row r="17" spans="6:9">
      <c r="I17" s="277"/>
    </row>
    <row r="19" spans="6:9">
      <c r="F19" s="278"/>
    </row>
    <row r="30" spans="6:9">
      <c r="H30" s="279"/>
    </row>
  </sheetData>
  <mergeCells count="5">
    <mergeCell ref="A3:A4"/>
    <mergeCell ref="B3:B4"/>
    <mergeCell ref="C3:C4"/>
    <mergeCell ref="D3:J3"/>
    <mergeCell ref="B14:E14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KPI-(ข้อ1)</vt:lpstr>
      <vt:lpstr>KPI-(ข้อ2)</vt:lpstr>
      <vt:lpstr>Data Delivery June</vt:lpstr>
      <vt:lpstr>Cost Saving June</vt:lpstr>
      <vt:lpstr>'Data Delivery June'!Print_Area</vt:lpstr>
      <vt:lpstr>'Data Delivery June'!Print_Titles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urai Boontaeng</dc:creator>
  <cp:lastModifiedBy>urai Boontaeng</cp:lastModifiedBy>
  <cp:lastPrinted>2025-10-14T07:28:00Z</cp:lastPrinted>
  <dcterms:created xsi:type="dcterms:W3CDTF">2023-09-26T04:44:49Z</dcterms:created>
  <dcterms:modified xsi:type="dcterms:W3CDTF">2026-07-19T08:48:03Z</dcterms:modified>
</cp:coreProperties>
</file>